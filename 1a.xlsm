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<sst xmlns="http://schemas.openxmlformats.org/spreadsheetml/2006/main" count="949" uniqueCount="435">
  <si>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</si>
  <si>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</si>
  <si>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</si>
  <si>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</si>
  <si>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</si>
  <si>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</si>
  <si>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</si>
  <si>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</si>
  <si>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</si>
  <si>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</si>
  <si>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</si>
  <si>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</si>
  <si>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</si>
  <si>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</si>
  <si>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</si>
  <si>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</si>
  <si>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</si>
  <si>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</si>
  <si>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</si>
  <si>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</si>
  <si>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</si>
  <si>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</si>
  <si>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</si>
  <si>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</si>
  <si>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</si>
  <si>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</si>
  <si>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</si>
  <si>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</si>
  <si>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</si>
  <si>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</si>
  <si>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</si>
  <si>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</si>
  <si>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</si>
  <si>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</si>
  <si>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</si>
  <si>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</si>
  <si>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</si>
  <si>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</si>
  <si>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</si>
  <si>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</si>
  <si>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</si>
  <si>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</si>
  <si>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</si>
  <si>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</si>
  <si>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</si>
  <si>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</si>
  <si>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</si>
  <si>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</si>
  <si>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</si>
  <si>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</si>
  <si>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</si>
  <si>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</si>
  <si>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</si>
  <si>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</si>
  <si>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</si>
  <si>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</si>
  <si>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</si>
  <si>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</si>
  <si>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</si>
  <si>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</si>
  <si>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</si>
  <si>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</si>
  <si>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</si>
  <si>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</si>
  <si>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</si>
  <si>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</si>
  <si>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</si>
  <si>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</si>
  <si>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</si>
  <si>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</si>
  <si>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</si>
  <si>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</si>
  <si>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</si>
  <si>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</si>
  <si>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</si>
  <si>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</si>
  <si>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</si>
  <si>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</si>
  <si>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</si>
  <si>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</si>
  <si>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</si>
  <si>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</si>
  <si>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</si>
  <si>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</si>
  <si>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</si>
  <si>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</si>
  <si>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</si>
  <si>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</si>
  <si>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</si>
  <si>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</si>
  <si>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</si>
  <si>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</si>
  <si>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</si>
  <si>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</si>
  <si>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</si>
  <si>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</si>
  <si>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</si>
  <si>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</si>
  <si>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</si>
  <si>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</si>
  <si>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</si>
  <si>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</si>
  <si>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</si>
  <si>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</si>
  <si>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</si>
  <si>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</si>
  <si>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</si>
  <si>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</si>
  <si>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</si>
  <si>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</si>
  <si>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</si>
  <si>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</si>
  <si>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</si>
  <si>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</si>
  <si>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</si>
  <si>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</si>
  <si>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</si>
  <si>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</si>
  <si>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</si>
  <si>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</si>
  <si>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</si>
  <si>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</si>
  <si>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</si>
  <si>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</si>
  <si>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</si>
  <si>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</si>
  <si>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</si>
  <si>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</si>
  <si>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</si>
  <si>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</si>
  <si>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</si>
  <si>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</si>
  <si>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</si>
  <si>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</si>
  <si>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</si>
  <si>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</si>
  <si>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</si>
  <si>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</si>
  <si>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</si>
  <si>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</si>
  <si>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</si>
  <si>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</si>
  <si>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</si>
  <si>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</si>
  <si>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</si>
  <si>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</si>
  <si>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</si>
  <si>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</si>
  <si>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</si>
  <si>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</si>
  <si>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</si>
  <si>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</si>
  <si>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</si>
  <si>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</si>
  <si>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</si>
  <si>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</si>
  <si>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</si>
  <si>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</si>
  <si>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</si>
  <si>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</si>
  <si>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</si>
  <si>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</si>
  <si>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</si>
  <si>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</si>
  <si>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</si>
  <si>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</si>
  <si>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</si>
  <si>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</si>
  <si>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</si>
  <si>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</si>
  <si>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</si>
  <si>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</si>
  <si>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</si>
  <si>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</si>
  <si>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</si>
  <si>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</si>
  <si>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</si>
  <si>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</si>
  <si>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</si>
  <si>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</si>
  <si>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</si>
  <si>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</si>
  <si>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</si>
  <si>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</si>
  <si>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</si>
  <si>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</si>
  <si>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</si>
  <si>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</si>
  <si>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</si>
  <si>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</si>
  <si>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</si>
  <si>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</si>
  <si>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</si>
  <si>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</si>
  <si>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</si>
  <si>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</si>
  <si>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</si>
  <si>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</si>
  <si>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</si>
  <si>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</si>
  <si>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</si>
  <si>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</si>
  <si>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</si>
  <si>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</si>
  <si>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</si>
  <si>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</si>
  <si>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</si>
  <si>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</si>
  <si>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</si>
  <si>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</si>
  <si>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</si>
  <si>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</si>
  <si>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</si>
  <si>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</si>
  <si>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</si>
  <si>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</si>
  <si>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</si>
  <si>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</si>
  <si>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</si>
  <si>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</si>
  <si>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</si>
  <si>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</si>
  <si>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</si>
  <si>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</si>
  <si>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</si>
  <si>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</si>
  <si>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</si>
  <si>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</si>
  <si>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</si>
  <si>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</si>
  <si>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</si>
  <si>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</si>
  <si>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</si>
  <si>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</si>
  <si>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</si>
  <si>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</si>
  <si>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</si>
  <si>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</si>
  <si>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</si>
  <si>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</si>
  <si>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</si>
  <si>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</si>
  <si>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</si>
  <si>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</si>
  <si>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</si>
  <si>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</si>
  <si>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</si>
  <si>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</si>
  <si>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</si>
  <si>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</si>
  <si>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</si>
  <si>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</si>
  <si>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</si>
  <si>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</si>
  <si>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</si>
  <si>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</si>
  <si>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</si>
  <si>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</si>
  <si>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</si>
  <si>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</si>
  <si>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</si>
  <si>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</si>
  <si>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</si>
  <si>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</si>
  <si>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</si>
  <si>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</si>
  <si>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</si>
  <si>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</si>
  <si>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</si>
  <si>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</si>
  <si>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</si>
  <si>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</si>
  <si>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</si>
  <si>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</si>
  <si>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</si>
  <si>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</si>
  <si>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</si>
  <si>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</si>
  <si>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</si>
  <si>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</si>
  <si>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</si>
  <si>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</si>
  <si>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</si>
  <si>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</si>
  <si>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</si>
  <si>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</si>
  <si>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</si>
  <si>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</si>
  <si>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</si>
  <si>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</si>
  <si>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</si>
  <si>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</si>
  <si>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</si>
  <si>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</si>
  <si>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</si>
  <si>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</si>
  <si>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</si>
  <si>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</si>
  <si>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</si>
  <si>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</si>
  <si>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</si>
  <si>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</si>
  <si>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</si>
  <si>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</si>
  <si>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</si>
  <si>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</si>
  <si>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</si>
  <si>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</si>
  <si>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</si>
  <si>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</si>
  <si>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</si>
  <si>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</si>
  <si>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</si>
  <si>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</si>
  <si>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</si>
  <si>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</si>
  <si>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</si>
  <si>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</si>
  <si>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</si>
  <si>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</si>
  <si>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</si>
  <si>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</si>
  <si>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</si>
  <si>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</si>
  <si>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</si>
  <si>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</si>
  <si>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</si>
  <si>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</si>
  <si>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</si>
  <si>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</si>
  <si>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</si>
  <si>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</si>
  <si>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</si>
  <si>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</si>
  <si>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</si>
  <si>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</si>
  <si>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</si>
  <si>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</si>
  <si>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</si>
  <si>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</si>
  <si>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</si>
  <si>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</si>
  <si>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</si>
  <si>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</si>
  <si>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</si>
  <si>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</si>
  <si>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</si>
  <si>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</si>
  <si>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</si>
  <si>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</si>
  <si>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</si>
  <si>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</si>
  <si>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</si>
  <si>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</si>
  <si>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</si>
  <si>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</si>
  <si>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</si>
  <si>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</si>
  <si>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</si>
  <si>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</si>
  <si>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</si>
  <si>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</si>
  <si>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</si>
  <si>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</si>
  <si>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</si>
  <si>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</si>
  <si>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</si>
  <si>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</si>
  <si>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</si>
  <si>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</si>
  <si>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</si>
  <si>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</si>
  <si>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</si>
  <si>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</si>
  <si>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</si>
  <si>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</si>
  <si>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</si>
  <si>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</si>
  <si>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</si>
  <si>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</si>
  <si>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</si>
  <si>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</si>
  <si>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</si>
  <si>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</si>
  <si>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</si>
  <si>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</si>
  <si>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</si>
  <si>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</si>
  <si>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</si>
  <si>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</si>
  <si>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</si>
  <si>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</si>
  <si>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</si>
  <si>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</si>
  <si>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</si>
  <si>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</si>
  <si>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</si>
  <si>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</si>
  <si>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</si>
  <si>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</si>
  <si>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</si>
  <si>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</si>
  <si>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</si>
  <si>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</si>
  <si>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</si>
  <si>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</si>
  <si>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ALIAGA MENDOZA ELIANA SALOME</t>
  </si>
  <si>
    <t>BURGOA  MOLLO KAMIL JHAHIRO</t>
  </si>
  <si>
    <t>CALANI MAMANI ANA VALERIA</t>
  </si>
  <si>
    <t>CANAVIRI HERRADA KATHERINE</t>
  </si>
  <si>
    <t xml:space="preserve">CANAVIRI ROJAS RUTH AMBAR </t>
  </si>
  <si>
    <t xml:space="preserve">CHEJO CAMACHO NOEMI MILDRED </t>
  </si>
  <si>
    <t>DELGADO APAZA JHAMYL</t>
  </si>
  <si>
    <t>DORADO CHOQUE FRANCO ANIBAL</t>
  </si>
  <si>
    <t>EYZAGUIRRE CUSSI CRISTIAN  ROMMEL</t>
  </si>
  <si>
    <t>FORONDA FLORES GREACE ANGELA</t>
  </si>
  <si>
    <t>GAMBOA MEDINA GIULIANNA INES</t>
  </si>
  <si>
    <t xml:space="preserve">HUANCA HERRERA SEBASTIAN  NAIN </t>
  </si>
  <si>
    <t>LAURA CHAMBILLA JOSE MISHAEL</t>
  </si>
  <si>
    <t>MAMANI BUSTILLOS DANNA  SHARLYN</t>
  </si>
  <si>
    <t xml:space="preserve">MAMANI CACERES JHONATAN RAINER </t>
  </si>
  <si>
    <t xml:space="preserve">MEJILLONES CHAYÑA JAQUELIN KEYLA </t>
  </si>
  <si>
    <t>NISTAUZ COAQUIRA  CRISTIAN  ARIEL</t>
  </si>
  <si>
    <t xml:space="preserve">OJALVO VEIZAN YULIANA </t>
  </si>
  <si>
    <t>OVANDO AGUIRRE GABRIELA ANDREA</t>
  </si>
  <si>
    <t xml:space="preserve">PATANA MAMANI ROBERTO CARLOS </t>
  </si>
  <si>
    <t>PAUCARA GUTIERREZ ALEJANDRO ANDREI</t>
  </si>
  <si>
    <t xml:space="preserve">RAMOS MEJIA ROSSY ALEJANDRA </t>
  </si>
  <si>
    <t>ROJAS PABLO ROSS MIRELIA</t>
  </si>
  <si>
    <t>TAPIA CHAMBI ALEXANDER JESUS</t>
  </si>
  <si>
    <t>TICONA AQUINO ITAN MATEO</t>
  </si>
  <si>
    <t xml:space="preserve">VALDIVIA HERNANI AYLIN SIREL      </t>
  </si>
  <si>
    <t>VARGAS  FLORES GERALDINE SHARLIN</t>
  </si>
  <si>
    <t>VILLARROEL  SUAREZ JUAN DIEGO</t>
  </si>
  <si>
    <t>CARRION MARGUAY CAMILA SAMARA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</si>
</sst>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6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29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121" fillId="0" borderId="29" xfId="0" applyFont="1" applyBorder="1" applyAlignment="1" applyProtection="1">
      <alignment vertical="center"/>
      <protection locked="0"/>
    </xf>
    <xf numFmtId="0" fontId="122" fillId="0" borderId="29" xfId="0" applyFont="1" applyBorder="1" applyAlignment="1" applyProtection="1">
      <alignment vertical="center"/>
      <protection locked="0"/>
    </xf>
    <xf numFmtId="0" fontId="62" fillId="6" borderId="29" xfId="0" applyFont="1" applyFill="1" applyBorder="1" applyProtection="1"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121" fillId="6" borderId="29" xfId="0" applyFont="1" applyFill="1" applyBorder="1" applyProtection="1">
      <protection locked="0"/>
    </xf>
    <xf numFmtId="0" fontId="120" fillId="0" borderId="135" xfId="0" applyFont="1" applyFill="1" applyBorder="1" applyAlignment="1" applyProtection="1">
      <alignment horizontal="left" vertical="top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92928"/>
        <c:axId val="30539776"/>
      </c:barChart>
      <c:catAx>
        <c:axId val="30492928"/>
        <c:scaling>
          <c:orientation val="minMax"/>
        </c:scaling>
        <c:delete val="1"/>
        <c:axPos val="b"/>
        <c:majorTickMark val="out"/>
        <c:minorTickMark val="none"/>
        <c:tickLblPos val="nextTo"/>
        <c:crossAx val="30539776"/>
        <c:crosses val="autoZero"/>
        <c:auto val="1"/>
        <c:lblAlgn val="ctr"/>
        <c:lblOffset val="100"/>
        <c:noMultiLvlLbl val="0"/>
      </c:catAx>
      <c:valAx>
        <c:axId val="3053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04929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676864"/>
        <c:axId val="30678400"/>
        <c:axId val="0"/>
      </c:bar3DChart>
      <c:catAx>
        <c:axId val="30676864"/>
        <c:scaling>
          <c:orientation val="minMax"/>
        </c:scaling>
        <c:delete val="1"/>
        <c:axPos val="b"/>
        <c:majorTickMark val="out"/>
        <c:minorTickMark val="none"/>
        <c:tickLblPos val="nextTo"/>
        <c:crossAx val="30678400"/>
        <c:crosses val="autoZero"/>
        <c:auto val="1"/>
        <c:lblAlgn val="ctr"/>
        <c:lblOffset val="100"/>
        <c:noMultiLvlLbl val="0"/>
      </c:catAx>
      <c:valAx>
        <c:axId val="3067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30676864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689920"/>
        <c:axId val="30699904"/>
        <c:axId val="0"/>
      </c:bar3DChart>
      <c:catAx>
        <c:axId val="306899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30699904"/>
        <c:crosses val="autoZero"/>
        <c:auto val="1"/>
        <c:lblAlgn val="ctr"/>
        <c:lblOffset val="100"/>
        <c:noMultiLvlLbl val="0"/>
      </c:catAx>
      <c:valAx>
        <c:axId val="3069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06899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05312"/>
        <c:axId val="31007488"/>
      </c:barChart>
      <c:catAx>
        <c:axId val="3100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31007488"/>
        <c:crosses val="autoZero"/>
        <c:auto val="1"/>
        <c:lblAlgn val="ctr"/>
        <c:lblOffset val="100"/>
        <c:noMultiLvlLbl val="0"/>
      </c:catAx>
      <c:valAx>
        <c:axId val="3100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10053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59"/>
      <c r="P2" s="560"/>
      <c r="Q2" s="560"/>
      <c r="R2" s="560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6" t="s">
        <v>231</v>
      </c>
      <c r="E12" s="566"/>
      <c r="F12" s="566"/>
      <c r="G12" s="566"/>
      <c r="H12" s="566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2"/>
      <c r="H16" s="563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2"/>
      <c r="H18" s="563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2"/>
      <c r="H20" s="563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2"/>
      <c r="H22" s="563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2"/>
      <c r="H24" s="563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4"/>
      <c r="H26" s="565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4"/>
      <c r="H30" s="565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4"/>
      <c r="H32" s="565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2">
        <v>2019</v>
      </c>
      <c r="H34" s="563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1"/>
      <c r="E40" s="561"/>
      <c r="F40" s="561"/>
      <c r="G40" s="561"/>
      <c r="H40" s="561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23" zoomScale="80" zoomScaleNormal="80" workbookViewId="0">
      <selection activeCell="C14" sqref="C14:C42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69" t="s">
        <v>384</v>
      </c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  <c r="O2" s="570"/>
      <c r="P2" s="570"/>
      <c r="Q2" s="571"/>
    </row>
    <row r="3" spans="1:24" ht="15" customHeight="1" x14ac:dyDescent="0.2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1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6" t="s">
        <v>209</v>
      </c>
      <c r="Q5" s="577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8" t="s">
        <v>216</v>
      </c>
      <c r="Q10" s="579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0"/>
      <c r="Q11" s="581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2" t="s">
        <v>23</v>
      </c>
      <c r="D13" s="572"/>
      <c r="E13" s="57" t="s">
        <v>259</v>
      </c>
      <c r="F13" s="573" t="s">
        <v>24</v>
      </c>
      <c r="G13" s="573"/>
      <c r="H13" s="573"/>
      <c r="I13" s="58" t="s">
        <v>25</v>
      </c>
      <c r="J13" s="59" t="s">
        <v>26</v>
      </c>
      <c r="K13" s="58" t="s">
        <v>27</v>
      </c>
      <c r="L13" s="574" t="s">
        <v>28</v>
      </c>
      <c r="M13" s="575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5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5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6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5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827" t="s">
        <v>434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5" t="s">
        <v>411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5" t="s">
        <v>412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5" t="s">
        <v>413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6" t="s">
        <v>414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5" t="s">
        <v>415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6" t="s">
        <v>416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5" t="s">
        <v>417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56" t="s">
        <v>418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55" t="s">
        <v>419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5" t="s">
        <v>420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421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7" t="s">
        <v>422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5" t="s">
        <v>423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5" t="s">
        <v>424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5" t="s">
        <v>425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5" t="s">
        <v>426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8" t="s">
        <v>427</v>
      </c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556" t="s">
        <v>428</v>
      </c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555" t="s">
        <v>429</v>
      </c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555" t="s">
        <v>430</v>
      </c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555" t="s">
        <v>431</v>
      </c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828" t="s">
        <v>432</v>
      </c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556" t="s">
        <v>433</v>
      </c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7"/>
      <c r="F61" s="567"/>
      <c r="G61" s="567"/>
      <c r="H61" s="567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8">
        <f>CARATULA!G22</f>
        <v>0</v>
      </c>
      <c r="F62" s="568"/>
      <c r="G62" s="568"/>
      <c r="H62" s="568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ALIAGA MENDOZA ELIANA SALOME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BURGOA  MOLLO KAMIL JHAHIRO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CALANI MAMANI ANA VALERIA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CANAVIRI HERRADA KATHERINE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 xml:space="preserve">CANAVIRI ROJAS RUTH AMBAR 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CARRION MARGUAY CAMILA SAMARA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 xml:space="preserve">CHEJO CAMACHO NOEMI MILDRED 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DELGADO APAZA JHAMYL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DORADO CHOQUE FRANCO ANIBAL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EYZAGUIRRE CUSSI CRISTIAN  ROMMEL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FORONDA FLORES GREACE ANGELA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GAMBOA MEDINA GIULIANNA INES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 xml:space="preserve">HUANCA HERRERA SEBASTIAN  NAIN 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LAURA CHAMBILLA JOSE MISHAEL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MAMANI BUSTILLOS DANNA  SHARLYN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 xml:space="preserve">MAMANI CACERES JHONATAN RAINER 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 xml:space="preserve">MEJILLONES CHAYÑA JAQUELIN KEYLA 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NISTAUZ COAQUIRA  CRISTIAN  ARIEL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 xml:space="preserve">OJALVO VEIZAN YULIANA 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OVANDO AGUIRRE GABRIELA ANDREA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 xml:space="preserve">PATANA MAMANI ROBERTO CARLOS 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PAUCARA GUTIERREZ ALEJANDRO ANDREI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 t="str">
        <f>'C. FILIACION'!C36:D36</f>
        <v xml:space="preserve">RAMOS MEJIA ROSSY ALEJANDRA 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 t="str">
        <f>'C. FILIACION'!C37:D37</f>
        <v>ROJAS PABLO ROSS MIRELIA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 t="str">
        <f>'C. FILIACION'!C38:D38</f>
        <v>TAPIA CHAMBI ALEXANDER JESUS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 t="str">
        <f>'C. FILIACION'!C39:D39</f>
        <v>TICONA AQUINO ITAN MATEO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 t="str">
        <f>'C. FILIACION'!C40:D40</f>
        <v xml:space="preserve">VALDIVIA HERNANI AYLIN SIREL      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 t="str">
        <f>'C. FILIACION'!C41:D41</f>
        <v>VARGAS  FLORES GERALDINE SHARLIN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 t="str">
        <f>'C. FILIACION'!C42:D42</f>
        <v>VILLARROEL  SUAREZ JUAN DIEGO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98" t="s">
        <v>40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  <c r="T2" s="599"/>
      <c r="U2" s="599"/>
      <c r="V2" s="599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599"/>
      <c r="AP2" s="599"/>
      <c r="AQ2" s="599"/>
      <c r="AR2" s="599"/>
      <c r="AS2" s="599"/>
      <c r="AT2" s="599"/>
      <c r="AU2" s="599"/>
      <c r="AV2" s="599"/>
      <c r="AW2" s="599"/>
      <c r="AX2" s="599"/>
      <c r="AY2" s="599"/>
      <c r="AZ2" s="599"/>
      <c r="BA2" s="599"/>
      <c r="BB2" s="599"/>
      <c r="BC2" s="599"/>
      <c r="BD2" s="599"/>
      <c r="BE2" s="599"/>
      <c r="BF2" s="599"/>
      <c r="BG2" s="599"/>
      <c r="BH2" s="599"/>
      <c r="BI2" s="600"/>
    </row>
    <row r="3" spans="1:61" x14ac:dyDescent="0.25">
      <c r="A3" s="72"/>
      <c r="B3" s="601"/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2"/>
      <c r="AQ3" s="602"/>
      <c r="AR3" s="602"/>
      <c r="AS3" s="602"/>
      <c r="AT3" s="602"/>
      <c r="AU3" s="602"/>
      <c r="AV3" s="602"/>
      <c r="AW3" s="602"/>
      <c r="AX3" s="602"/>
      <c r="AY3" s="602"/>
      <c r="AZ3" s="602"/>
      <c r="BA3" s="602"/>
      <c r="BB3" s="602"/>
      <c r="BC3" s="602"/>
      <c r="BD3" s="602"/>
      <c r="BE3" s="602"/>
      <c r="BF3" s="602"/>
      <c r="BG3" s="602"/>
      <c r="BH3" s="602"/>
      <c r="BI3" s="603"/>
    </row>
    <row r="4" spans="1:61" ht="2.25" customHeight="1" x14ac:dyDescent="0.25">
      <c r="A4" s="72"/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9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4" t="s">
        <v>44</v>
      </c>
      <c r="BA5" s="604"/>
      <c r="BB5" s="604"/>
      <c r="BC5" s="604"/>
      <c r="BD5" s="604"/>
      <c r="BE5" s="604"/>
      <c r="BF5" s="605">
        <f>CARATULA!P8</f>
        <v>43503</v>
      </c>
      <c r="BG5" s="606"/>
      <c r="BH5" s="606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4" t="s">
        <v>45</v>
      </c>
      <c r="BA7" s="604"/>
      <c r="BB7" s="604"/>
      <c r="BC7" s="604"/>
      <c r="BD7" s="604"/>
      <c r="BE7" s="604"/>
      <c r="BF7" s="605">
        <f>CARATULA!R8</f>
        <v>43575</v>
      </c>
      <c r="BG7" s="606"/>
      <c r="BH7" s="606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5" t="s">
        <v>66</v>
      </c>
      <c r="BA9" s="595"/>
      <c r="BB9" s="595"/>
      <c r="BC9" s="595"/>
      <c r="BD9" s="595"/>
      <c r="BE9" s="595"/>
      <c r="BF9" s="596">
        <f ca="1">TODAY()</f>
        <v>43510</v>
      </c>
      <c r="BG9" s="597"/>
      <c r="BH9" s="597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89" t="s">
        <v>41</v>
      </c>
      <c r="C13" s="586" t="s">
        <v>23</v>
      </c>
      <c r="D13" s="586"/>
      <c r="E13" s="591" t="s">
        <v>236</v>
      </c>
      <c r="F13" s="591"/>
      <c r="G13" s="591"/>
      <c r="H13" s="591"/>
      <c r="I13" s="591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  <c r="AA13" s="591"/>
      <c r="AB13" s="591"/>
      <c r="AC13" s="591"/>
      <c r="AD13" s="591"/>
      <c r="AE13" s="591"/>
      <c r="AF13" s="591"/>
      <c r="AG13" s="591"/>
      <c r="AH13" s="591"/>
      <c r="AI13" s="591"/>
      <c r="AJ13" s="591"/>
      <c r="AK13" s="591"/>
      <c r="AL13" s="591"/>
      <c r="AM13" s="591"/>
      <c r="AN13" s="591"/>
      <c r="AO13" s="591"/>
      <c r="AP13" s="591"/>
      <c r="AQ13" s="591"/>
      <c r="AR13" s="591"/>
      <c r="AS13" s="591"/>
      <c r="AT13" s="591"/>
      <c r="AU13" s="591"/>
      <c r="AV13" s="591"/>
      <c r="AW13" s="591"/>
      <c r="AX13" s="591"/>
      <c r="AY13" s="591"/>
      <c r="AZ13" s="591"/>
      <c r="BA13" s="591"/>
      <c r="BB13" s="591"/>
      <c r="BC13" s="591"/>
      <c r="BD13" s="592"/>
      <c r="BE13" s="593" t="s">
        <v>42</v>
      </c>
      <c r="BF13" s="593"/>
      <c r="BG13" s="593"/>
      <c r="BH13" s="594"/>
      <c r="BI13" s="583" t="s">
        <v>237</v>
      </c>
    </row>
    <row r="14" spans="1:61" ht="68.25" customHeight="1" thickBot="1" x14ac:dyDescent="0.3">
      <c r="A14" s="72"/>
      <c r="B14" s="590"/>
      <c r="C14" s="587"/>
      <c r="D14" s="587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4"/>
    </row>
    <row r="15" spans="1:61" x14ac:dyDescent="0.25">
      <c r="B15" s="81">
        <v>1</v>
      </c>
      <c r="C15" s="588" t="str">
        <f>'C. FILIACION'!C14</f>
        <v>ALIAGA MENDOZA ELIANA SALOME</v>
      </c>
      <c r="D15" s="588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2" t="str">
        <f>'C. FILIACION'!C15</f>
        <v>BURGOA  MOLLO KAMIL JHAHIRO</v>
      </c>
      <c r="D16" s="58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2" t="str">
        <f>'C. FILIACION'!C16</f>
        <v>CALANI MAMANI ANA VALERIA</v>
      </c>
      <c r="D17" s="58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2" t="str">
        <f>'C. FILIACION'!C17</f>
        <v>CANAVIRI HERRADA KATHERINE</v>
      </c>
      <c r="D18" s="58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2" t="str">
        <f>'C. FILIACION'!C18</f>
        <v xml:space="preserve">CANAVIRI ROJAS RUTH AMBAR </v>
      </c>
      <c r="D19" s="58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2" t="str">
        <f>'C. FILIACION'!C19</f>
        <v>CARRION MARGUAY CAMILA SAMARA</v>
      </c>
      <c r="D20" s="58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2" t="str">
        <f>'C. FILIACION'!C20</f>
        <v xml:space="preserve">CHEJO CAMACHO NOEMI MILDRED </v>
      </c>
      <c r="D21" s="58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2" t="str">
        <f>'C. FILIACION'!C21</f>
        <v>DELGADO APAZA JHAMYL</v>
      </c>
      <c r="D22" s="58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2" t="str">
        <f>'C. FILIACION'!C22</f>
        <v>DORADO CHOQUE FRANCO ANIBAL</v>
      </c>
      <c r="D23" s="58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2" t="str">
        <f>'C. FILIACION'!C23</f>
        <v>EYZAGUIRRE CUSSI CRISTIAN  ROMMEL</v>
      </c>
      <c r="D24" s="58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2" t="str">
        <f>'C. FILIACION'!C24</f>
        <v>FORONDA FLORES GREACE ANGELA</v>
      </c>
      <c r="D25" s="58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2" t="str">
        <f>'C. FILIACION'!C25</f>
        <v>GAMBOA MEDINA GIULIANNA INES</v>
      </c>
      <c r="D26" s="58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2" t="str">
        <f>'C. FILIACION'!C26</f>
        <v xml:space="preserve">HUANCA HERRERA SEBASTIAN  NAIN </v>
      </c>
      <c r="D27" s="58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2" t="str">
        <f>'C. FILIACION'!C27</f>
        <v>LAURA CHAMBILLA JOSE MISHAEL</v>
      </c>
      <c r="D28" s="58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2" t="str">
        <f>'C. FILIACION'!C28</f>
        <v>MAMANI BUSTILLOS DANNA  SHARLYN</v>
      </c>
      <c r="D29" s="58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2" t="str">
        <f>'C. FILIACION'!C29</f>
        <v xml:space="preserve">MAMANI CACERES JHONATAN RAINER </v>
      </c>
      <c r="D30" s="58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2" t="str">
        <f>'C. FILIACION'!C30</f>
        <v xml:space="preserve">MEJILLONES CHAYÑA JAQUELIN KEYLA </v>
      </c>
      <c r="D31" s="58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2" t="str">
        <f>'C. FILIACION'!C31</f>
        <v>NISTAUZ COAQUIRA  CRISTIAN  ARIEL</v>
      </c>
      <c r="D32" s="58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2" t="str">
        <f>'C. FILIACION'!C32</f>
        <v xml:space="preserve">OJALVO VEIZAN YULIANA </v>
      </c>
      <c r="D33" s="58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2" t="str">
        <f>'C. FILIACION'!C33</f>
        <v>OVANDO AGUIRRE GABRIELA ANDREA</v>
      </c>
      <c r="D34" s="58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2" t="str">
        <f>'C. FILIACION'!C34</f>
        <v xml:space="preserve">PATANA MAMANI ROBERTO CARLOS </v>
      </c>
      <c r="D35" s="58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2" t="str">
        <f>'C. FILIACION'!C35</f>
        <v>PAUCARA GUTIERREZ ALEJANDRO ANDREI</v>
      </c>
      <c r="D36" s="58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2" t="str">
        <f>'C. FILIACION'!C36</f>
        <v xml:space="preserve">RAMOS MEJIA ROSSY ALEJANDRA </v>
      </c>
      <c r="D37" s="58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2" t="str">
        <f>'C. FILIACION'!C37</f>
        <v>ROJAS PABLO ROSS MIRELIA</v>
      </c>
      <c r="D38" s="58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2" t="str">
        <f>'C. FILIACION'!C38</f>
        <v>TAPIA CHAMBI ALEXANDER JESUS</v>
      </c>
      <c r="D39" s="58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2" t="str">
        <f>'C. FILIACION'!C39</f>
        <v>TICONA AQUINO ITAN MATEO</v>
      </c>
      <c r="D40" s="58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2" t="str">
        <f>'C. FILIACION'!C40</f>
        <v xml:space="preserve">VALDIVIA HERNANI AYLIN SIREL      </v>
      </c>
      <c r="D41" s="58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2" t="str">
        <f>'C. FILIACION'!C41</f>
        <v>VARGAS  FLORES GERALDINE SHARLIN</v>
      </c>
      <c r="D42" s="58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2" t="str">
        <f>'C. FILIACION'!C42</f>
        <v>VILLARROEL  SUAREZ JUAN DIEGO</v>
      </c>
      <c r="D43" s="58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2">
        <f>'C. FILIACION'!C43</f>
        <v>0</v>
      </c>
      <c r="D44" s="58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2">
        <f>'C. FILIACION'!C44</f>
        <v>0</v>
      </c>
      <c r="D45" s="58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2">
        <f>'C. FILIACION'!C45</f>
        <v>0</v>
      </c>
      <c r="D46" s="58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2">
        <f>'C. FILIACION'!C46</f>
        <v>0</v>
      </c>
      <c r="D47" s="58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2">
        <f>'C. FILIACION'!C47</f>
        <v>0</v>
      </c>
      <c r="D48" s="58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2">
        <f>'C. FILIACION'!C48</f>
        <v>0</v>
      </c>
      <c r="D49" s="58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2">
        <f>'C. FILIACION'!C49</f>
        <v>0</v>
      </c>
      <c r="D50" s="58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2">
        <f>'C. FILIACION'!C50</f>
        <v>0</v>
      </c>
      <c r="D51" s="58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2">
        <f>'C. FILIACION'!C51</f>
        <v>0</v>
      </c>
      <c r="D52" s="58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2">
        <f>'C. FILIACION'!C52</f>
        <v>0</v>
      </c>
      <c r="D53" s="58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2">
        <f>'C. FILIACION'!C53</f>
        <v>0</v>
      </c>
      <c r="D54" s="58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2">
        <f>'C. FILIACION'!C54</f>
        <v>0</v>
      </c>
      <c r="D55" s="58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2">
        <f>'C. FILIACION'!C55</f>
        <v>0</v>
      </c>
      <c r="D56" s="58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2">
        <f>'C. FILIACION'!C56</f>
        <v>0</v>
      </c>
      <c r="D57" s="58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2">
        <f>'C. FILIACION'!C57</f>
        <v>0</v>
      </c>
      <c r="D58" s="58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2">
        <f>'C. FILIACION'!C58</f>
        <v>0</v>
      </c>
      <c r="D59" s="58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5">
        <f>CARATULA!G22</f>
        <v>0</v>
      </c>
      <c r="F63" s="585"/>
      <c r="G63" s="585"/>
      <c r="H63" s="585"/>
      <c r="I63" s="585"/>
      <c r="J63" s="585"/>
      <c r="K63" s="585"/>
      <c r="L63" s="585"/>
      <c r="M63" s="585"/>
      <c r="N63" s="585"/>
      <c r="O63" s="585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5">
        <f>CARATULA!G24</f>
        <v>0</v>
      </c>
      <c r="AW63" s="585"/>
      <c r="AX63" s="585"/>
      <c r="AY63" s="585"/>
      <c r="AZ63" s="585"/>
      <c r="BA63" s="585"/>
      <c r="BB63" s="585"/>
      <c r="BC63" s="585"/>
      <c r="BD63" s="585"/>
      <c r="BE63" s="585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6" t="s">
        <v>261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  <c r="AY3" s="637"/>
      <c r="AZ3" s="637"/>
    </row>
    <row r="4" spans="1:57" ht="7.5" customHeight="1" x14ac:dyDescent="0.25">
      <c r="A4" s="102"/>
      <c r="B4" s="636"/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  <c r="AY4" s="637"/>
      <c r="AZ4" s="637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17">
        <f>CARATULA!P8</f>
        <v>43503</v>
      </c>
      <c r="AE6" s="617"/>
      <c r="AF6" s="617"/>
      <c r="AG6" s="617"/>
      <c r="AH6" s="617"/>
      <c r="AI6" s="121"/>
      <c r="AJ6" s="643"/>
      <c r="AK6" s="643"/>
      <c r="AL6" s="643"/>
      <c r="AM6" s="643"/>
      <c r="AN6" s="643"/>
      <c r="AO6" s="643"/>
      <c r="AP6" s="643"/>
      <c r="AQ6" s="630"/>
      <c r="AR6" s="630"/>
      <c r="AS6" s="626"/>
      <c r="AT6" s="627"/>
      <c r="AU6" s="627"/>
      <c r="AV6" s="627"/>
      <c r="AW6" s="627"/>
      <c r="AX6" s="628"/>
      <c r="AY6" s="639" t="s">
        <v>68</v>
      </c>
      <c r="AZ6" s="640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46" t="s">
        <v>228</v>
      </c>
      <c r="AK7" s="646"/>
      <c r="AL7" s="646"/>
      <c r="AM7" s="646"/>
      <c r="AN7" s="646"/>
      <c r="AO7" s="646"/>
      <c r="AP7" s="646"/>
      <c r="AQ7" s="647">
        <f>COUNTIF(AY19:AY63,"&gt;=50,500")</f>
        <v>0</v>
      </c>
      <c r="AR7" s="647"/>
      <c r="AS7" s="629"/>
      <c r="AT7" s="630"/>
      <c r="AU7" s="630"/>
      <c r="AV7" s="630"/>
      <c r="AW7" s="630"/>
      <c r="AX7" s="631"/>
      <c r="AY7" s="639"/>
      <c r="AZ7" s="640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38">
        <f>CARATULA!R8</f>
        <v>43575</v>
      </c>
      <c r="AE8" s="638"/>
      <c r="AF8" s="638"/>
      <c r="AG8" s="638"/>
      <c r="AH8" s="638"/>
      <c r="AI8" s="121"/>
      <c r="AJ8" s="644" t="s">
        <v>229</v>
      </c>
      <c r="AK8" s="644"/>
      <c r="AL8" s="644"/>
      <c r="AM8" s="644"/>
      <c r="AN8" s="644"/>
      <c r="AO8" s="644"/>
      <c r="AP8" s="644"/>
      <c r="AQ8" s="645">
        <f>COUNTIFS(AY19:AY63,"&gt;=1",AY19:AY63,"&lt;=50,499")</f>
        <v>0</v>
      </c>
      <c r="AR8" s="645"/>
      <c r="AS8" s="629"/>
      <c r="AT8" s="630"/>
      <c r="AU8" s="630"/>
      <c r="AV8" s="630"/>
      <c r="AW8" s="630"/>
      <c r="AX8" s="631"/>
      <c r="AY8" s="641">
        <f ca="1">AD8-AD10</f>
        <v>65</v>
      </c>
      <c r="AZ8" s="642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9"/>
      <c r="AT9" s="630"/>
      <c r="AU9" s="630"/>
      <c r="AV9" s="630"/>
      <c r="AW9" s="630"/>
      <c r="AX9" s="631"/>
      <c r="AY9" s="641"/>
      <c r="AZ9" s="642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5" t="s">
        <v>66</v>
      </c>
      <c r="W10" s="635"/>
      <c r="X10" s="635"/>
      <c r="Y10" s="635"/>
      <c r="Z10" s="635"/>
      <c r="AA10" s="635"/>
      <c r="AB10" s="635"/>
      <c r="AC10" s="304" t="s">
        <v>6</v>
      </c>
      <c r="AD10" s="617">
        <f ca="1">TODAY()</f>
        <v>43510</v>
      </c>
      <c r="AE10" s="618"/>
      <c r="AF10" s="618"/>
      <c r="AG10" s="618"/>
      <c r="AH10" s="618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9"/>
      <c r="AT10" s="630"/>
      <c r="AU10" s="630"/>
      <c r="AV10" s="630"/>
      <c r="AW10" s="630"/>
      <c r="AX10" s="631"/>
      <c r="AY10" s="641"/>
      <c r="AZ10" s="642"/>
      <c r="BB10" s="417">
        <v>1</v>
      </c>
      <c r="BC10" s="493" t="str">
        <f>VLOOKUP(BB10,'C. FILIACION'!B14:C58, 2,FALSE)</f>
        <v>ALIAGA MENDOZA ELIANA SALOME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9"/>
      <c r="AT11" s="630"/>
      <c r="AU11" s="630"/>
      <c r="AV11" s="630"/>
      <c r="AW11" s="630"/>
      <c r="AX11" s="631"/>
      <c r="AY11" s="641"/>
      <c r="AZ11" s="642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2"/>
      <c r="AT12" s="633"/>
      <c r="AU12" s="633"/>
      <c r="AV12" s="633"/>
      <c r="AW12" s="633"/>
      <c r="AX12" s="634"/>
      <c r="AY12" s="641"/>
      <c r="AZ12" s="642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48"/>
      <c r="C14" s="648"/>
      <c r="D14" s="619" t="s">
        <v>240</v>
      </c>
      <c r="E14" s="620"/>
      <c r="F14" s="620"/>
      <c r="G14" s="620"/>
      <c r="H14" s="620"/>
      <c r="I14" s="620"/>
      <c r="J14" s="620"/>
      <c r="K14" s="620"/>
      <c r="L14" s="620"/>
      <c r="M14" s="620"/>
      <c r="N14" s="620"/>
      <c r="O14" s="620"/>
      <c r="P14" s="620"/>
      <c r="Q14" s="620"/>
      <c r="R14" s="620"/>
      <c r="S14" s="620"/>
      <c r="T14" s="620"/>
      <c r="U14" s="620"/>
      <c r="V14" s="620"/>
      <c r="W14" s="620"/>
      <c r="X14" s="620"/>
      <c r="Y14" s="620"/>
      <c r="Z14" s="620"/>
      <c r="AA14" s="620"/>
      <c r="AB14" s="620"/>
      <c r="AC14" s="620"/>
      <c r="AD14" s="620"/>
      <c r="AE14" s="620"/>
      <c r="AF14" s="620"/>
      <c r="AG14" s="620"/>
      <c r="AH14" s="620"/>
      <c r="AI14" s="620"/>
      <c r="AJ14" s="620"/>
      <c r="AK14" s="620"/>
      <c r="AL14" s="620"/>
      <c r="AM14" s="620"/>
      <c r="AN14" s="620"/>
      <c r="AO14" s="620"/>
      <c r="AP14" s="620"/>
      <c r="AQ14" s="620"/>
      <c r="AR14" s="620"/>
      <c r="AS14" s="620"/>
      <c r="AT14" s="620"/>
      <c r="AU14" s="620"/>
      <c r="AV14" s="621"/>
      <c r="AW14" s="651" t="s">
        <v>238</v>
      </c>
      <c r="AX14" s="652"/>
      <c r="AY14" s="613" t="s">
        <v>206</v>
      </c>
      <c r="AZ14" s="610" t="s">
        <v>67</v>
      </c>
      <c r="BB14" s="454"/>
      <c r="BC14" s="496">
        <f ca="1">NOW()</f>
        <v>43510.376313657405</v>
      </c>
      <c r="BD14" s="455"/>
    </row>
    <row r="15" spans="1:57" ht="15" customHeight="1" x14ac:dyDescent="0.25">
      <c r="B15" s="649"/>
      <c r="C15" s="649"/>
      <c r="D15" s="622" t="s">
        <v>55</v>
      </c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/>
      <c r="AF15" s="623"/>
      <c r="AG15" s="623"/>
      <c r="AH15" s="623"/>
      <c r="AI15" s="623"/>
      <c r="AJ15" s="623"/>
      <c r="AK15" s="623"/>
      <c r="AL15" s="623"/>
      <c r="AM15" s="623"/>
      <c r="AN15" s="623"/>
      <c r="AO15" s="623"/>
      <c r="AP15" s="623"/>
      <c r="AQ15" s="623"/>
      <c r="AR15" s="623"/>
      <c r="AS15" s="623"/>
      <c r="AT15" s="623"/>
      <c r="AU15" s="623"/>
      <c r="AV15" s="624"/>
      <c r="AW15" s="653" t="s">
        <v>55</v>
      </c>
      <c r="AX15" s="654"/>
      <c r="AY15" s="614"/>
      <c r="AZ15" s="611"/>
      <c r="BB15" s="454"/>
      <c r="BC15" s="454"/>
      <c r="BD15" s="455"/>
    </row>
    <row r="16" spans="1:57" ht="15" customHeight="1" x14ac:dyDescent="0.25">
      <c r="B16" s="649"/>
      <c r="C16" s="649"/>
      <c r="D16" s="625" t="s">
        <v>59</v>
      </c>
      <c r="E16" s="625"/>
      <c r="F16" s="625"/>
      <c r="G16" s="625"/>
      <c r="H16" s="625"/>
      <c r="I16" s="625"/>
      <c r="J16" s="625"/>
      <c r="K16" s="663" t="s">
        <v>58</v>
      </c>
      <c r="L16" s="663"/>
      <c r="M16" s="663"/>
      <c r="N16" s="663"/>
      <c r="O16" s="663"/>
      <c r="P16" s="663"/>
      <c r="Q16" s="663"/>
      <c r="R16" s="663"/>
      <c r="S16" s="663"/>
      <c r="T16" s="663"/>
      <c r="U16" s="663"/>
      <c r="V16" s="663"/>
      <c r="W16" s="663"/>
      <c r="X16" s="663"/>
      <c r="Y16" s="663"/>
      <c r="Z16" s="663"/>
      <c r="AA16" s="664" t="s">
        <v>61</v>
      </c>
      <c r="AB16" s="664"/>
      <c r="AC16" s="664"/>
      <c r="AD16" s="664"/>
      <c r="AE16" s="664"/>
      <c r="AF16" s="664"/>
      <c r="AG16" s="664"/>
      <c r="AH16" s="664"/>
      <c r="AI16" s="664"/>
      <c r="AJ16" s="664"/>
      <c r="AK16" s="664"/>
      <c r="AL16" s="664"/>
      <c r="AM16" s="664"/>
      <c r="AN16" s="664"/>
      <c r="AO16" s="664"/>
      <c r="AP16" s="664"/>
      <c r="AQ16" s="667" t="s">
        <v>60</v>
      </c>
      <c r="AR16" s="667"/>
      <c r="AS16" s="667"/>
      <c r="AT16" s="667"/>
      <c r="AU16" s="667"/>
      <c r="AV16" s="667"/>
      <c r="AW16" s="337" t="s">
        <v>62</v>
      </c>
      <c r="AX16" s="338" t="s">
        <v>63</v>
      </c>
      <c r="AY16" s="614"/>
      <c r="AZ16" s="611"/>
      <c r="BB16" s="454"/>
      <c r="BC16" s="456" t="s">
        <v>309</v>
      </c>
      <c r="BD16" s="455"/>
      <c r="BE16" s="446"/>
    </row>
    <row r="17" spans="2:56" ht="107.25" customHeight="1" x14ac:dyDescent="0.25">
      <c r="B17" s="650"/>
      <c r="C17" s="650"/>
      <c r="D17" s="457" t="s">
        <v>217</v>
      </c>
      <c r="E17" s="659"/>
      <c r="F17" s="659"/>
      <c r="G17" s="659"/>
      <c r="H17" s="659"/>
      <c r="I17" s="660"/>
      <c r="J17" s="670" t="s">
        <v>56</v>
      </c>
      <c r="K17" s="662"/>
      <c r="L17" s="659"/>
      <c r="M17" s="659"/>
      <c r="N17" s="659"/>
      <c r="O17" s="661"/>
      <c r="P17" s="659"/>
      <c r="Q17" s="659"/>
      <c r="R17" s="659"/>
      <c r="S17" s="659"/>
      <c r="T17" s="661"/>
      <c r="U17" s="659"/>
      <c r="V17" s="659"/>
      <c r="W17" s="659"/>
      <c r="X17" s="659"/>
      <c r="Y17" s="660"/>
      <c r="Z17" s="672" t="s">
        <v>57</v>
      </c>
      <c r="AA17" s="662"/>
      <c r="AB17" s="659"/>
      <c r="AC17" s="659"/>
      <c r="AD17" s="659"/>
      <c r="AE17" s="661"/>
      <c r="AF17" s="659"/>
      <c r="AG17" s="659"/>
      <c r="AH17" s="659"/>
      <c r="AI17" s="659"/>
      <c r="AJ17" s="661"/>
      <c r="AK17" s="659"/>
      <c r="AL17" s="659"/>
      <c r="AM17" s="659"/>
      <c r="AN17" s="659"/>
      <c r="AO17" s="660"/>
      <c r="AP17" s="674" t="s">
        <v>57</v>
      </c>
      <c r="AQ17" s="662"/>
      <c r="AR17" s="659"/>
      <c r="AS17" s="659"/>
      <c r="AT17" s="659"/>
      <c r="AU17" s="660"/>
      <c r="AV17" s="665" t="s">
        <v>56</v>
      </c>
      <c r="AW17" s="655"/>
      <c r="AX17" s="657"/>
      <c r="AY17" s="614"/>
      <c r="AZ17" s="611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1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3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5"/>
      <c r="AQ18" s="327"/>
      <c r="AR18" s="327"/>
      <c r="AS18" s="327"/>
      <c r="AT18" s="327"/>
      <c r="AU18" s="327"/>
      <c r="AV18" s="666"/>
      <c r="AW18" s="656"/>
      <c r="AX18" s="658"/>
      <c r="AY18" s="615"/>
      <c r="AZ18" s="612"/>
    </row>
    <row r="19" spans="2:56" x14ac:dyDescent="0.25">
      <c r="B19" s="131">
        <v>1</v>
      </c>
      <c r="C19" s="499" t="str">
        <f>'C. FILIACION'!C14</f>
        <v>ALIAGA MENDOZA ELIANA SALOME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BURGOA  MOLLO KAMIL JHAHIRO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CALANI MAMANI ANA VALERIA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CANAVIRI HERRADA KATHERINE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 xml:space="preserve">CANAVIRI ROJAS RUTH AMBAR 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CARRION MARGUAY CAMILA SAMARA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 xml:space="preserve">CHEJO CAMACHO NOEMI MILDRED 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DELGADO APAZA JHAMYL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DORADO CHOQUE FRANCO ANIBAL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EYZAGUIRRE CUSSI CRISTIAN  ROMMEL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FORONDA FLORES GREACE ANGELA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GAMBOA MEDINA GIULIANNA INES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 xml:space="preserve">HUANCA HERRERA SEBASTIAN  NAIN 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LAURA CHAMBILLA JOSE MISHAEL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MAMANI BUSTILLOS DANNA  SHARLYN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 xml:space="preserve">MAMANI CACERES JHONATAN RAINER 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 xml:space="preserve">MEJILLONES CHAYÑA JAQUELIN KEYLA 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NISTAUZ COAQUIRA  CRISTIAN  ARIEL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 xml:space="preserve">OJALVO VEIZAN YULIANA 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OVANDO AGUIRRE GABRIELA ANDREA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 xml:space="preserve">PATANA MAMANI ROBERTO CARLOS 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PAUCARA GUTIERREZ ALEJANDRO ANDREI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 t="str">
        <f>'C. FILIACION'!C36</f>
        <v xml:space="preserve">RAMOS MEJIA ROSSY ALEJANDRA 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 t="str">
        <f>'C. FILIACION'!C37</f>
        <v>ROJAS PABLO ROSS MIRELIA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 t="str">
        <f>'C. FILIACION'!C38</f>
        <v>TAPIA CHAMBI ALEXANDER JESUS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 t="str">
        <f>'C. FILIACION'!C39</f>
        <v>TICONA AQUINO ITAN MATEO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 t="str">
        <f>'C. FILIACION'!C40</f>
        <v xml:space="preserve">VALDIVIA HERNANI AYLIN SIREL      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 t="str">
        <f>'C. FILIACION'!C41</f>
        <v>VARGAS  FLORES GERALDINE SHARLIN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 t="str">
        <f>'C. FILIACION'!C42</f>
        <v>VILLARROEL  SUAREZ JUAN DIEGO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16"/>
      <c r="AX65" s="616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16"/>
      <c r="AX66" s="616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68"/>
      <c r="J67" s="668"/>
      <c r="K67" s="668"/>
      <c r="L67" s="668"/>
      <c r="M67" s="668"/>
      <c r="N67" s="668"/>
      <c r="O67" s="668"/>
      <c r="P67" s="668"/>
      <c r="Q67" s="668"/>
      <c r="R67" s="668"/>
      <c r="S67" s="668"/>
      <c r="T67" s="668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68"/>
      <c r="AF67" s="668"/>
      <c r="AG67" s="668"/>
      <c r="AH67" s="668"/>
      <c r="AI67" s="668"/>
      <c r="AJ67" s="668"/>
      <c r="AK67" s="668"/>
      <c r="AL67" s="668"/>
      <c r="AM67" s="668"/>
      <c r="AN67" s="668"/>
      <c r="AO67" s="668"/>
      <c r="AP67" s="668"/>
      <c r="AQ67" s="668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69">
        <f>CARATULA!G22</f>
        <v>0</v>
      </c>
      <c r="J68" s="669"/>
      <c r="K68" s="669"/>
      <c r="L68" s="669"/>
      <c r="M68" s="669"/>
      <c r="N68" s="669"/>
      <c r="O68" s="669"/>
      <c r="P68" s="669"/>
      <c r="Q68" s="669"/>
      <c r="R68" s="669"/>
      <c r="S68" s="669"/>
      <c r="T68" s="669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69">
        <f>CARATULA!G24</f>
        <v>0</v>
      </c>
      <c r="AF68" s="669"/>
      <c r="AG68" s="669"/>
      <c r="AH68" s="669"/>
      <c r="AI68" s="669"/>
      <c r="AJ68" s="669"/>
      <c r="AK68" s="669"/>
      <c r="AL68" s="669"/>
      <c r="AM68" s="669"/>
      <c r="AN68" s="669"/>
      <c r="AO68" s="669"/>
      <c r="AP68" s="669"/>
      <c r="AQ68" s="669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6" t="s">
        <v>315</v>
      </c>
      <c r="C1" s="676"/>
      <c r="D1" s="676"/>
      <c r="E1" s="676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98" t="s">
        <v>83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  <c r="T2" s="599"/>
      <c r="U2" s="599"/>
      <c r="V2" s="599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599"/>
      <c r="AP2" s="599"/>
      <c r="AQ2" s="599"/>
      <c r="AR2" s="599"/>
      <c r="AS2" s="599"/>
      <c r="AT2" s="599"/>
      <c r="AU2" s="599"/>
      <c r="AV2" s="599"/>
      <c r="AW2" s="599"/>
      <c r="AX2" s="599"/>
      <c r="AY2" s="599"/>
      <c r="AZ2" s="599"/>
      <c r="BA2" s="599"/>
      <c r="BB2" s="599"/>
      <c r="BC2" s="599"/>
      <c r="BD2" s="599"/>
      <c r="BE2" s="599"/>
      <c r="BF2" s="599"/>
      <c r="BG2" s="599"/>
      <c r="BH2" s="599"/>
      <c r="BI2" s="599"/>
      <c r="BJ2" s="599"/>
      <c r="BK2" s="600"/>
      <c r="BL2" s="72"/>
    </row>
    <row r="3" spans="1:64" x14ac:dyDescent="0.25">
      <c r="A3" s="72"/>
      <c r="B3" s="601"/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2"/>
      <c r="AQ3" s="602"/>
      <c r="AR3" s="602"/>
      <c r="AS3" s="602"/>
      <c r="AT3" s="602"/>
      <c r="AU3" s="602"/>
      <c r="AV3" s="602"/>
      <c r="AW3" s="602"/>
      <c r="AX3" s="602"/>
      <c r="AY3" s="602"/>
      <c r="AZ3" s="602"/>
      <c r="BA3" s="602"/>
      <c r="BB3" s="602"/>
      <c r="BC3" s="602"/>
      <c r="BD3" s="602"/>
      <c r="BE3" s="602"/>
      <c r="BF3" s="602"/>
      <c r="BG3" s="602"/>
      <c r="BH3" s="602"/>
      <c r="BI3" s="602"/>
      <c r="BJ3" s="602"/>
      <c r="BK3" s="603"/>
      <c r="BL3" s="72"/>
    </row>
    <row r="4" spans="1:64" ht="2.25" customHeight="1" x14ac:dyDescent="0.25">
      <c r="A4" s="72"/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8"/>
      <c r="BJ4" s="608"/>
      <c r="BK4" s="609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4" t="s">
        <v>44</v>
      </c>
      <c r="BC5" s="604"/>
      <c r="BD5" s="604"/>
      <c r="BE5" s="604"/>
      <c r="BF5" s="604"/>
      <c r="BG5" s="604"/>
      <c r="BH5" s="605">
        <f>CARATULA!P13</f>
        <v>43578</v>
      </c>
      <c r="BI5" s="606"/>
      <c r="BJ5" s="606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4" t="s">
        <v>45</v>
      </c>
      <c r="BC7" s="604"/>
      <c r="BD7" s="604"/>
      <c r="BE7" s="604"/>
      <c r="BF7" s="604"/>
      <c r="BG7" s="604"/>
      <c r="BH7" s="605">
        <f>CARATULA!R13</f>
        <v>43646</v>
      </c>
      <c r="BI7" s="606"/>
      <c r="BJ7" s="606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5" t="s">
        <v>200</v>
      </c>
      <c r="BC9" s="595"/>
      <c r="BD9" s="595"/>
      <c r="BE9" s="595"/>
      <c r="BF9" s="595"/>
      <c r="BG9" s="595"/>
      <c r="BH9" s="677">
        <f ca="1">TODAY()</f>
        <v>43510</v>
      </c>
      <c r="BI9" s="678"/>
      <c r="BJ9" s="678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89" t="s">
        <v>41</v>
      </c>
      <c r="C13" s="586" t="s">
        <v>23</v>
      </c>
      <c r="D13" s="586"/>
      <c r="E13" s="591" t="s">
        <v>239</v>
      </c>
      <c r="F13" s="591"/>
      <c r="G13" s="591"/>
      <c r="H13" s="591"/>
      <c r="I13" s="591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  <c r="AA13" s="591"/>
      <c r="AB13" s="591"/>
      <c r="AC13" s="591"/>
      <c r="AD13" s="591"/>
      <c r="AE13" s="591"/>
      <c r="AF13" s="591"/>
      <c r="AG13" s="591"/>
      <c r="AH13" s="591"/>
      <c r="AI13" s="591"/>
      <c r="AJ13" s="591"/>
      <c r="AK13" s="591"/>
      <c r="AL13" s="591"/>
      <c r="AM13" s="591"/>
      <c r="AN13" s="591"/>
      <c r="AO13" s="591"/>
      <c r="AP13" s="591"/>
      <c r="AQ13" s="591"/>
      <c r="AR13" s="591"/>
      <c r="AS13" s="591"/>
      <c r="AT13" s="591"/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591"/>
      <c r="BF13" s="592"/>
      <c r="BG13" s="593" t="s">
        <v>42</v>
      </c>
      <c r="BH13" s="593"/>
      <c r="BI13" s="593"/>
      <c r="BJ13" s="594"/>
      <c r="BK13" s="679" t="s">
        <v>237</v>
      </c>
    </row>
    <row r="14" spans="1:64" ht="68.25" customHeight="1" thickBot="1" x14ac:dyDescent="0.3">
      <c r="A14" s="72"/>
      <c r="B14" s="590"/>
      <c r="C14" s="587"/>
      <c r="D14" s="587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4" x14ac:dyDescent="0.25">
      <c r="A15" s="72"/>
      <c r="B15" s="81">
        <v>1</v>
      </c>
      <c r="C15" s="588" t="str">
        <f>'C. FILIACION'!C14</f>
        <v>ALIAGA MENDOZA ELIANA SALOME</v>
      </c>
      <c r="D15" s="588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2" t="str">
        <f>'C. FILIACION'!C15</f>
        <v>BURGOA  MOLLO KAMIL JHAHIRO</v>
      </c>
      <c r="D16" s="582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2" t="str">
        <f>'C. FILIACION'!C16</f>
        <v>CALANI MAMANI ANA VALERIA</v>
      </c>
      <c r="D17" s="582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2" t="str">
        <f>'C. FILIACION'!C17</f>
        <v>CANAVIRI HERRADA KATHERINE</v>
      </c>
      <c r="D18" s="582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2" t="str">
        <f>'C. FILIACION'!C18</f>
        <v xml:space="preserve">CANAVIRI ROJAS RUTH AMBAR </v>
      </c>
      <c r="D19" s="582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2" t="str">
        <f>'C. FILIACION'!C19</f>
        <v>CARRION MARGUAY CAMILA SAMARA</v>
      </c>
      <c r="D20" s="582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2" t="str">
        <f>'C. FILIACION'!C20</f>
        <v xml:space="preserve">CHEJO CAMACHO NOEMI MILDRED </v>
      </c>
      <c r="D21" s="582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2" t="str">
        <f>'C. FILIACION'!C21</f>
        <v>DELGADO APAZA JHAMYL</v>
      </c>
      <c r="D22" s="582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2" t="str">
        <f>'C. FILIACION'!C22</f>
        <v>DORADO CHOQUE FRANCO ANIBAL</v>
      </c>
      <c r="D23" s="582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2" t="str">
        <f>'C. FILIACION'!C23</f>
        <v>EYZAGUIRRE CUSSI CRISTIAN  ROMMEL</v>
      </c>
      <c r="D24" s="582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2" t="str">
        <f>'C. FILIACION'!C24</f>
        <v>FORONDA FLORES GREACE ANGELA</v>
      </c>
      <c r="D25" s="582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2" t="str">
        <f>'C. FILIACION'!C25</f>
        <v>GAMBOA MEDINA GIULIANNA INES</v>
      </c>
      <c r="D26" s="58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2" t="str">
        <f>'C. FILIACION'!C26</f>
        <v xml:space="preserve">HUANCA HERRERA SEBASTIAN  NAIN </v>
      </c>
      <c r="D27" s="58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2" t="str">
        <f>'C. FILIACION'!C27</f>
        <v>LAURA CHAMBILLA JOSE MISHAEL</v>
      </c>
      <c r="D28" s="58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2" t="str">
        <f>'C. FILIACION'!C28</f>
        <v>MAMANI BUSTILLOS DANNA  SHARLYN</v>
      </c>
      <c r="D29" s="582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2" t="str">
        <f>'C. FILIACION'!C29</f>
        <v xml:space="preserve">MAMANI CACERES JHONATAN RAINER </v>
      </c>
      <c r="D30" s="582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2" t="str">
        <f>'C. FILIACION'!C30</f>
        <v xml:space="preserve">MEJILLONES CHAYÑA JAQUELIN KEYLA </v>
      </c>
      <c r="D31" s="58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2" t="str">
        <f>'C. FILIACION'!C31</f>
        <v>NISTAUZ COAQUIRA  CRISTIAN  ARIEL</v>
      </c>
      <c r="D32" s="58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2" t="str">
        <f>'C. FILIACION'!C32</f>
        <v xml:space="preserve">OJALVO VEIZAN YULIANA </v>
      </c>
      <c r="D33" s="58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2" t="str">
        <f>'C. FILIACION'!C33</f>
        <v>OVANDO AGUIRRE GABRIELA ANDREA</v>
      </c>
      <c r="D34" s="58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2" t="str">
        <f>'C. FILIACION'!C34</f>
        <v xml:space="preserve">PATANA MAMANI ROBERTO CARLOS </v>
      </c>
      <c r="D35" s="58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2" t="str">
        <f>'C. FILIACION'!C35</f>
        <v>PAUCARA GUTIERREZ ALEJANDRO ANDREI</v>
      </c>
      <c r="D36" s="58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2" t="str">
        <f>'C. FILIACION'!C36</f>
        <v xml:space="preserve">RAMOS MEJIA ROSSY ALEJANDRA </v>
      </c>
      <c r="D37" s="58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2" t="str">
        <f>'C. FILIACION'!C37</f>
        <v>ROJAS PABLO ROSS MIRELIA</v>
      </c>
      <c r="D38" s="58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2" t="str">
        <f>'C. FILIACION'!C38</f>
        <v>TAPIA CHAMBI ALEXANDER JESUS</v>
      </c>
      <c r="D39" s="58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2" t="str">
        <f>'C. FILIACION'!C39</f>
        <v>TICONA AQUINO ITAN MATEO</v>
      </c>
      <c r="D40" s="58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2" t="str">
        <f>'C. FILIACION'!C40</f>
        <v xml:space="preserve">VALDIVIA HERNANI AYLIN SIREL      </v>
      </c>
      <c r="D41" s="58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2" t="str">
        <f>'C. FILIACION'!C41</f>
        <v>VARGAS  FLORES GERALDINE SHARLIN</v>
      </c>
      <c r="D42" s="58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2" t="str">
        <f>'C. FILIACION'!C42</f>
        <v>VILLARROEL  SUAREZ JUAN DIEGO</v>
      </c>
      <c r="D43" s="58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2">
        <f>'C. FILIACION'!C43</f>
        <v>0</v>
      </c>
      <c r="D44" s="58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2">
        <f>'C. FILIACION'!C44</f>
        <v>0</v>
      </c>
      <c r="D45" s="58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2">
        <f>'C. FILIACION'!C45</f>
        <v>0</v>
      </c>
      <c r="D46" s="58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2">
        <f>'C. FILIACION'!C46</f>
        <v>0</v>
      </c>
      <c r="D47" s="58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2">
        <f>'C. FILIACION'!C47</f>
        <v>0</v>
      </c>
      <c r="D48" s="58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2">
        <f>'C. FILIACION'!C48</f>
        <v>0</v>
      </c>
      <c r="D49" s="58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2">
        <f>'C. FILIACION'!C49</f>
        <v>0</v>
      </c>
      <c r="D50" s="58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2">
        <f>'C. FILIACION'!C50</f>
        <v>0</v>
      </c>
      <c r="D51" s="58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2">
        <f>'C. FILIACION'!C51</f>
        <v>0</v>
      </c>
      <c r="D52" s="58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2">
        <f>'C. FILIACION'!C52</f>
        <v>0</v>
      </c>
      <c r="D53" s="58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2">
        <f>'C. FILIACION'!C53</f>
        <v>0</v>
      </c>
      <c r="D54" s="58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2">
        <f>'C. FILIACION'!C54</f>
        <v>0</v>
      </c>
      <c r="D55" s="58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2">
        <f>'C. FILIACION'!C55</f>
        <v>0</v>
      </c>
      <c r="D56" s="58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2">
        <f>'C. FILIACION'!C56</f>
        <v>0</v>
      </c>
      <c r="D57" s="58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2">
        <f>'C. FILIACION'!C57</f>
        <v>0</v>
      </c>
      <c r="D58" s="58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2">
        <f>'C. FILIACION'!C58</f>
        <v>0</v>
      </c>
      <c r="D59" s="58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1">
        <f>CARATULA!G22</f>
        <v>0</v>
      </c>
      <c r="F63" s="681"/>
      <c r="G63" s="681"/>
      <c r="H63" s="681"/>
      <c r="I63" s="681"/>
      <c r="J63" s="681"/>
      <c r="K63" s="681"/>
      <c r="L63" s="681"/>
      <c r="M63" s="681"/>
      <c r="N63" s="681"/>
      <c r="O63" s="681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5">
        <f>CARATULA!G24</f>
        <v>0</v>
      </c>
      <c r="AY63" s="585"/>
      <c r="AZ63" s="585"/>
      <c r="BA63" s="585"/>
      <c r="BB63" s="585"/>
      <c r="BC63" s="585"/>
      <c r="BD63" s="585"/>
      <c r="BE63" s="585"/>
      <c r="BF63" s="585"/>
      <c r="BG63" s="585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6" t="s">
        <v>262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  <c r="AY3" s="637"/>
      <c r="AZ3" s="637"/>
      <c r="BA3" s="72"/>
    </row>
    <row r="4" spans="1:55" ht="7.5" customHeight="1" x14ac:dyDescent="0.25">
      <c r="A4" s="102"/>
      <c r="B4" s="636"/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  <c r="AY4" s="637"/>
      <c r="AZ4" s="637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7">
        <f>CARATULA!P13</f>
        <v>43578</v>
      </c>
      <c r="AE6" s="617"/>
      <c r="AF6" s="617"/>
      <c r="AG6" s="617"/>
      <c r="AH6" s="617"/>
      <c r="AI6" s="121"/>
      <c r="AJ6" s="643"/>
      <c r="AK6" s="643"/>
      <c r="AL6" s="643"/>
      <c r="AM6" s="643"/>
      <c r="AN6" s="643"/>
      <c r="AO6" s="643"/>
      <c r="AP6" s="643"/>
      <c r="AQ6" s="630"/>
      <c r="AR6" s="630"/>
      <c r="AS6" s="626"/>
      <c r="AT6" s="627"/>
      <c r="AU6" s="627"/>
      <c r="AV6" s="627"/>
      <c r="AW6" s="627"/>
      <c r="AX6" s="628"/>
      <c r="AY6" s="682" t="s">
        <v>68</v>
      </c>
      <c r="AZ6" s="683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46" t="s">
        <v>228</v>
      </c>
      <c r="AK7" s="646"/>
      <c r="AL7" s="646"/>
      <c r="AM7" s="646"/>
      <c r="AN7" s="646"/>
      <c r="AO7" s="646"/>
      <c r="AP7" s="646"/>
      <c r="AQ7" s="684">
        <f>COUNTIF(AY19:AY63,"&gt;=50,500")</f>
        <v>0</v>
      </c>
      <c r="AR7" s="684"/>
      <c r="AS7" s="629"/>
      <c r="AT7" s="630"/>
      <c r="AU7" s="630"/>
      <c r="AV7" s="630"/>
      <c r="AW7" s="630"/>
      <c r="AX7" s="631"/>
      <c r="AY7" s="682"/>
      <c r="AZ7" s="683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5" t="s">
        <v>45</v>
      </c>
      <c r="W8" s="685"/>
      <c r="X8" s="685"/>
      <c r="Y8" s="685"/>
      <c r="Z8" s="685"/>
      <c r="AA8" s="685"/>
      <c r="AB8" s="685"/>
      <c r="AC8" s="303" t="s">
        <v>6</v>
      </c>
      <c r="AD8" s="617">
        <f>CARATULA!R13</f>
        <v>43646</v>
      </c>
      <c r="AE8" s="617"/>
      <c r="AF8" s="617"/>
      <c r="AG8" s="617"/>
      <c r="AH8" s="617"/>
      <c r="AI8" s="121"/>
      <c r="AJ8" s="644" t="s">
        <v>229</v>
      </c>
      <c r="AK8" s="644"/>
      <c r="AL8" s="644"/>
      <c r="AM8" s="644"/>
      <c r="AN8" s="644"/>
      <c r="AO8" s="644"/>
      <c r="AP8" s="644"/>
      <c r="AQ8" s="686">
        <f>COUNTIFS(AY19:AY63,"&gt;=1",AY19:AY63,"&lt;=50,499")</f>
        <v>0</v>
      </c>
      <c r="AR8" s="686"/>
      <c r="AS8" s="629"/>
      <c r="AT8" s="630"/>
      <c r="AU8" s="630"/>
      <c r="AV8" s="630"/>
      <c r="AW8" s="630"/>
      <c r="AX8" s="631"/>
      <c r="AY8" s="641">
        <f ca="1">AD8-AD10</f>
        <v>136</v>
      </c>
      <c r="AZ8" s="642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9"/>
      <c r="AT9" s="630"/>
      <c r="AU9" s="630"/>
      <c r="AV9" s="630"/>
      <c r="AW9" s="630"/>
      <c r="AX9" s="631"/>
      <c r="AY9" s="641"/>
      <c r="AZ9" s="642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5" t="s">
        <v>66</v>
      </c>
      <c r="W10" s="635"/>
      <c r="X10" s="635"/>
      <c r="Y10" s="635"/>
      <c r="Z10" s="635"/>
      <c r="AA10" s="635"/>
      <c r="AB10" s="635"/>
      <c r="AC10" s="304" t="s">
        <v>6</v>
      </c>
      <c r="AD10" s="617">
        <f ca="1">TODAY()</f>
        <v>43510</v>
      </c>
      <c r="AE10" s="618"/>
      <c r="AF10" s="618"/>
      <c r="AG10" s="618"/>
      <c r="AH10" s="618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9"/>
      <c r="AT10" s="630"/>
      <c r="AU10" s="630"/>
      <c r="AV10" s="630"/>
      <c r="AW10" s="630"/>
      <c r="AX10" s="631"/>
      <c r="AY10" s="641"/>
      <c r="AZ10" s="642"/>
      <c r="BA10" s="72"/>
      <c r="BB10" s="414">
        <v>1</v>
      </c>
      <c r="BC10" s="505" t="str">
        <f>VLOOKUP(BB10,'C. FILIACION'!B14:C58, 2,FALSE)</f>
        <v>ALIAGA MENDOZA ELIANA SALOME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9"/>
      <c r="AT11" s="630"/>
      <c r="AU11" s="630"/>
      <c r="AV11" s="630"/>
      <c r="AW11" s="630"/>
      <c r="AX11" s="631"/>
      <c r="AY11" s="641"/>
      <c r="AZ11" s="642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2"/>
      <c r="AT12" s="633"/>
      <c r="AU12" s="633"/>
      <c r="AV12" s="633"/>
      <c r="AW12" s="633"/>
      <c r="AX12" s="634"/>
      <c r="AY12" s="641"/>
      <c r="AZ12" s="642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48"/>
      <c r="C14" s="648"/>
      <c r="D14" s="619" t="s">
        <v>240</v>
      </c>
      <c r="E14" s="620"/>
      <c r="F14" s="620"/>
      <c r="G14" s="620"/>
      <c r="H14" s="620"/>
      <c r="I14" s="620"/>
      <c r="J14" s="620"/>
      <c r="K14" s="620"/>
      <c r="L14" s="620"/>
      <c r="M14" s="620"/>
      <c r="N14" s="620"/>
      <c r="O14" s="620"/>
      <c r="P14" s="620"/>
      <c r="Q14" s="620"/>
      <c r="R14" s="620"/>
      <c r="S14" s="620"/>
      <c r="T14" s="620"/>
      <c r="U14" s="620"/>
      <c r="V14" s="620"/>
      <c r="W14" s="620"/>
      <c r="X14" s="620"/>
      <c r="Y14" s="620"/>
      <c r="Z14" s="620"/>
      <c r="AA14" s="620"/>
      <c r="AB14" s="620"/>
      <c r="AC14" s="620"/>
      <c r="AD14" s="620"/>
      <c r="AE14" s="620"/>
      <c r="AF14" s="620"/>
      <c r="AG14" s="620"/>
      <c r="AH14" s="620"/>
      <c r="AI14" s="620"/>
      <c r="AJ14" s="620"/>
      <c r="AK14" s="620"/>
      <c r="AL14" s="620"/>
      <c r="AM14" s="620"/>
      <c r="AN14" s="620"/>
      <c r="AO14" s="620"/>
      <c r="AP14" s="620"/>
      <c r="AQ14" s="620"/>
      <c r="AR14" s="620"/>
      <c r="AS14" s="620"/>
      <c r="AT14" s="620"/>
      <c r="AU14" s="620"/>
      <c r="AV14" s="621"/>
      <c r="AW14" s="651" t="s">
        <v>238</v>
      </c>
      <c r="AX14" s="652"/>
      <c r="AY14" s="613" t="s">
        <v>206</v>
      </c>
      <c r="AZ14" s="610" t="s">
        <v>67</v>
      </c>
      <c r="BA14" s="702"/>
      <c r="BB14" s="415"/>
      <c r="BC14" s="506">
        <f ca="1">NOW()</f>
        <v>43510.376313657405</v>
      </c>
    </row>
    <row r="15" spans="1:55" ht="15" customHeight="1" x14ac:dyDescent="0.3">
      <c r="A15" s="72"/>
      <c r="B15" s="649"/>
      <c r="C15" s="649"/>
      <c r="D15" s="622" t="s">
        <v>55</v>
      </c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/>
      <c r="AF15" s="623"/>
      <c r="AG15" s="623"/>
      <c r="AH15" s="623"/>
      <c r="AI15" s="623"/>
      <c r="AJ15" s="623"/>
      <c r="AK15" s="623"/>
      <c r="AL15" s="623"/>
      <c r="AM15" s="623"/>
      <c r="AN15" s="623"/>
      <c r="AO15" s="623"/>
      <c r="AP15" s="623"/>
      <c r="AQ15" s="623"/>
      <c r="AR15" s="623"/>
      <c r="AS15" s="623"/>
      <c r="AT15" s="623"/>
      <c r="AU15" s="623"/>
      <c r="AV15" s="624"/>
      <c r="AW15" s="653" t="s">
        <v>55</v>
      </c>
      <c r="AX15" s="654"/>
      <c r="AY15" s="614"/>
      <c r="AZ15" s="611"/>
      <c r="BA15" s="702"/>
      <c r="BB15" s="415"/>
      <c r="BC15" s="413"/>
    </row>
    <row r="16" spans="1:55" ht="15" customHeight="1" x14ac:dyDescent="0.3">
      <c r="A16" s="72"/>
      <c r="B16" s="649"/>
      <c r="C16" s="649"/>
      <c r="D16" s="625" t="s">
        <v>59</v>
      </c>
      <c r="E16" s="625"/>
      <c r="F16" s="625"/>
      <c r="G16" s="625"/>
      <c r="H16" s="625"/>
      <c r="I16" s="625"/>
      <c r="J16" s="625"/>
      <c r="K16" s="663" t="s">
        <v>58</v>
      </c>
      <c r="L16" s="663"/>
      <c r="M16" s="663"/>
      <c r="N16" s="663"/>
      <c r="O16" s="663"/>
      <c r="P16" s="663"/>
      <c r="Q16" s="663"/>
      <c r="R16" s="663"/>
      <c r="S16" s="663"/>
      <c r="T16" s="663"/>
      <c r="U16" s="663"/>
      <c r="V16" s="663"/>
      <c r="W16" s="663"/>
      <c r="X16" s="663"/>
      <c r="Y16" s="663"/>
      <c r="Z16" s="663"/>
      <c r="AA16" s="664" t="s">
        <v>61</v>
      </c>
      <c r="AB16" s="664"/>
      <c r="AC16" s="664"/>
      <c r="AD16" s="664"/>
      <c r="AE16" s="664"/>
      <c r="AF16" s="664"/>
      <c r="AG16" s="664"/>
      <c r="AH16" s="664"/>
      <c r="AI16" s="664"/>
      <c r="AJ16" s="664"/>
      <c r="AK16" s="664"/>
      <c r="AL16" s="664"/>
      <c r="AM16" s="664"/>
      <c r="AN16" s="664"/>
      <c r="AO16" s="664"/>
      <c r="AP16" s="664"/>
      <c r="AQ16" s="667" t="s">
        <v>60</v>
      </c>
      <c r="AR16" s="667"/>
      <c r="AS16" s="667"/>
      <c r="AT16" s="667"/>
      <c r="AU16" s="667"/>
      <c r="AV16" s="667"/>
      <c r="AW16" s="337" t="s">
        <v>62</v>
      </c>
      <c r="AX16" s="338" t="s">
        <v>63</v>
      </c>
      <c r="AY16" s="614"/>
      <c r="AZ16" s="611"/>
      <c r="BA16" s="702"/>
      <c r="BB16" s="415"/>
      <c r="BC16" s="424" t="s">
        <v>309</v>
      </c>
    </row>
    <row r="17" spans="1:55" ht="99.75" customHeight="1" x14ac:dyDescent="0.3">
      <c r="A17" s="72"/>
      <c r="B17" s="650"/>
      <c r="C17" s="650"/>
      <c r="D17" s="254" t="s">
        <v>217</v>
      </c>
      <c r="E17" s="659"/>
      <c r="F17" s="659"/>
      <c r="G17" s="659"/>
      <c r="H17" s="659"/>
      <c r="I17" s="660"/>
      <c r="J17" s="704" t="s">
        <v>56</v>
      </c>
      <c r="K17" s="662"/>
      <c r="L17" s="659"/>
      <c r="M17" s="659"/>
      <c r="N17" s="659"/>
      <c r="O17" s="661"/>
      <c r="P17" s="659"/>
      <c r="Q17" s="659"/>
      <c r="R17" s="659"/>
      <c r="S17" s="659"/>
      <c r="T17" s="661"/>
      <c r="U17" s="687"/>
      <c r="V17" s="687"/>
      <c r="W17" s="687"/>
      <c r="X17" s="687"/>
      <c r="Y17" s="688"/>
      <c r="Z17" s="700" t="s">
        <v>57</v>
      </c>
      <c r="AA17" s="662"/>
      <c r="AB17" s="659"/>
      <c r="AC17" s="659"/>
      <c r="AD17" s="659"/>
      <c r="AE17" s="661"/>
      <c r="AF17" s="687"/>
      <c r="AG17" s="687"/>
      <c r="AH17" s="687"/>
      <c r="AI17" s="687"/>
      <c r="AJ17" s="693"/>
      <c r="AK17" s="687"/>
      <c r="AL17" s="687"/>
      <c r="AM17" s="687"/>
      <c r="AN17" s="687"/>
      <c r="AO17" s="688"/>
      <c r="AP17" s="694" t="s">
        <v>57</v>
      </c>
      <c r="AQ17" s="662"/>
      <c r="AR17" s="659"/>
      <c r="AS17" s="659"/>
      <c r="AT17" s="659"/>
      <c r="AU17" s="660"/>
      <c r="AV17" s="696" t="s">
        <v>56</v>
      </c>
      <c r="AW17" s="698"/>
      <c r="AX17" s="691"/>
      <c r="AY17" s="614"/>
      <c r="AZ17" s="611"/>
      <c r="BA17" s="702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5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1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5"/>
      <c r="AQ18" s="343"/>
      <c r="AR18" s="343"/>
      <c r="AS18" s="343"/>
      <c r="AT18" s="343"/>
      <c r="AU18" s="343"/>
      <c r="AV18" s="697"/>
      <c r="AW18" s="699"/>
      <c r="AX18" s="692"/>
      <c r="AY18" s="615"/>
      <c r="AZ18" s="612"/>
      <c r="BA18" s="702"/>
      <c r="BB18" s="72"/>
    </row>
    <row r="19" spans="1:55" x14ac:dyDescent="0.25">
      <c r="A19" s="72"/>
      <c r="B19" s="131">
        <v>1</v>
      </c>
      <c r="C19" s="689" t="str">
        <f>'C. FILIACION'!C14</f>
        <v>ALIAGA MENDOZA ELIANA SALOME</v>
      </c>
      <c r="D19" s="690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9" t="str">
        <f>'C. FILIACION'!C15</f>
        <v>BURGOA  MOLLO KAMIL JHAHIRO</v>
      </c>
      <c r="D20" s="690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9" t="str">
        <f>'C. FILIACION'!C16</f>
        <v>CALANI MAMANI ANA VALERIA</v>
      </c>
      <c r="D21" s="690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9" t="str">
        <f>'C. FILIACION'!C17</f>
        <v>CANAVIRI HERRADA KATHERINE</v>
      </c>
      <c r="D22" s="690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9" t="str">
        <f>'C. FILIACION'!C18</f>
        <v xml:space="preserve">CANAVIRI ROJAS RUTH AMBAR </v>
      </c>
      <c r="D23" s="690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9" t="str">
        <f>'C. FILIACION'!C19</f>
        <v>CARRION MARGUAY CAMILA SAMARA</v>
      </c>
      <c r="D24" s="690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9" t="str">
        <f>'C. FILIACION'!C20</f>
        <v xml:space="preserve">CHEJO CAMACHO NOEMI MILDRED </v>
      </c>
      <c r="D25" s="690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9" t="str">
        <f>'C. FILIACION'!C21</f>
        <v>DELGADO APAZA JHAMYL</v>
      </c>
      <c r="D26" s="690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9" t="str">
        <f>'C. FILIACION'!C22</f>
        <v>DORADO CHOQUE FRANCO ANIBAL</v>
      </c>
      <c r="D27" s="690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9" t="str">
        <f>'C. FILIACION'!C23</f>
        <v>EYZAGUIRRE CUSSI CRISTIAN  ROMMEL</v>
      </c>
      <c r="D28" s="690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9" t="str">
        <f>'C. FILIACION'!C24</f>
        <v>FORONDA FLORES GREACE ANGELA</v>
      </c>
      <c r="D29" s="690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9" t="str">
        <f>'C. FILIACION'!C25</f>
        <v>GAMBOA MEDINA GIULIANNA INES</v>
      </c>
      <c r="D30" s="690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9" t="str">
        <f>'C. FILIACION'!C26</f>
        <v xml:space="preserve">HUANCA HERRERA SEBASTIAN  NAIN </v>
      </c>
      <c r="D31" s="690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9" t="str">
        <f>'C. FILIACION'!C27</f>
        <v>LAURA CHAMBILLA JOSE MISHAEL</v>
      </c>
      <c r="D32" s="690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9" t="str">
        <f>'C. FILIACION'!C28</f>
        <v>MAMANI BUSTILLOS DANNA  SHARLYN</v>
      </c>
      <c r="D33" s="690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9" t="str">
        <f>'C. FILIACION'!C29</f>
        <v xml:space="preserve">MAMANI CACERES JHONATAN RAINER </v>
      </c>
      <c r="D34" s="690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9" t="str">
        <f>'C. FILIACION'!C30</f>
        <v xml:space="preserve">MEJILLONES CHAYÑA JAQUELIN KEYLA </v>
      </c>
      <c r="D35" s="690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9" t="str">
        <f>'C. FILIACION'!C31</f>
        <v>NISTAUZ COAQUIRA  CRISTIAN  ARIEL</v>
      </c>
      <c r="D36" s="690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9" t="str">
        <f>'C. FILIACION'!C32</f>
        <v xml:space="preserve">OJALVO VEIZAN YULIANA </v>
      </c>
      <c r="D37" s="690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9" t="str">
        <f>'C. FILIACION'!C33</f>
        <v>OVANDO AGUIRRE GABRIELA ANDREA</v>
      </c>
      <c r="D38" s="690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9" t="str">
        <f>'C. FILIACION'!C34</f>
        <v xml:space="preserve">PATANA MAMANI ROBERTO CARLOS </v>
      </c>
      <c r="D39" s="690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9" t="str">
        <f>'C. FILIACION'!C35</f>
        <v>PAUCARA GUTIERREZ ALEJANDRO ANDREI</v>
      </c>
      <c r="D40" s="690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9" t="str">
        <f>'C. FILIACION'!C36</f>
        <v xml:space="preserve">RAMOS MEJIA ROSSY ALEJANDRA </v>
      </c>
      <c r="D41" s="690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9" t="str">
        <f>'C. FILIACION'!C37</f>
        <v>ROJAS PABLO ROSS MIRELIA</v>
      </c>
      <c r="D42" s="690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9" t="str">
        <f>'C. FILIACION'!C38</f>
        <v>TAPIA CHAMBI ALEXANDER JESUS</v>
      </c>
      <c r="D43" s="690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9" t="str">
        <f>'C. FILIACION'!C39</f>
        <v>TICONA AQUINO ITAN MATEO</v>
      </c>
      <c r="D44" s="690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9" t="str">
        <f>'C. FILIACION'!C40</f>
        <v xml:space="preserve">VALDIVIA HERNANI AYLIN SIREL      </v>
      </c>
      <c r="D45" s="690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9" t="str">
        <f>'C. FILIACION'!C41</f>
        <v>VARGAS  FLORES GERALDINE SHARLIN</v>
      </c>
      <c r="D46" s="690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9" t="str">
        <f>'C. FILIACION'!C42</f>
        <v>VILLARROEL  SUAREZ JUAN DIEGO</v>
      </c>
      <c r="D47" s="690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9">
        <f>'C. FILIACION'!C43</f>
        <v>0</v>
      </c>
      <c r="D48" s="690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9">
        <f>'C. FILIACION'!C44</f>
        <v>0</v>
      </c>
      <c r="D49" s="690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9">
        <f>'C. FILIACION'!C45</f>
        <v>0</v>
      </c>
      <c r="D50" s="690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9">
        <f>'C. FILIACION'!C46</f>
        <v>0</v>
      </c>
      <c r="D51" s="690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9">
        <f>'C. FILIACION'!C47</f>
        <v>0</v>
      </c>
      <c r="D52" s="690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9">
        <f>'C. FILIACION'!C48</f>
        <v>0</v>
      </c>
      <c r="D53" s="690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9">
        <f>'C. FILIACION'!C49</f>
        <v>0</v>
      </c>
      <c r="D54" s="690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9">
        <f>'C. FILIACION'!C50</f>
        <v>0</v>
      </c>
      <c r="D55" s="690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9">
        <f>'C. FILIACION'!C51</f>
        <v>0</v>
      </c>
      <c r="D56" s="690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9">
        <f>'C. FILIACION'!C52</f>
        <v>0</v>
      </c>
      <c r="D57" s="690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9">
        <f>'C. FILIACION'!C53</f>
        <v>0</v>
      </c>
      <c r="D58" s="690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9">
        <f>'C. FILIACION'!C54</f>
        <v>0</v>
      </c>
      <c r="D59" s="690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9">
        <f>'C. FILIACION'!C55</f>
        <v>0</v>
      </c>
      <c r="D60" s="690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9">
        <f>'C. FILIACION'!C56</f>
        <v>0</v>
      </c>
      <c r="D61" s="690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9">
        <f>'C. FILIACION'!C57</f>
        <v>0</v>
      </c>
      <c r="D62" s="690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9">
        <f>'C. FILIACION'!C58</f>
        <v>0</v>
      </c>
      <c r="D63" s="690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3"/>
      <c r="AX65" s="703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3"/>
      <c r="AX66" s="703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68"/>
      <c r="J67" s="668"/>
      <c r="K67" s="668"/>
      <c r="L67" s="668"/>
      <c r="M67" s="668"/>
      <c r="N67" s="668"/>
      <c r="O67" s="668"/>
      <c r="P67" s="668"/>
      <c r="Q67" s="668"/>
      <c r="R67" s="668"/>
      <c r="S67" s="668"/>
      <c r="T67" s="668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68"/>
      <c r="AF67" s="668"/>
      <c r="AG67" s="668"/>
      <c r="AH67" s="668"/>
      <c r="AI67" s="668"/>
      <c r="AJ67" s="668"/>
      <c r="AK67" s="668"/>
      <c r="AL67" s="668"/>
      <c r="AM67" s="668"/>
      <c r="AN67" s="668"/>
      <c r="AO67" s="668"/>
      <c r="AP67" s="668"/>
      <c r="AQ67" s="668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69">
        <f>CARATULA!G22</f>
        <v>0</v>
      </c>
      <c r="J68" s="669"/>
      <c r="K68" s="669"/>
      <c r="L68" s="669"/>
      <c r="M68" s="669"/>
      <c r="N68" s="669"/>
      <c r="O68" s="669"/>
      <c r="P68" s="669"/>
      <c r="Q68" s="669"/>
      <c r="R68" s="669"/>
      <c r="S68" s="669"/>
      <c r="T68" s="669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69">
        <f>CARATULA!G24</f>
        <v>0</v>
      </c>
      <c r="AF68" s="669"/>
      <c r="AG68" s="669"/>
      <c r="AH68" s="669"/>
      <c r="AI68" s="669"/>
      <c r="AJ68" s="669"/>
      <c r="AK68" s="669"/>
      <c r="AL68" s="669"/>
      <c r="AM68" s="669"/>
      <c r="AN68" s="669"/>
      <c r="AO68" s="669"/>
      <c r="AP68" s="669"/>
      <c r="AQ68" s="669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6" t="s">
        <v>316</v>
      </c>
      <c r="C1" s="706"/>
      <c r="D1" s="706"/>
      <c r="E1" s="706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98" t="s">
        <v>194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  <c r="T2" s="599"/>
      <c r="U2" s="599"/>
      <c r="V2" s="599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599"/>
      <c r="AP2" s="599"/>
      <c r="AQ2" s="599"/>
      <c r="AR2" s="599"/>
      <c r="AS2" s="599"/>
      <c r="AT2" s="599"/>
      <c r="AU2" s="599"/>
      <c r="AV2" s="599"/>
      <c r="AW2" s="599"/>
      <c r="AX2" s="599"/>
      <c r="AY2" s="599"/>
      <c r="AZ2" s="599"/>
      <c r="BA2" s="599"/>
      <c r="BB2" s="599"/>
      <c r="BC2" s="599"/>
      <c r="BD2" s="599"/>
      <c r="BE2" s="599"/>
      <c r="BF2" s="599"/>
      <c r="BG2" s="599"/>
      <c r="BH2" s="599"/>
      <c r="BI2" s="599"/>
      <c r="BJ2" s="599"/>
      <c r="BK2" s="600"/>
    </row>
    <row r="3" spans="1:67" x14ac:dyDescent="0.25">
      <c r="A3" s="72"/>
      <c r="B3" s="601"/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2"/>
      <c r="AQ3" s="602"/>
      <c r="AR3" s="602"/>
      <c r="AS3" s="602"/>
      <c r="AT3" s="602"/>
      <c r="AU3" s="602"/>
      <c r="AV3" s="602"/>
      <c r="AW3" s="602"/>
      <c r="AX3" s="602"/>
      <c r="AY3" s="602"/>
      <c r="AZ3" s="602"/>
      <c r="BA3" s="602"/>
      <c r="BB3" s="602"/>
      <c r="BC3" s="602"/>
      <c r="BD3" s="602"/>
      <c r="BE3" s="602"/>
      <c r="BF3" s="602"/>
      <c r="BG3" s="602"/>
      <c r="BH3" s="602"/>
      <c r="BI3" s="602"/>
      <c r="BJ3" s="602"/>
      <c r="BK3" s="603"/>
    </row>
    <row r="4" spans="1:67" ht="2.25" customHeight="1" x14ac:dyDescent="0.25">
      <c r="A4" s="72"/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8"/>
      <c r="BJ4" s="608"/>
      <c r="BK4" s="609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4" t="s">
        <v>44</v>
      </c>
      <c r="BC5" s="604"/>
      <c r="BD5" s="604"/>
      <c r="BE5" s="604"/>
      <c r="BF5" s="604"/>
      <c r="BG5" s="604"/>
      <c r="BH5" s="605">
        <f>CARATULA!P19</f>
        <v>43663</v>
      </c>
      <c r="BI5" s="606"/>
      <c r="BJ5" s="606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4" t="s">
        <v>45</v>
      </c>
      <c r="BC7" s="604"/>
      <c r="BD7" s="604"/>
      <c r="BE7" s="604"/>
      <c r="BF7" s="604"/>
      <c r="BG7" s="604"/>
      <c r="BH7" s="605">
        <f>CARATULA!R19</f>
        <v>43736</v>
      </c>
      <c r="BI7" s="606"/>
      <c r="BJ7" s="606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5" t="s">
        <v>200</v>
      </c>
      <c r="BC9" s="595"/>
      <c r="BD9" s="595"/>
      <c r="BE9" s="595"/>
      <c r="BF9" s="595"/>
      <c r="BG9" s="595"/>
      <c r="BH9" s="710">
        <f ca="1">TODAY()</f>
        <v>43510</v>
      </c>
      <c r="BI9" s="711"/>
      <c r="BJ9" s="711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89" t="s">
        <v>41</v>
      </c>
      <c r="C13" s="586" t="s">
        <v>23</v>
      </c>
      <c r="D13" s="586"/>
      <c r="E13" s="591" t="s">
        <v>241</v>
      </c>
      <c r="F13" s="591"/>
      <c r="G13" s="591"/>
      <c r="H13" s="591"/>
      <c r="I13" s="591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  <c r="AA13" s="591"/>
      <c r="AB13" s="591"/>
      <c r="AC13" s="591"/>
      <c r="AD13" s="591"/>
      <c r="AE13" s="591"/>
      <c r="AF13" s="591"/>
      <c r="AG13" s="591"/>
      <c r="AH13" s="591"/>
      <c r="AI13" s="591"/>
      <c r="AJ13" s="591"/>
      <c r="AK13" s="591"/>
      <c r="AL13" s="591"/>
      <c r="AM13" s="591"/>
      <c r="AN13" s="591"/>
      <c r="AO13" s="591"/>
      <c r="AP13" s="591"/>
      <c r="AQ13" s="591"/>
      <c r="AR13" s="591"/>
      <c r="AS13" s="591"/>
      <c r="AT13" s="591"/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591"/>
      <c r="BF13" s="592"/>
      <c r="BG13" s="593" t="s">
        <v>42</v>
      </c>
      <c r="BH13" s="593"/>
      <c r="BI13" s="593"/>
      <c r="BJ13" s="594"/>
      <c r="BK13" s="679" t="s">
        <v>237</v>
      </c>
    </row>
    <row r="14" spans="1:67" ht="68.25" customHeight="1" thickBot="1" x14ac:dyDescent="0.3">
      <c r="A14" s="72"/>
      <c r="B14" s="590"/>
      <c r="C14" s="587"/>
      <c r="D14" s="587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</row>
    <row r="15" spans="1:67" x14ac:dyDescent="0.25">
      <c r="A15" s="72"/>
      <c r="B15" s="81">
        <v>1</v>
      </c>
      <c r="C15" s="588" t="str">
        <f>'C. FILIACION'!C14</f>
        <v>ALIAGA MENDOZA ELIANA SALOME</v>
      </c>
      <c r="D15" s="588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2" t="str">
        <f>'C. FILIACION'!C15</f>
        <v>BURGOA  MOLLO KAMIL JHAHIRO</v>
      </c>
      <c r="D16" s="582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2" t="str">
        <f>'C. FILIACION'!C16</f>
        <v>CALANI MAMANI ANA VALERIA</v>
      </c>
      <c r="D17" s="582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2" t="str">
        <f>'C. FILIACION'!C17</f>
        <v>CANAVIRI HERRADA KATHERINE</v>
      </c>
      <c r="D18" s="582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2" t="str">
        <f>'C. FILIACION'!C18</f>
        <v xml:space="preserve">CANAVIRI ROJAS RUTH AMBAR </v>
      </c>
      <c r="D19" s="582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2" t="str">
        <f>'C. FILIACION'!C19</f>
        <v>CARRION MARGUAY CAMILA SAMARA</v>
      </c>
      <c r="D20" s="582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2" t="str">
        <f>'C. FILIACION'!C20</f>
        <v xml:space="preserve">CHEJO CAMACHO NOEMI MILDRED </v>
      </c>
      <c r="D21" s="582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2" t="str">
        <f>'C. FILIACION'!C21</f>
        <v>DELGADO APAZA JHAMYL</v>
      </c>
      <c r="D22" s="582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2" t="str">
        <f>'C. FILIACION'!C22</f>
        <v>DORADO CHOQUE FRANCO ANIBAL</v>
      </c>
      <c r="D23" s="582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2" t="str">
        <f>'C. FILIACION'!C23</f>
        <v>EYZAGUIRRE CUSSI CRISTIAN  ROMMEL</v>
      </c>
      <c r="D24" s="582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2" t="str">
        <f>'C. FILIACION'!C24</f>
        <v>FORONDA FLORES GREACE ANGELA</v>
      </c>
      <c r="D25" s="582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2" t="str">
        <f>'C. FILIACION'!C25</f>
        <v>GAMBOA MEDINA GIULIANNA INES</v>
      </c>
      <c r="D26" s="582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2" t="str">
        <f>'C. FILIACION'!C26</f>
        <v xml:space="preserve">HUANCA HERRERA SEBASTIAN  NAIN </v>
      </c>
      <c r="D27" s="582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2" t="str">
        <f>'C. FILIACION'!C27</f>
        <v>LAURA CHAMBILLA JOSE MISHAEL</v>
      </c>
      <c r="D28" s="582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2" t="str">
        <f>'C. FILIACION'!C28</f>
        <v>MAMANI BUSTILLOS DANNA  SHARLYN</v>
      </c>
      <c r="D29" s="582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2" t="str">
        <f>'C. FILIACION'!C29</f>
        <v xml:space="preserve">MAMANI CACERES JHONATAN RAINER </v>
      </c>
      <c r="D30" s="582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2" t="str">
        <f>'C. FILIACION'!C30</f>
        <v xml:space="preserve">MEJILLONES CHAYÑA JAQUELIN KEYLA </v>
      </c>
      <c r="D31" s="582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2" t="str">
        <f>'C. FILIACION'!C31</f>
        <v>NISTAUZ COAQUIRA  CRISTIAN  ARIEL</v>
      </c>
      <c r="D32" s="582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2" t="str">
        <f>'C. FILIACION'!C32</f>
        <v xml:space="preserve">OJALVO VEIZAN YULIANA </v>
      </c>
      <c r="D33" s="582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2" t="str">
        <f>'C. FILIACION'!C33</f>
        <v>OVANDO AGUIRRE GABRIELA ANDREA</v>
      </c>
      <c r="D34" s="582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2" t="str">
        <f>'C. FILIACION'!C34</f>
        <v xml:space="preserve">PATANA MAMANI ROBERTO CARLOS </v>
      </c>
      <c r="D35" s="582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2" t="str">
        <f>'C. FILIACION'!C35</f>
        <v>PAUCARA GUTIERREZ ALEJANDRO ANDREI</v>
      </c>
      <c r="D36" s="582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2" t="str">
        <f>'C. FILIACION'!C36</f>
        <v xml:space="preserve">RAMOS MEJIA ROSSY ALEJANDRA </v>
      </c>
      <c r="D37" s="582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2" t="str">
        <f>'C. FILIACION'!C37</f>
        <v>ROJAS PABLO ROSS MIRELIA</v>
      </c>
      <c r="D38" s="582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2" t="str">
        <f>'C. FILIACION'!C38</f>
        <v>TAPIA CHAMBI ALEXANDER JESUS</v>
      </c>
      <c r="D39" s="582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2" t="str">
        <f>'C. FILIACION'!C39</f>
        <v>TICONA AQUINO ITAN MATEO</v>
      </c>
      <c r="D40" s="582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2" t="str">
        <f>'C. FILIACION'!C40</f>
        <v xml:space="preserve">VALDIVIA HERNANI AYLIN SIREL      </v>
      </c>
      <c r="D41" s="582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2" t="str">
        <f>'C. FILIACION'!C41</f>
        <v>VARGAS  FLORES GERALDINE SHARLIN</v>
      </c>
      <c r="D42" s="582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2" t="str">
        <f>'C. FILIACION'!C42</f>
        <v>VILLARROEL  SUAREZ JUAN DIEGO</v>
      </c>
      <c r="D43" s="582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2">
        <f>'C. FILIACION'!C43</f>
        <v>0</v>
      </c>
      <c r="D44" s="582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2">
        <f>'C. FILIACION'!C44</f>
        <v>0</v>
      </c>
      <c r="D45" s="582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2">
        <f>'C. FILIACION'!C45</f>
        <v>0</v>
      </c>
      <c r="D46" s="582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2">
        <f>'C. FILIACION'!C46</f>
        <v>0</v>
      </c>
      <c r="D47" s="582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2">
        <f>'C. FILIACION'!C47</f>
        <v>0</v>
      </c>
      <c r="D48" s="582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2">
        <f>'C. FILIACION'!C48</f>
        <v>0</v>
      </c>
      <c r="D49" s="582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2">
        <f>'C. FILIACION'!C49</f>
        <v>0</v>
      </c>
      <c r="D50" s="582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2">
        <f>'C. FILIACION'!C50</f>
        <v>0</v>
      </c>
      <c r="D51" s="582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2">
        <f>'C. FILIACION'!C51</f>
        <v>0</v>
      </c>
      <c r="D52" s="582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2">
        <f>'C. FILIACION'!C52</f>
        <v>0</v>
      </c>
      <c r="D53" s="582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2">
        <f>'C. FILIACION'!C53</f>
        <v>0</v>
      </c>
      <c r="D54" s="582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2">
        <f>'C. FILIACION'!C54</f>
        <v>0</v>
      </c>
      <c r="D55" s="582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2">
        <f>'C. FILIACION'!C55</f>
        <v>0</v>
      </c>
      <c r="D56" s="582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2">
        <f>'C. FILIACION'!C56</f>
        <v>0</v>
      </c>
      <c r="D57" s="582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2">
        <f>'C. FILIACION'!C57</f>
        <v>0</v>
      </c>
      <c r="D58" s="582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2">
        <f>'C. FILIACION'!C58</f>
        <v>0</v>
      </c>
      <c r="D59" s="582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08"/>
      <c r="AX62" s="708"/>
      <c r="AY62" s="708"/>
      <c r="AZ62" s="708"/>
      <c r="BA62" s="708"/>
      <c r="BB62" s="708"/>
      <c r="BC62" s="708"/>
      <c r="BD62" s="708"/>
      <c r="BE62" s="708"/>
      <c r="BF62" s="708"/>
      <c r="BG62" s="708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7">
        <f>CARATULA!G22</f>
        <v>0</v>
      </c>
      <c r="F63" s="707"/>
      <c r="G63" s="707"/>
      <c r="H63" s="707"/>
      <c r="I63" s="707"/>
      <c r="J63" s="707"/>
      <c r="K63" s="707"/>
      <c r="L63" s="707"/>
      <c r="M63" s="707"/>
      <c r="N63" s="707"/>
      <c r="O63" s="707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09">
        <f>CARATULA!G24</f>
        <v>0</v>
      </c>
      <c r="AX63" s="709"/>
      <c r="AY63" s="709"/>
      <c r="AZ63" s="709"/>
      <c r="BA63" s="709"/>
      <c r="BB63" s="709"/>
      <c r="BC63" s="709"/>
      <c r="BD63" s="709"/>
      <c r="BE63" s="709"/>
      <c r="BF63" s="709"/>
      <c r="BG63" s="709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6" t="s">
        <v>263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  <c r="AY3" s="637"/>
      <c r="AZ3" s="637"/>
      <c r="BA3" s="72"/>
    </row>
    <row r="4" spans="1:56" ht="7.5" customHeight="1" x14ac:dyDescent="0.25">
      <c r="A4" s="102"/>
      <c r="B4" s="636"/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  <c r="AY4" s="637"/>
      <c r="AZ4" s="637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17">
        <f>CARATULA!P19</f>
        <v>43663</v>
      </c>
      <c r="AE6" s="617"/>
      <c r="AF6" s="617"/>
      <c r="AG6" s="617"/>
      <c r="AH6" s="617"/>
      <c r="AI6" s="121"/>
      <c r="AJ6" s="643"/>
      <c r="AK6" s="643"/>
      <c r="AL6" s="643"/>
      <c r="AM6" s="643"/>
      <c r="AN6" s="643"/>
      <c r="AO6" s="643"/>
      <c r="AP6" s="643"/>
      <c r="AQ6" s="630"/>
      <c r="AR6" s="630"/>
      <c r="AS6" s="626"/>
      <c r="AT6" s="627"/>
      <c r="AU6" s="627"/>
      <c r="AV6" s="627"/>
      <c r="AW6" s="627"/>
      <c r="AX6" s="628"/>
      <c r="AY6" s="639" t="s">
        <v>68</v>
      </c>
      <c r="AZ6" s="640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46" t="s">
        <v>228</v>
      </c>
      <c r="AK7" s="646"/>
      <c r="AL7" s="646"/>
      <c r="AM7" s="646"/>
      <c r="AN7" s="646"/>
      <c r="AO7" s="646"/>
      <c r="AP7" s="646"/>
      <c r="AQ7" s="647">
        <f>COUNTIF(AY19:AY63,"&gt;=50,500")</f>
        <v>0</v>
      </c>
      <c r="AR7" s="647"/>
      <c r="AS7" s="629"/>
      <c r="AT7" s="630"/>
      <c r="AU7" s="630"/>
      <c r="AV7" s="630"/>
      <c r="AW7" s="630"/>
      <c r="AX7" s="631"/>
      <c r="AY7" s="639"/>
      <c r="AZ7" s="640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7">
        <f>CARATULA!R19</f>
        <v>43736</v>
      </c>
      <c r="AE8" s="617"/>
      <c r="AF8" s="617"/>
      <c r="AG8" s="617"/>
      <c r="AH8" s="617"/>
      <c r="AI8" s="121"/>
      <c r="AJ8" s="644" t="s">
        <v>229</v>
      </c>
      <c r="AK8" s="644"/>
      <c r="AL8" s="644"/>
      <c r="AM8" s="644"/>
      <c r="AN8" s="644"/>
      <c r="AO8" s="644"/>
      <c r="AP8" s="644"/>
      <c r="AQ8" s="686">
        <f>COUNTIFS(AY19:AY63,"&gt;=1",AY19:AY63,"&lt;=50,499")</f>
        <v>0</v>
      </c>
      <c r="AR8" s="712"/>
      <c r="AS8" s="629"/>
      <c r="AT8" s="630"/>
      <c r="AU8" s="630"/>
      <c r="AV8" s="630"/>
      <c r="AW8" s="630"/>
      <c r="AX8" s="631"/>
      <c r="AY8" s="641">
        <f ca="1">AD8-AD10</f>
        <v>226</v>
      </c>
      <c r="AZ8" s="642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9"/>
      <c r="AT9" s="630"/>
      <c r="AU9" s="630"/>
      <c r="AV9" s="630"/>
      <c r="AW9" s="630"/>
      <c r="AX9" s="631"/>
      <c r="AY9" s="641"/>
      <c r="AZ9" s="642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17">
        <f ca="1">TODAY()</f>
        <v>43510</v>
      </c>
      <c r="AE10" s="618"/>
      <c r="AF10" s="618"/>
      <c r="AG10" s="618"/>
      <c r="AH10" s="618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9"/>
      <c r="AT10" s="630"/>
      <c r="AU10" s="630"/>
      <c r="AV10" s="630"/>
      <c r="AW10" s="630"/>
      <c r="AX10" s="631"/>
      <c r="AY10" s="641"/>
      <c r="AZ10" s="642"/>
      <c r="BA10" s="72"/>
      <c r="BB10" s="423">
        <v>1</v>
      </c>
      <c r="BC10" s="514" t="str">
        <f>VLOOKUP(BB10,'C. FILIACION'!B14:C58, 2,FALSE)</f>
        <v>ALIAGA MENDOZA ELIANA SALOME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9"/>
      <c r="AT11" s="630"/>
      <c r="AU11" s="630"/>
      <c r="AV11" s="630"/>
      <c r="AW11" s="630"/>
      <c r="AX11" s="631"/>
      <c r="AY11" s="641"/>
      <c r="AZ11" s="642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2"/>
      <c r="AT12" s="633"/>
      <c r="AU12" s="633"/>
      <c r="AV12" s="633"/>
      <c r="AW12" s="633"/>
      <c r="AX12" s="634"/>
      <c r="AY12" s="641"/>
      <c r="AZ12" s="642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48"/>
      <c r="C14" s="648"/>
      <c r="D14" s="619" t="s">
        <v>240</v>
      </c>
      <c r="E14" s="620"/>
      <c r="F14" s="620"/>
      <c r="G14" s="620"/>
      <c r="H14" s="620"/>
      <c r="I14" s="620"/>
      <c r="J14" s="620"/>
      <c r="K14" s="620"/>
      <c r="L14" s="620"/>
      <c r="M14" s="620"/>
      <c r="N14" s="620"/>
      <c r="O14" s="620"/>
      <c r="P14" s="620"/>
      <c r="Q14" s="620"/>
      <c r="R14" s="620"/>
      <c r="S14" s="620"/>
      <c r="T14" s="620"/>
      <c r="U14" s="620"/>
      <c r="V14" s="620"/>
      <c r="W14" s="620"/>
      <c r="X14" s="620"/>
      <c r="Y14" s="620"/>
      <c r="Z14" s="620"/>
      <c r="AA14" s="620"/>
      <c r="AB14" s="620"/>
      <c r="AC14" s="620"/>
      <c r="AD14" s="620"/>
      <c r="AE14" s="620"/>
      <c r="AF14" s="620"/>
      <c r="AG14" s="620"/>
      <c r="AH14" s="620"/>
      <c r="AI14" s="620"/>
      <c r="AJ14" s="620"/>
      <c r="AK14" s="620"/>
      <c r="AL14" s="620"/>
      <c r="AM14" s="620"/>
      <c r="AN14" s="620"/>
      <c r="AO14" s="620"/>
      <c r="AP14" s="620"/>
      <c r="AQ14" s="620"/>
      <c r="AR14" s="620"/>
      <c r="AS14" s="620"/>
      <c r="AT14" s="620"/>
      <c r="AU14" s="620"/>
      <c r="AV14" s="621"/>
      <c r="AW14" s="651" t="s">
        <v>238</v>
      </c>
      <c r="AX14" s="652"/>
      <c r="AY14" s="613" t="s">
        <v>207</v>
      </c>
      <c r="AZ14" s="610" t="s">
        <v>67</v>
      </c>
      <c r="BA14" s="72"/>
      <c r="BB14" s="72"/>
      <c r="BC14" s="515">
        <f ca="1">NOW()</f>
        <v>43510.376313657405</v>
      </c>
      <c r="BD14" s="72"/>
    </row>
    <row r="15" spans="1:56" ht="15" customHeight="1" x14ac:dyDescent="0.25">
      <c r="A15" s="72"/>
      <c r="B15" s="649"/>
      <c r="C15" s="649"/>
      <c r="D15" s="622" t="s">
        <v>55</v>
      </c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/>
      <c r="AF15" s="623"/>
      <c r="AG15" s="623"/>
      <c r="AH15" s="623"/>
      <c r="AI15" s="623"/>
      <c r="AJ15" s="623"/>
      <c r="AK15" s="623"/>
      <c r="AL15" s="623"/>
      <c r="AM15" s="623"/>
      <c r="AN15" s="623"/>
      <c r="AO15" s="623"/>
      <c r="AP15" s="623"/>
      <c r="AQ15" s="623"/>
      <c r="AR15" s="623"/>
      <c r="AS15" s="623"/>
      <c r="AT15" s="623"/>
      <c r="AU15" s="623"/>
      <c r="AV15" s="624"/>
      <c r="AW15" s="653" t="s">
        <v>55</v>
      </c>
      <c r="AX15" s="654"/>
      <c r="AY15" s="614"/>
      <c r="AZ15" s="611"/>
      <c r="BA15" s="72"/>
      <c r="BB15" s="72"/>
      <c r="BC15" s="72"/>
      <c r="BD15" s="72"/>
    </row>
    <row r="16" spans="1:56" ht="15" customHeight="1" x14ac:dyDescent="0.25">
      <c r="A16" s="72"/>
      <c r="B16" s="649"/>
      <c r="C16" s="649"/>
      <c r="D16" s="625" t="s">
        <v>59</v>
      </c>
      <c r="E16" s="625"/>
      <c r="F16" s="625"/>
      <c r="G16" s="625"/>
      <c r="H16" s="625"/>
      <c r="I16" s="625"/>
      <c r="J16" s="625"/>
      <c r="K16" s="663" t="s">
        <v>58</v>
      </c>
      <c r="L16" s="663"/>
      <c r="M16" s="663"/>
      <c r="N16" s="663"/>
      <c r="O16" s="663"/>
      <c r="P16" s="663"/>
      <c r="Q16" s="663"/>
      <c r="R16" s="663"/>
      <c r="S16" s="663"/>
      <c r="T16" s="663"/>
      <c r="U16" s="663"/>
      <c r="V16" s="663"/>
      <c r="W16" s="663"/>
      <c r="X16" s="663"/>
      <c r="Y16" s="663"/>
      <c r="Z16" s="663"/>
      <c r="AA16" s="664" t="s">
        <v>61</v>
      </c>
      <c r="AB16" s="664"/>
      <c r="AC16" s="664"/>
      <c r="AD16" s="664"/>
      <c r="AE16" s="664"/>
      <c r="AF16" s="664"/>
      <c r="AG16" s="664"/>
      <c r="AH16" s="664"/>
      <c r="AI16" s="664"/>
      <c r="AJ16" s="664"/>
      <c r="AK16" s="664"/>
      <c r="AL16" s="664"/>
      <c r="AM16" s="664"/>
      <c r="AN16" s="664"/>
      <c r="AO16" s="664"/>
      <c r="AP16" s="664"/>
      <c r="AQ16" s="667" t="s">
        <v>60</v>
      </c>
      <c r="AR16" s="667"/>
      <c r="AS16" s="667"/>
      <c r="AT16" s="667"/>
      <c r="AU16" s="667"/>
      <c r="AV16" s="667"/>
      <c r="AW16" s="126" t="s">
        <v>62</v>
      </c>
      <c r="AX16" s="360" t="s">
        <v>63</v>
      </c>
      <c r="AY16" s="614"/>
      <c r="AZ16" s="611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0"/>
      <c r="C17" s="650"/>
      <c r="D17" s="191" t="s">
        <v>217</v>
      </c>
      <c r="E17" s="716"/>
      <c r="F17" s="716"/>
      <c r="G17" s="716"/>
      <c r="H17" s="716"/>
      <c r="I17" s="717"/>
      <c r="J17" s="670" t="s">
        <v>56</v>
      </c>
      <c r="K17" s="715"/>
      <c r="L17" s="716"/>
      <c r="M17" s="716"/>
      <c r="N17" s="716"/>
      <c r="O17" s="718"/>
      <c r="P17" s="716"/>
      <c r="Q17" s="716"/>
      <c r="R17" s="716"/>
      <c r="S17" s="716"/>
      <c r="T17" s="718"/>
      <c r="U17" s="716"/>
      <c r="V17" s="716"/>
      <c r="W17" s="716"/>
      <c r="X17" s="716"/>
      <c r="Y17" s="717"/>
      <c r="Z17" s="672" t="s">
        <v>57</v>
      </c>
      <c r="AA17" s="715"/>
      <c r="AB17" s="716"/>
      <c r="AC17" s="716"/>
      <c r="AD17" s="716"/>
      <c r="AE17" s="718"/>
      <c r="AF17" s="716"/>
      <c r="AG17" s="716"/>
      <c r="AH17" s="716"/>
      <c r="AI17" s="716"/>
      <c r="AJ17" s="718"/>
      <c r="AK17" s="716"/>
      <c r="AL17" s="716"/>
      <c r="AM17" s="716"/>
      <c r="AN17" s="716"/>
      <c r="AO17" s="717"/>
      <c r="AP17" s="674" t="s">
        <v>57</v>
      </c>
      <c r="AQ17" s="715"/>
      <c r="AR17" s="716"/>
      <c r="AS17" s="716"/>
      <c r="AT17" s="716"/>
      <c r="AU17" s="717"/>
      <c r="AV17" s="665" t="s">
        <v>56</v>
      </c>
      <c r="AW17" s="655"/>
      <c r="AX17" s="657"/>
      <c r="AY17" s="614"/>
      <c r="AZ17" s="611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1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3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5"/>
      <c r="AQ18" s="340"/>
      <c r="AR18" s="340"/>
      <c r="AS18" s="340"/>
      <c r="AT18" s="340"/>
      <c r="AU18" s="340"/>
      <c r="AV18" s="666"/>
      <c r="AW18" s="656"/>
      <c r="AX18" s="658"/>
      <c r="AY18" s="615"/>
      <c r="AZ18" s="612"/>
      <c r="BA18" s="72"/>
      <c r="BB18" s="72"/>
      <c r="BC18" s="72"/>
      <c r="BD18" s="72"/>
    </row>
    <row r="19" spans="1:56" x14ac:dyDescent="0.25">
      <c r="A19" s="72"/>
      <c r="B19" s="131">
        <v>1</v>
      </c>
      <c r="C19" s="689" t="str">
        <f>'C. FILIACION'!C14</f>
        <v>ALIAGA MENDOZA ELIANA SALOME</v>
      </c>
      <c r="D19" s="690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9" t="str">
        <f>'C. FILIACION'!C15</f>
        <v>BURGOA  MOLLO KAMIL JHAHIRO</v>
      </c>
      <c r="D20" s="690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9" t="str">
        <f>'C. FILIACION'!C16</f>
        <v>CALANI MAMANI ANA VALERIA</v>
      </c>
      <c r="D21" s="690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9" t="str">
        <f>'C. FILIACION'!C17</f>
        <v>CANAVIRI HERRADA KATHERINE</v>
      </c>
      <c r="D22" s="690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9" t="str">
        <f>'C. FILIACION'!C18</f>
        <v xml:space="preserve">CANAVIRI ROJAS RUTH AMBAR </v>
      </c>
      <c r="D23" s="690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9" t="str">
        <f>'C. FILIACION'!C19</f>
        <v>CARRION MARGUAY CAMILA SAMARA</v>
      </c>
      <c r="D24" s="690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9" t="str">
        <f>'C. FILIACION'!C20</f>
        <v xml:space="preserve">CHEJO CAMACHO NOEMI MILDRED </v>
      </c>
      <c r="D25" s="690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9" t="str">
        <f>'C. FILIACION'!C21</f>
        <v>DELGADO APAZA JHAMYL</v>
      </c>
      <c r="D26" s="690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9" t="str">
        <f>'C. FILIACION'!C22</f>
        <v>DORADO CHOQUE FRANCO ANIBAL</v>
      </c>
      <c r="D27" s="690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9" t="str">
        <f>'C. FILIACION'!C23</f>
        <v>EYZAGUIRRE CUSSI CRISTIAN  ROMMEL</v>
      </c>
      <c r="D28" s="690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9" t="str">
        <f>'C. FILIACION'!C24</f>
        <v>FORONDA FLORES GREACE ANGELA</v>
      </c>
      <c r="D29" s="690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9" t="str">
        <f>'C. FILIACION'!C25</f>
        <v>GAMBOA MEDINA GIULIANNA INES</v>
      </c>
      <c r="D30" s="690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9" t="str">
        <f>'C. FILIACION'!C26</f>
        <v xml:space="preserve">HUANCA HERRERA SEBASTIAN  NAIN </v>
      </c>
      <c r="D31" s="690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9" t="str">
        <f>'C. FILIACION'!C27</f>
        <v>LAURA CHAMBILLA JOSE MISHAEL</v>
      </c>
      <c r="D32" s="690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9" t="str">
        <f>'C. FILIACION'!C28</f>
        <v>MAMANI BUSTILLOS DANNA  SHARLYN</v>
      </c>
      <c r="D33" s="690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9" t="str">
        <f>'C. FILIACION'!C29</f>
        <v xml:space="preserve">MAMANI CACERES JHONATAN RAINER </v>
      </c>
      <c r="D34" s="690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9" t="str">
        <f>'C. FILIACION'!C30</f>
        <v xml:space="preserve">MEJILLONES CHAYÑA JAQUELIN KEYLA </v>
      </c>
      <c r="D35" s="690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9" t="str">
        <f>'C. FILIACION'!C31</f>
        <v>NISTAUZ COAQUIRA  CRISTIAN  ARIEL</v>
      </c>
      <c r="D36" s="690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9" t="str">
        <f>'C. FILIACION'!C32</f>
        <v xml:space="preserve">OJALVO VEIZAN YULIANA </v>
      </c>
      <c r="D37" s="690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9" t="str">
        <f>'C. FILIACION'!C33</f>
        <v>OVANDO AGUIRRE GABRIELA ANDREA</v>
      </c>
      <c r="D38" s="690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9" t="str">
        <f>'C. FILIACION'!C34</f>
        <v xml:space="preserve">PATANA MAMANI ROBERTO CARLOS </v>
      </c>
      <c r="D39" s="690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9" t="str">
        <f>'C. FILIACION'!C35</f>
        <v>PAUCARA GUTIERREZ ALEJANDRO ANDREI</v>
      </c>
      <c r="D40" s="690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9" t="str">
        <f>'C. FILIACION'!C36</f>
        <v xml:space="preserve">RAMOS MEJIA ROSSY ALEJANDRA </v>
      </c>
      <c r="D41" s="690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9" t="str">
        <f>'C. FILIACION'!C37</f>
        <v>ROJAS PABLO ROSS MIRELIA</v>
      </c>
      <c r="D42" s="690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9" t="str">
        <f>'C. FILIACION'!C38</f>
        <v>TAPIA CHAMBI ALEXANDER JESUS</v>
      </c>
      <c r="D43" s="690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9" t="str">
        <f>'C. FILIACION'!C39</f>
        <v>TICONA AQUINO ITAN MATEO</v>
      </c>
      <c r="D44" s="690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9" t="str">
        <f>'C. FILIACION'!C40</f>
        <v xml:space="preserve">VALDIVIA HERNANI AYLIN SIREL      </v>
      </c>
      <c r="D45" s="690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9" t="str">
        <f>'C. FILIACION'!C41</f>
        <v>VARGAS  FLORES GERALDINE SHARLIN</v>
      </c>
      <c r="D46" s="690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9" t="str">
        <f>'C. FILIACION'!C42</f>
        <v>VILLARROEL  SUAREZ JUAN DIEGO</v>
      </c>
      <c r="D47" s="690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9">
        <f>'C. FILIACION'!C43</f>
        <v>0</v>
      </c>
      <c r="D48" s="690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9">
        <f>'C. FILIACION'!C44</f>
        <v>0</v>
      </c>
      <c r="D49" s="690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9">
        <f>'C. FILIACION'!C45</f>
        <v>0</v>
      </c>
      <c r="D50" s="690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9">
        <f>'C. FILIACION'!C46</f>
        <v>0</v>
      </c>
      <c r="D51" s="690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9">
        <f>'C. FILIACION'!C47</f>
        <v>0</v>
      </c>
      <c r="D52" s="690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9">
        <f>'C. FILIACION'!C48</f>
        <v>0</v>
      </c>
      <c r="D53" s="690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9">
        <f>'C. FILIACION'!C49</f>
        <v>0</v>
      </c>
      <c r="D54" s="690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9">
        <f>'C. FILIACION'!C50</f>
        <v>0</v>
      </c>
      <c r="D55" s="690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9">
        <f>'C. FILIACION'!C51</f>
        <v>0</v>
      </c>
      <c r="D56" s="690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9">
        <f>'C. FILIACION'!C52</f>
        <v>0</v>
      </c>
      <c r="D57" s="690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9">
        <f>'C. FILIACION'!C53</f>
        <v>0</v>
      </c>
      <c r="D58" s="690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9">
        <f>'C. FILIACION'!C54</f>
        <v>0</v>
      </c>
      <c r="D59" s="690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9">
        <f>'C. FILIACION'!C55</f>
        <v>0</v>
      </c>
      <c r="D60" s="690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9">
        <f>'C. FILIACION'!C56</f>
        <v>0</v>
      </c>
      <c r="D61" s="690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9">
        <f>'C. FILIACION'!C57</f>
        <v>0</v>
      </c>
      <c r="D62" s="690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9">
        <f>'C. FILIACION'!C58</f>
        <v>0</v>
      </c>
      <c r="D63" s="690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3"/>
      <c r="AX65" s="703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3"/>
      <c r="AX66" s="703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3"/>
      <c r="J67" s="713"/>
      <c r="K67" s="713"/>
      <c r="L67" s="713"/>
      <c r="M67" s="713"/>
      <c r="N67" s="713"/>
      <c r="O67" s="713"/>
      <c r="P67" s="713"/>
      <c r="Q67" s="713"/>
      <c r="R67" s="713"/>
      <c r="S67" s="713"/>
      <c r="T67" s="713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3"/>
      <c r="AF67" s="713"/>
      <c r="AG67" s="713"/>
      <c r="AH67" s="713"/>
      <c r="AI67" s="713"/>
      <c r="AJ67" s="713"/>
      <c r="AK67" s="713"/>
      <c r="AL67" s="713"/>
      <c r="AM67" s="713"/>
      <c r="AN67" s="713"/>
      <c r="AO67" s="713"/>
      <c r="AP67" s="713"/>
      <c r="AQ67" s="713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4">
        <f>CARATULA!G22</f>
        <v>0</v>
      </c>
      <c r="J68" s="714"/>
      <c r="K68" s="714"/>
      <c r="L68" s="714"/>
      <c r="M68" s="714"/>
      <c r="N68" s="714"/>
      <c r="O68" s="714"/>
      <c r="P68" s="714"/>
      <c r="Q68" s="714"/>
      <c r="R68" s="714"/>
      <c r="S68" s="714"/>
      <c r="T68" s="714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4">
        <f>CARATULA!G24</f>
        <v>0</v>
      </c>
      <c r="AF68" s="714"/>
      <c r="AG68" s="714"/>
      <c r="AH68" s="714"/>
      <c r="AI68" s="714"/>
      <c r="AJ68" s="714"/>
      <c r="AK68" s="714"/>
      <c r="AL68" s="714"/>
      <c r="AM68" s="714"/>
      <c r="AN68" s="714"/>
      <c r="AO68" s="714"/>
      <c r="AP68" s="714"/>
      <c r="AQ68" s="714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6" t="s">
        <v>317</v>
      </c>
      <c r="C1" s="706"/>
      <c r="D1" s="706"/>
      <c r="E1" s="706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98" t="s">
        <v>195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  <c r="R2" s="599"/>
      <c r="S2" s="599"/>
      <c r="T2" s="599"/>
      <c r="U2" s="599"/>
      <c r="V2" s="599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599"/>
      <c r="AP2" s="599"/>
      <c r="AQ2" s="599"/>
      <c r="AR2" s="599"/>
      <c r="AS2" s="599"/>
      <c r="AT2" s="599"/>
      <c r="AU2" s="599"/>
      <c r="AV2" s="599"/>
      <c r="AW2" s="599"/>
      <c r="AX2" s="599"/>
      <c r="AY2" s="599"/>
      <c r="AZ2" s="599"/>
      <c r="BA2" s="599"/>
      <c r="BB2" s="599"/>
      <c r="BC2" s="599"/>
      <c r="BD2" s="599"/>
      <c r="BE2" s="599"/>
      <c r="BF2" s="599"/>
      <c r="BG2" s="599"/>
      <c r="BH2" s="599"/>
      <c r="BI2" s="599"/>
      <c r="BJ2" s="599"/>
      <c r="BK2" s="600"/>
      <c r="BL2" s="72"/>
      <c r="BM2" s="72"/>
      <c r="BN2" s="72"/>
      <c r="BO2" s="72"/>
      <c r="BP2" s="72"/>
      <c r="BQ2" s="72"/>
    </row>
    <row r="3" spans="1:69" x14ac:dyDescent="0.25">
      <c r="A3" s="72"/>
      <c r="B3" s="601"/>
      <c r="C3" s="602"/>
      <c r="D3" s="602"/>
      <c r="E3" s="602"/>
      <c r="F3" s="602"/>
      <c r="G3" s="602"/>
      <c r="H3" s="602"/>
      <c r="I3" s="602"/>
      <c r="J3" s="602"/>
      <c r="K3" s="602"/>
      <c r="L3" s="602"/>
      <c r="M3" s="602"/>
      <c r="N3" s="602"/>
      <c r="O3" s="602"/>
      <c r="P3" s="602"/>
      <c r="Q3" s="602"/>
      <c r="R3" s="602"/>
      <c r="S3" s="602"/>
      <c r="T3" s="602"/>
      <c r="U3" s="602"/>
      <c r="V3" s="602"/>
      <c r="W3" s="602"/>
      <c r="X3" s="602"/>
      <c r="Y3" s="602"/>
      <c r="Z3" s="602"/>
      <c r="AA3" s="602"/>
      <c r="AB3" s="602"/>
      <c r="AC3" s="602"/>
      <c r="AD3" s="602"/>
      <c r="AE3" s="602"/>
      <c r="AF3" s="602"/>
      <c r="AG3" s="602"/>
      <c r="AH3" s="602"/>
      <c r="AI3" s="602"/>
      <c r="AJ3" s="602"/>
      <c r="AK3" s="602"/>
      <c r="AL3" s="602"/>
      <c r="AM3" s="602"/>
      <c r="AN3" s="602"/>
      <c r="AO3" s="602"/>
      <c r="AP3" s="602"/>
      <c r="AQ3" s="602"/>
      <c r="AR3" s="602"/>
      <c r="AS3" s="602"/>
      <c r="AT3" s="602"/>
      <c r="AU3" s="602"/>
      <c r="AV3" s="602"/>
      <c r="AW3" s="602"/>
      <c r="AX3" s="602"/>
      <c r="AY3" s="602"/>
      <c r="AZ3" s="602"/>
      <c r="BA3" s="602"/>
      <c r="BB3" s="602"/>
      <c r="BC3" s="602"/>
      <c r="BD3" s="602"/>
      <c r="BE3" s="602"/>
      <c r="BF3" s="602"/>
      <c r="BG3" s="602"/>
      <c r="BH3" s="602"/>
      <c r="BI3" s="602"/>
      <c r="BJ3" s="602"/>
      <c r="BK3" s="603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07"/>
      <c r="C4" s="608"/>
      <c r="D4" s="608"/>
      <c r="E4" s="608"/>
      <c r="F4" s="608"/>
      <c r="G4" s="608"/>
      <c r="H4" s="608"/>
      <c r="I4" s="608"/>
      <c r="J4" s="608"/>
      <c r="K4" s="608"/>
      <c r="L4" s="608"/>
      <c r="M4" s="608"/>
      <c r="N4" s="608"/>
      <c r="O4" s="608"/>
      <c r="P4" s="608"/>
      <c r="Q4" s="608"/>
      <c r="R4" s="608"/>
      <c r="S4" s="608"/>
      <c r="T4" s="608"/>
      <c r="U4" s="608"/>
      <c r="V4" s="608"/>
      <c r="W4" s="608"/>
      <c r="X4" s="608"/>
      <c r="Y4" s="608"/>
      <c r="Z4" s="608"/>
      <c r="AA4" s="608"/>
      <c r="AB4" s="608"/>
      <c r="AC4" s="608"/>
      <c r="AD4" s="608"/>
      <c r="AE4" s="608"/>
      <c r="AF4" s="608"/>
      <c r="AG4" s="608"/>
      <c r="AH4" s="608"/>
      <c r="AI4" s="608"/>
      <c r="AJ4" s="608"/>
      <c r="AK4" s="608"/>
      <c r="AL4" s="608"/>
      <c r="AM4" s="608"/>
      <c r="AN4" s="608"/>
      <c r="AO4" s="608"/>
      <c r="AP4" s="608"/>
      <c r="AQ4" s="608"/>
      <c r="AR4" s="608"/>
      <c r="AS4" s="608"/>
      <c r="AT4" s="608"/>
      <c r="AU4" s="608"/>
      <c r="AV4" s="608"/>
      <c r="AW4" s="608"/>
      <c r="AX4" s="608"/>
      <c r="AY4" s="608"/>
      <c r="AZ4" s="608"/>
      <c r="BA4" s="608"/>
      <c r="BB4" s="608"/>
      <c r="BC4" s="608"/>
      <c r="BD4" s="608"/>
      <c r="BE4" s="608"/>
      <c r="BF4" s="608"/>
      <c r="BG4" s="608"/>
      <c r="BH4" s="608"/>
      <c r="BI4" s="608"/>
      <c r="BJ4" s="608"/>
      <c r="BK4" s="609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4" t="s">
        <v>44</v>
      </c>
      <c r="BC5" s="604"/>
      <c r="BD5" s="604"/>
      <c r="BE5" s="604"/>
      <c r="BF5" s="604"/>
      <c r="BG5" s="604"/>
      <c r="BH5" s="605">
        <f>CARATULA!P25</f>
        <v>43739</v>
      </c>
      <c r="BI5" s="606"/>
      <c r="BJ5" s="606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4" t="s">
        <v>45</v>
      </c>
      <c r="BC7" s="604"/>
      <c r="BD7" s="604"/>
      <c r="BE7" s="604"/>
      <c r="BF7" s="604"/>
      <c r="BG7" s="604"/>
      <c r="BH7" s="605">
        <f>CARATULA!R25</f>
        <v>43799</v>
      </c>
      <c r="BI7" s="606"/>
      <c r="BJ7" s="606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5" t="s">
        <v>200</v>
      </c>
      <c r="BC9" s="595"/>
      <c r="BD9" s="595"/>
      <c r="BE9" s="595"/>
      <c r="BF9" s="595"/>
      <c r="BG9" s="595"/>
      <c r="BH9" s="677">
        <f ca="1">TODAY()</f>
        <v>43510</v>
      </c>
      <c r="BI9" s="678"/>
      <c r="BJ9" s="678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89" t="s">
        <v>41</v>
      </c>
      <c r="C13" s="586" t="s">
        <v>23</v>
      </c>
      <c r="D13" s="586"/>
      <c r="E13" s="591" t="s">
        <v>242</v>
      </c>
      <c r="F13" s="591"/>
      <c r="G13" s="591"/>
      <c r="H13" s="591"/>
      <c r="I13" s="591"/>
      <c r="J13" s="591"/>
      <c r="K13" s="591"/>
      <c r="L13" s="591"/>
      <c r="M13" s="591"/>
      <c r="N13" s="591"/>
      <c r="O13" s="591"/>
      <c r="P13" s="591"/>
      <c r="Q13" s="591"/>
      <c r="R13" s="591"/>
      <c r="S13" s="591"/>
      <c r="T13" s="591"/>
      <c r="U13" s="591"/>
      <c r="V13" s="591"/>
      <c r="W13" s="591"/>
      <c r="X13" s="591"/>
      <c r="Y13" s="591"/>
      <c r="Z13" s="591"/>
      <c r="AA13" s="591"/>
      <c r="AB13" s="591"/>
      <c r="AC13" s="591"/>
      <c r="AD13" s="591"/>
      <c r="AE13" s="591"/>
      <c r="AF13" s="591"/>
      <c r="AG13" s="591"/>
      <c r="AH13" s="591"/>
      <c r="AI13" s="591"/>
      <c r="AJ13" s="591"/>
      <c r="AK13" s="591"/>
      <c r="AL13" s="591"/>
      <c r="AM13" s="591"/>
      <c r="AN13" s="591"/>
      <c r="AO13" s="591"/>
      <c r="AP13" s="591"/>
      <c r="AQ13" s="591"/>
      <c r="AR13" s="591"/>
      <c r="AS13" s="591"/>
      <c r="AT13" s="591"/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591"/>
      <c r="BF13" s="592"/>
      <c r="BG13" s="593" t="s">
        <v>42</v>
      </c>
      <c r="BH13" s="593"/>
      <c r="BI13" s="593"/>
      <c r="BJ13" s="594"/>
      <c r="BK13" s="679" t="s">
        <v>237</v>
      </c>
    </row>
    <row r="14" spans="1:69" ht="68.25" customHeight="1" thickBot="1" x14ac:dyDescent="0.3">
      <c r="A14" s="72"/>
      <c r="B14" s="590"/>
      <c r="C14" s="587"/>
      <c r="D14" s="587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0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88" t="str">
        <f>'C. FILIACION'!C14</f>
        <v>ALIAGA MENDOZA ELIANA SALOME</v>
      </c>
      <c r="D15" s="588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2" t="str">
        <f>'C. FILIACION'!C15</f>
        <v>BURGOA  MOLLO KAMIL JHAHIRO</v>
      </c>
      <c r="D16" s="582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2" t="str">
        <f>'C. FILIACION'!C16</f>
        <v>CALANI MAMANI ANA VALERIA</v>
      </c>
      <c r="D17" s="582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2" t="str">
        <f>'C. FILIACION'!C17</f>
        <v>CANAVIRI HERRADA KATHERINE</v>
      </c>
      <c r="D18" s="582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2" t="str">
        <f>'C. FILIACION'!C18</f>
        <v xml:space="preserve">CANAVIRI ROJAS RUTH AMBAR </v>
      </c>
      <c r="D19" s="582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2" t="str">
        <f>'C. FILIACION'!C19</f>
        <v>CARRION MARGUAY CAMILA SAMARA</v>
      </c>
      <c r="D20" s="582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2" t="str">
        <f>'C. FILIACION'!C20</f>
        <v xml:space="preserve">CHEJO CAMACHO NOEMI MILDRED </v>
      </c>
      <c r="D21" s="582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2" t="str">
        <f>'C. FILIACION'!C21</f>
        <v>DELGADO APAZA JHAMYL</v>
      </c>
      <c r="D22" s="582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2" t="str">
        <f>'C. FILIACION'!C22</f>
        <v>DORADO CHOQUE FRANCO ANIBAL</v>
      </c>
      <c r="D23" s="582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2" t="str">
        <f>'C. FILIACION'!C23</f>
        <v>EYZAGUIRRE CUSSI CRISTIAN  ROMMEL</v>
      </c>
      <c r="D24" s="582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2" t="str">
        <f>'C. FILIACION'!C24</f>
        <v>FORONDA FLORES GREACE ANGELA</v>
      </c>
      <c r="D25" s="582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2" t="str">
        <f>'C. FILIACION'!C25</f>
        <v>GAMBOA MEDINA GIULIANNA INES</v>
      </c>
      <c r="D26" s="582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2" t="str">
        <f>'C. FILIACION'!C26</f>
        <v xml:space="preserve">HUANCA HERRERA SEBASTIAN  NAIN </v>
      </c>
      <c r="D27" s="582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2" t="str">
        <f>'C. FILIACION'!C27</f>
        <v>LAURA CHAMBILLA JOSE MISHAEL</v>
      </c>
      <c r="D28" s="582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2" t="str">
        <f>'C. FILIACION'!C28</f>
        <v>MAMANI BUSTILLOS DANNA  SHARLYN</v>
      </c>
      <c r="D29" s="582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2" t="str">
        <f>'C. FILIACION'!C29</f>
        <v xml:space="preserve">MAMANI CACERES JHONATAN RAINER </v>
      </c>
      <c r="D30" s="582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2" t="str">
        <f>'C. FILIACION'!C30</f>
        <v xml:space="preserve">MEJILLONES CHAYÑA JAQUELIN KEYLA </v>
      </c>
      <c r="D31" s="582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2" t="str">
        <f>'C. FILIACION'!C31</f>
        <v>NISTAUZ COAQUIRA  CRISTIAN  ARIEL</v>
      </c>
      <c r="D32" s="582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2" t="str">
        <f>'C. FILIACION'!C32</f>
        <v xml:space="preserve">OJALVO VEIZAN YULIANA </v>
      </c>
      <c r="D33" s="582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2" t="str">
        <f>'C. FILIACION'!C33</f>
        <v>OVANDO AGUIRRE GABRIELA ANDREA</v>
      </c>
      <c r="D34" s="582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2" t="str">
        <f>'C. FILIACION'!C34</f>
        <v xml:space="preserve">PATANA MAMANI ROBERTO CARLOS </v>
      </c>
      <c r="D35" s="582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2" t="str">
        <f>'C. FILIACION'!C35</f>
        <v>PAUCARA GUTIERREZ ALEJANDRO ANDREI</v>
      </c>
      <c r="D36" s="582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2" t="str">
        <f>'C. FILIACION'!C36</f>
        <v xml:space="preserve">RAMOS MEJIA ROSSY ALEJANDRA </v>
      </c>
      <c r="D37" s="582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2" t="str">
        <f>'C. FILIACION'!C37</f>
        <v>ROJAS PABLO ROSS MIRELIA</v>
      </c>
      <c r="D38" s="582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2" t="str">
        <f>'C. FILIACION'!C38</f>
        <v>TAPIA CHAMBI ALEXANDER JESUS</v>
      </c>
      <c r="D39" s="582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2" t="str">
        <f>'C. FILIACION'!C39</f>
        <v>TICONA AQUINO ITAN MATEO</v>
      </c>
      <c r="D40" s="582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2" t="str">
        <f>'C. FILIACION'!C40</f>
        <v xml:space="preserve">VALDIVIA HERNANI AYLIN SIREL      </v>
      </c>
      <c r="D41" s="582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2" t="str">
        <f>'C. FILIACION'!C41</f>
        <v>VARGAS  FLORES GERALDINE SHARLIN</v>
      </c>
      <c r="D42" s="582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2" t="str">
        <f>'C. FILIACION'!C42</f>
        <v>VILLARROEL  SUAREZ JUAN DIEGO</v>
      </c>
      <c r="D43" s="582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2">
        <f>'C. FILIACION'!C43</f>
        <v>0</v>
      </c>
      <c r="D44" s="582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2">
        <f>'C. FILIACION'!C44</f>
        <v>0</v>
      </c>
      <c r="D45" s="582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2">
        <f>'C. FILIACION'!C45</f>
        <v>0</v>
      </c>
      <c r="D46" s="582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2">
        <f>'C. FILIACION'!C46</f>
        <v>0</v>
      </c>
      <c r="D47" s="582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2">
        <f>'C. FILIACION'!C47</f>
        <v>0</v>
      </c>
      <c r="D48" s="582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2">
        <f>'C. FILIACION'!C48</f>
        <v>0</v>
      </c>
      <c r="D49" s="582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2">
        <f>'C. FILIACION'!C49</f>
        <v>0</v>
      </c>
      <c r="D50" s="582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2">
        <f>'C. FILIACION'!C50</f>
        <v>0</v>
      </c>
      <c r="D51" s="582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2">
        <f>'C. FILIACION'!C51</f>
        <v>0</v>
      </c>
      <c r="D52" s="582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2">
        <f>'C. FILIACION'!C52</f>
        <v>0</v>
      </c>
      <c r="D53" s="582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2">
        <f>'C. FILIACION'!C53</f>
        <v>0</v>
      </c>
      <c r="D54" s="582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2">
        <f>'C. FILIACION'!C54</f>
        <v>0</v>
      </c>
      <c r="D55" s="582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2">
        <f>'C. FILIACION'!C55</f>
        <v>0</v>
      </c>
      <c r="D56" s="582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2">
        <f>'C. FILIACION'!C56</f>
        <v>0</v>
      </c>
      <c r="D57" s="582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2">
        <f>'C. FILIACION'!C57</f>
        <v>0</v>
      </c>
      <c r="D58" s="582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2">
        <f>'C. FILIACION'!C58</f>
        <v>0</v>
      </c>
      <c r="D59" s="582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19"/>
      <c r="AV62" s="719"/>
      <c r="AW62" s="719"/>
      <c r="AX62" s="719"/>
      <c r="AY62" s="719"/>
      <c r="AZ62" s="719"/>
      <c r="BA62" s="719"/>
      <c r="BB62" s="719"/>
      <c r="BC62" s="719"/>
      <c r="BD62" s="719"/>
      <c r="BE62" s="719"/>
      <c r="BF62" s="719"/>
      <c r="BG62" s="719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5">
        <f>CARATULA!G22</f>
        <v>0</v>
      </c>
      <c r="F63" s="585"/>
      <c r="G63" s="585"/>
      <c r="H63" s="585"/>
      <c r="I63" s="585"/>
      <c r="J63" s="585"/>
      <c r="K63" s="585"/>
      <c r="L63" s="585"/>
      <c r="M63" s="585"/>
      <c r="N63" s="585"/>
      <c r="O63" s="585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5">
        <f>CARATULA!G24</f>
        <v>0</v>
      </c>
      <c r="AV63" s="585"/>
      <c r="AW63" s="585"/>
      <c r="AX63" s="585"/>
      <c r="AY63" s="585"/>
      <c r="AZ63" s="585"/>
      <c r="BA63" s="585"/>
      <c r="BB63" s="585"/>
      <c r="BC63" s="585"/>
      <c r="BD63" s="585"/>
      <c r="BE63" s="585"/>
      <c r="BF63" s="585"/>
      <c r="BG63" s="585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6" t="s">
        <v>264</v>
      </c>
      <c r="C3" s="637"/>
      <c r="D3" s="637"/>
      <c r="E3" s="637"/>
      <c r="F3" s="637"/>
      <c r="G3" s="637"/>
      <c r="H3" s="637"/>
      <c r="I3" s="637"/>
      <c r="J3" s="637"/>
      <c r="K3" s="637"/>
      <c r="L3" s="637"/>
      <c r="M3" s="637"/>
      <c r="N3" s="637"/>
      <c r="O3" s="637"/>
      <c r="P3" s="637"/>
      <c r="Q3" s="637"/>
      <c r="R3" s="637"/>
      <c r="S3" s="637"/>
      <c r="T3" s="637"/>
      <c r="U3" s="637"/>
      <c r="V3" s="637"/>
      <c r="W3" s="637"/>
      <c r="X3" s="637"/>
      <c r="Y3" s="637"/>
      <c r="Z3" s="637"/>
      <c r="AA3" s="637"/>
      <c r="AB3" s="637"/>
      <c r="AC3" s="637"/>
      <c r="AD3" s="637"/>
      <c r="AE3" s="637"/>
      <c r="AF3" s="637"/>
      <c r="AG3" s="637"/>
      <c r="AH3" s="637"/>
      <c r="AI3" s="637"/>
      <c r="AJ3" s="637"/>
      <c r="AK3" s="637"/>
      <c r="AL3" s="637"/>
      <c r="AM3" s="637"/>
      <c r="AN3" s="637"/>
      <c r="AO3" s="637"/>
      <c r="AP3" s="637"/>
      <c r="AQ3" s="637"/>
      <c r="AR3" s="637"/>
      <c r="AS3" s="637"/>
      <c r="AT3" s="637"/>
      <c r="AU3" s="637"/>
      <c r="AV3" s="637"/>
      <c r="AW3" s="637"/>
      <c r="AX3" s="637"/>
      <c r="AY3" s="637"/>
      <c r="AZ3" s="637"/>
      <c r="BA3" s="72"/>
      <c r="BB3" s="72"/>
      <c r="BC3" s="72"/>
      <c r="BD3" s="72"/>
      <c r="BE3" s="72"/>
    </row>
    <row r="4" spans="1:57" ht="7.5" customHeight="1" x14ac:dyDescent="0.25">
      <c r="A4" s="102"/>
      <c r="B4" s="636"/>
      <c r="C4" s="637"/>
      <c r="D4" s="637"/>
      <c r="E4" s="637"/>
      <c r="F4" s="637"/>
      <c r="G4" s="637"/>
      <c r="H4" s="637"/>
      <c r="I4" s="637"/>
      <c r="J4" s="637"/>
      <c r="K4" s="637"/>
      <c r="L4" s="637"/>
      <c r="M4" s="637"/>
      <c r="N4" s="637"/>
      <c r="O4" s="637"/>
      <c r="P4" s="637"/>
      <c r="Q4" s="637"/>
      <c r="R4" s="637"/>
      <c r="S4" s="637"/>
      <c r="T4" s="637"/>
      <c r="U4" s="637"/>
      <c r="V4" s="637"/>
      <c r="W4" s="637"/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  <c r="AY4" s="637"/>
      <c r="AZ4" s="637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17">
        <f>CARATULA!P25</f>
        <v>43739</v>
      </c>
      <c r="AE6" s="617"/>
      <c r="AF6" s="617"/>
      <c r="AG6" s="617"/>
      <c r="AH6" s="617"/>
      <c r="AI6" s="121"/>
      <c r="AJ6" s="643"/>
      <c r="AK6" s="643"/>
      <c r="AL6" s="643"/>
      <c r="AM6" s="643"/>
      <c r="AN6" s="643"/>
      <c r="AO6" s="643"/>
      <c r="AP6" s="643"/>
      <c r="AQ6" s="630"/>
      <c r="AR6" s="630"/>
      <c r="AS6" s="626"/>
      <c r="AT6" s="627"/>
      <c r="AU6" s="627"/>
      <c r="AV6" s="627"/>
      <c r="AW6" s="627"/>
      <c r="AX6" s="628"/>
      <c r="AY6" s="639" t="s">
        <v>68</v>
      </c>
      <c r="AZ6" s="640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46" t="s">
        <v>228</v>
      </c>
      <c r="AK7" s="646"/>
      <c r="AL7" s="646"/>
      <c r="AM7" s="646"/>
      <c r="AN7" s="646"/>
      <c r="AO7" s="646"/>
      <c r="AP7" s="646"/>
      <c r="AQ7" s="647">
        <f>COUNTIF(AY19:AY63,"&gt;=50,500")</f>
        <v>0</v>
      </c>
      <c r="AR7" s="647"/>
      <c r="AS7" s="629"/>
      <c r="AT7" s="630"/>
      <c r="AU7" s="630"/>
      <c r="AV7" s="630"/>
      <c r="AW7" s="630"/>
      <c r="AX7" s="631"/>
      <c r="AY7" s="639"/>
      <c r="AZ7" s="640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17">
        <f>CARATULA!R25</f>
        <v>43799</v>
      </c>
      <c r="AE8" s="617"/>
      <c r="AF8" s="617"/>
      <c r="AG8" s="617"/>
      <c r="AH8" s="617"/>
      <c r="AI8" s="121"/>
      <c r="AJ8" s="644" t="s">
        <v>229</v>
      </c>
      <c r="AK8" s="644"/>
      <c r="AL8" s="644"/>
      <c r="AM8" s="644"/>
      <c r="AN8" s="644"/>
      <c r="AO8" s="644"/>
      <c r="AP8" s="644"/>
      <c r="AQ8" s="645">
        <f>COUNTIFS(AY19:AY63,"&gt;=1",AY19:AY63,"&lt;=50,499")</f>
        <v>0</v>
      </c>
      <c r="AR8" s="645"/>
      <c r="AS8" s="629"/>
      <c r="AT8" s="630"/>
      <c r="AU8" s="630"/>
      <c r="AV8" s="630"/>
      <c r="AW8" s="630"/>
      <c r="AX8" s="631"/>
      <c r="AY8" s="641">
        <f ca="1">AD8-AD10</f>
        <v>289</v>
      </c>
      <c r="AZ8" s="642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29"/>
      <c r="AT9" s="630"/>
      <c r="AU9" s="630"/>
      <c r="AV9" s="630"/>
      <c r="AW9" s="630"/>
      <c r="AX9" s="631"/>
      <c r="AY9" s="641"/>
      <c r="AZ9" s="642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17">
        <f ca="1">TODAY()</f>
        <v>43510</v>
      </c>
      <c r="AE10" s="618"/>
      <c r="AF10" s="618"/>
      <c r="AG10" s="618"/>
      <c r="AH10" s="618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29"/>
      <c r="AT10" s="630"/>
      <c r="AU10" s="630"/>
      <c r="AV10" s="630"/>
      <c r="AW10" s="630"/>
      <c r="AX10" s="631"/>
      <c r="AY10" s="641"/>
      <c r="AZ10" s="642"/>
      <c r="BA10" s="72"/>
      <c r="BB10" s="422">
        <v>1</v>
      </c>
      <c r="BC10" s="514" t="str">
        <f>VLOOKUP(BB10,'C. FILIACION'!B14:C58, 2,FALSE)</f>
        <v>ALIAGA MENDOZA ELIANA SALOME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29"/>
      <c r="AT11" s="630"/>
      <c r="AU11" s="630"/>
      <c r="AV11" s="630"/>
      <c r="AW11" s="630"/>
      <c r="AX11" s="631"/>
      <c r="AY11" s="641"/>
      <c r="AZ11" s="642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2"/>
      <c r="AT12" s="633"/>
      <c r="AU12" s="633"/>
      <c r="AV12" s="633"/>
      <c r="AW12" s="633"/>
      <c r="AX12" s="634"/>
      <c r="AY12" s="641"/>
      <c r="AZ12" s="642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48"/>
      <c r="C14" s="648"/>
      <c r="D14" s="619" t="s">
        <v>240</v>
      </c>
      <c r="E14" s="620"/>
      <c r="F14" s="620"/>
      <c r="G14" s="620"/>
      <c r="H14" s="620"/>
      <c r="I14" s="620"/>
      <c r="J14" s="620"/>
      <c r="K14" s="620"/>
      <c r="L14" s="620"/>
      <c r="M14" s="620"/>
      <c r="N14" s="620"/>
      <c r="O14" s="620"/>
      <c r="P14" s="620"/>
      <c r="Q14" s="620"/>
      <c r="R14" s="620"/>
      <c r="S14" s="620"/>
      <c r="T14" s="620"/>
      <c r="U14" s="620"/>
      <c r="V14" s="620"/>
      <c r="W14" s="620"/>
      <c r="X14" s="620"/>
      <c r="Y14" s="620"/>
      <c r="Z14" s="620"/>
      <c r="AA14" s="620"/>
      <c r="AB14" s="620"/>
      <c r="AC14" s="620"/>
      <c r="AD14" s="620"/>
      <c r="AE14" s="620"/>
      <c r="AF14" s="620"/>
      <c r="AG14" s="620"/>
      <c r="AH14" s="620"/>
      <c r="AI14" s="620"/>
      <c r="AJ14" s="620"/>
      <c r="AK14" s="620"/>
      <c r="AL14" s="620"/>
      <c r="AM14" s="620"/>
      <c r="AN14" s="620"/>
      <c r="AO14" s="620"/>
      <c r="AP14" s="620"/>
      <c r="AQ14" s="620"/>
      <c r="AR14" s="620"/>
      <c r="AS14" s="620"/>
      <c r="AT14" s="620"/>
      <c r="AU14" s="620"/>
      <c r="AV14" s="621"/>
      <c r="AW14" s="651" t="s">
        <v>238</v>
      </c>
      <c r="AX14" s="652"/>
      <c r="AY14" s="613" t="s">
        <v>206</v>
      </c>
      <c r="AZ14" s="610" t="s">
        <v>67</v>
      </c>
      <c r="BC14" s="506">
        <f ca="1">NOW()</f>
        <v>43510.376313657405</v>
      </c>
    </row>
    <row r="15" spans="1:57" ht="15" customHeight="1" x14ac:dyDescent="0.25">
      <c r="A15" s="72"/>
      <c r="B15" s="649"/>
      <c r="C15" s="649"/>
      <c r="D15" s="622" t="s">
        <v>55</v>
      </c>
      <c r="E15" s="623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23"/>
      <c r="Q15" s="623"/>
      <c r="R15" s="623"/>
      <c r="S15" s="623"/>
      <c r="T15" s="623"/>
      <c r="U15" s="623"/>
      <c r="V15" s="623"/>
      <c r="W15" s="623"/>
      <c r="X15" s="623"/>
      <c r="Y15" s="623"/>
      <c r="Z15" s="623"/>
      <c r="AA15" s="623"/>
      <c r="AB15" s="623"/>
      <c r="AC15" s="623"/>
      <c r="AD15" s="623"/>
      <c r="AE15" s="623"/>
      <c r="AF15" s="623"/>
      <c r="AG15" s="623"/>
      <c r="AH15" s="623"/>
      <c r="AI15" s="623"/>
      <c r="AJ15" s="623"/>
      <c r="AK15" s="623"/>
      <c r="AL15" s="623"/>
      <c r="AM15" s="623"/>
      <c r="AN15" s="623"/>
      <c r="AO15" s="623"/>
      <c r="AP15" s="623"/>
      <c r="AQ15" s="623"/>
      <c r="AR15" s="623"/>
      <c r="AS15" s="623"/>
      <c r="AT15" s="623"/>
      <c r="AU15" s="623"/>
      <c r="AV15" s="624"/>
      <c r="AW15" s="653" t="s">
        <v>55</v>
      </c>
      <c r="AX15" s="654"/>
      <c r="AY15" s="614"/>
      <c r="AZ15" s="611"/>
    </row>
    <row r="16" spans="1:57" ht="15" customHeight="1" x14ac:dyDescent="0.25">
      <c r="A16" s="72"/>
      <c r="B16" s="649"/>
      <c r="C16" s="649"/>
      <c r="D16" s="625" t="s">
        <v>59</v>
      </c>
      <c r="E16" s="625"/>
      <c r="F16" s="625"/>
      <c r="G16" s="625"/>
      <c r="H16" s="625"/>
      <c r="I16" s="625"/>
      <c r="J16" s="625"/>
      <c r="K16" s="663" t="s">
        <v>58</v>
      </c>
      <c r="L16" s="663"/>
      <c r="M16" s="663"/>
      <c r="N16" s="663"/>
      <c r="O16" s="663"/>
      <c r="P16" s="663"/>
      <c r="Q16" s="663"/>
      <c r="R16" s="663"/>
      <c r="S16" s="663"/>
      <c r="T16" s="663"/>
      <c r="U16" s="663"/>
      <c r="V16" s="663"/>
      <c r="W16" s="663"/>
      <c r="X16" s="663"/>
      <c r="Y16" s="663"/>
      <c r="Z16" s="663"/>
      <c r="AA16" s="664" t="s">
        <v>61</v>
      </c>
      <c r="AB16" s="664"/>
      <c r="AC16" s="664"/>
      <c r="AD16" s="664"/>
      <c r="AE16" s="664"/>
      <c r="AF16" s="664"/>
      <c r="AG16" s="664"/>
      <c r="AH16" s="664"/>
      <c r="AI16" s="664"/>
      <c r="AJ16" s="664"/>
      <c r="AK16" s="664"/>
      <c r="AL16" s="664"/>
      <c r="AM16" s="664"/>
      <c r="AN16" s="664"/>
      <c r="AO16" s="664"/>
      <c r="AP16" s="664"/>
      <c r="AQ16" s="667" t="s">
        <v>60</v>
      </c>
      <c r="AR16" s="667"/>
      <c r="AS16" s="667"/>
      <c r="AT16" s="667"/>
      <c r="AU16" s="667"/>
      <c r="AV16" s="667"/>
      <c r="AW16" s="126" t="s">
        <v>62</v>
      </c>
      <c r="AX16" s="360" t="s">
        <v>63</v>
      </c>
      <c r="AY16" s="614"/>
      <c r="AZ16" s="611"/>
      <c r="BC16" s="421" t="s">
        <v>309</v>
      </c>
    </row>
    <row r="17" spans="1:55" ht="113.25" customHeight="1" x14ac:dyDescent="0.25">
      <c r="A17" s="72"/>
      <c r="B17" s="650"/>
      <c r="C17" s="650"/>
      <c r="D17" s="191" t="s">
        <v>217</v>
      </c>
      <c r="E17" s="723"/>
      <c r="F17" s="721"/>
      <c r="G17" s="721"/>
      <c r="H17" s="721"/>
      <c r="I17" s="722"/>
      <c r="J17" s="670" t="s">
        <v>56</v>
      </c>
      <c r="K17" s="662"/>
      <c r="L17" s="659"/>
      <c r="M17" s="659"/>
      <c r="N17" s="659"/>
      <c r="O17" s="661"/>
      <c r="P17" s="659"/>
      <c r="Q17" s="659"/>
      <c r="R17" s="659"/>
      <c r="S17" s="659"/>
      <c r="T17" s="661"/>
      <c r="U17" s="659"/>
      <c r="V17" s="659"/>
      <c r="W17" s="659"/>
      <c r="X17" s="659"/>
      <c r="Y17" s="660"/>
      <c r="Z17" s="672" t="s">
        <v>57</v>
      </c>
      <c r="AA17" s="662"/>
      <c r="AB17" s="659"/>
      <c r="AC17" s="659"/>
      <c r="AD17" s="659"/>
      <c r="AE17" s="661"/>
      <c r="AF17" s="659"/>
      <c r="AG17" s="659"/>
      <c r="AH17" s="659"/>
      <c r="AI17" s="659"/>
      <c r="AJ17" s="661"/>
      <c r="AK17" s="659"/>
      <c r="AL17" s="659"/>
      <c r="AM17" s="659"/>
      <c r="AN17" s="659"/>
      <c r="AO17" s="660"/>
      <c r="AP17" s="674" t="s">
        <v>57</v>
      </c>
      <c r="AQ17" s="720"/>
      <c r="AR17" s="721"/>
      <c r="AS17" s="721"/>
      <c r="AT17" s="721"/>
      <c r="AU17" s="722"/>
      <c r="AV17" s="665" t="s">
        <v>56</v>
      </c>
      <c r="AW17" s="724"/>
      <c r="AX17" s="726"/>
      <c r="AY17" s="614"/>
      <c r="AZ17" s="611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1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3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5"/>
      <c r="AQ18" s="343"/>
      <c r="AR18" s="343"/>
      <c r="AS18" s="343"/>
      <c r="AT18" s="343"/>
      <c r="AU18" s="343"/>
      <c r="AV18" s="666"/>
      <c r="AW18" s="725"/>
      <c r="AX18" s="727"/>
      <c r="AY18" s="615"/>
      <c r="AZ18" s="612"/>
    </row>
    <row r="19" spans="1:55" x14ac:dyDescent="0.25">
      <c r="A19" s="72"/>
      <c r="B19" s="131">
        <v>1</v>
      </c>
      <c r="C19" s="689" t="str">
        <f>'C. FILIACION'!C14</f>
        <v>ALIAGA MENDOZA ELIANA SALOME</v>
      </c>
      <c r="D19" s="690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9" t="str">
        <f>'C. FILIACION'!C15</f>
        <v>BURGOA  MOLLO KAMIL JHAHIRO</v>
      </c>
      <c r="D20" s="690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9" t="str">
        <f>'C. FILIACION'!C16</f>
        <v>CALANI MAMANI ANA VALERIA</v>
      </c>
      <c r="D21" s="690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9" t="str">
        <f>'C. FILIACION'!C17</f>
        <v>CANAVIRI HERRADA KATHERINE</v>
      </c>
      <c r="D22" s="690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9" t="str">
        <f>'C. FILIACION'!C18</f>
        <v xml:space="preserve">CANAVIRI ROJAS RUTH AMBAR </v>
      </c>
      <c r="D23" s="690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9" t="str">
        <f>'C. FILIACION'!C19</f>
        <v>CARRION MARGUAY CAMILA SAMARA</v>
      </c>
      <c r="D24" s="690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9" t="str">
        <f>'C. FILIACION'!C20</f>
        <v xml:space="preserve">CHEJO CAMACHO NOEMI MILDRED </v>
      </c>
      <c r="D25" s="690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9" t="str">
        <f>'C. FILIACION'!C21</f>
        <v>DELGADO APAZA JHAMYL</v>
      </c>
      <c r="D26" s="690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9" t="str">
        <f>'C. FILIACION'!C22</f>
        <v>DORADO CHOQUE FRANCO ANIBAL</v>
      </c>
      <c r="D27" s="690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9" t="str">
        <f>'C. FILIACION'!C23</f>
        <v>EYZAGUIRRE CUSSI CRISTIAN  ROMMEL</v>
      </c>
      <c r="D28" s="690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9" t="str">
        <f>'C. FILIACION'!C24</f>
        <v>FORONDA FLORES GREACE ANGELA</v>
      </c>
      <c r="D29" s="690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9" t="str">
        <f>'C. FILIACION'!C25</f>
        <v>GAMBOA MEDINA GIULIANNA INES</v>
      </c>
      <c r="D30" s="690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9" t="str">
        <f>'C. FILIACION'!C26</f>
        <v xml:space="preserve">HUANCA HERRERA SEBASTIAN  NAIN </v>
      </c>
      <c r="D31" s="690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9" t="str">
        <f>'C. FILIACION'!C27</f>
        <v>LAURA CHAMBILLA JOSE MISHAEL</v>
      </c>
      <c r="D32" s="690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9" t="str">
        <f>'C. FILIACION'!C28</f>
        <v>MAMANI BUSTILLOS DANNA  SHARLYN</v>
      </c>
      <c r="D33" s="690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9" t="str">
        <f>'C. FILIACION'!C29</f>
        <v xml:space="preserve">MAMANI CACERES JHONATAN RAINER </v>
      </c>
      <c r="D34" s="690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9" t="str">
        <f>'C. FILIACION'!C30</f>
        <v xml:space="preserve">MEJILLONES CHAYÑA JAQUELIN KEYLA </v>
      </c>
      <c r="D35" s="690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9" t="str">
        <f>'C. FILIACION'!C31</f>
        <v>NISTAUZ COAQUIRA  CRISTIAN  ARIEL</v>
      </c>
      <c r="D36" s="690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9" t="str">
        <f>'C. FILIACION'!C32</f>
        <v xml:space="preserve">OJALVO VEIZAN YULIANA </v>
      </c>
      <c r="D37" s="690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9" t="str">
        <f>'C. FILIACION'!C33</f>
        <v>OVANDO AGUIRRE GABRIELA ANDREA</v>
      </c>
      <c r="D38" s="690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9" t="str">
        <f>'C. FILIACION'!C34</f>
        <v xml:space="preserve">PATANA MAMANI ROBERTO CARLOS </v>
      </c>
      <c r="D39" s="690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9" t="str">
        <f>'C. FILIACION'!C35</f>
        <v>PAUCARA GUTIERREZ ALEJANDRO ANDREI</v>
      </c>
      <c r="D40" s="690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9" t="str">
        <f>'C. FILIACION'!C36</f>
        <v xml:space="preserve">RAMOS MEJIA ROSSY ALEJANDRA </v>
      </c>
      <c r="D41" s="690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9" t="str">
        <f>'C. FILIACION'!C37</f>
        <v>ROJAS PABLO ROSS MIRELIA</v>
      </c>
      <c r="D42" s="690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9" t="str">
        <f>'C. FILIACION'!C38</f>
        <v>TAPIA CHAMBI ALEXANDER JESUS</v>
      </c>
      <c r="D43" s="690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9" t="str">
        <f>'C. FILIACION'!C39</f>
        <v>TICONA AQUINO ITAN MATEO</v>
      </c>
      <c r="D44" s="690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9" t="str">
        <f>'C. FILIACION'!C40</f>
        <v xml:space="preserve">VALDIVIA HERNANI AYLIN SIREL      </v>
      </c>
      <c r="D45" s="690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9" t="str">
        <f>'C. FILIACION'!C41</f>
        <v>VARGAS  FLORES GERALDINE SHARLIN</v>
      </c>
      <c r="D46" s="690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9" t="str">
        <f>'C. FILIACION'!C42</f>
        <v>VILLARROEL  SUAREZ JUAN DIEGO</v>
      </c>
      <c r="D47" s="690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9">
        <f>'C. FILIACION'!C43</f>
        <v>0</v>
      </c>
      <c r="D48" s="690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9">
        <f>'C. FILIACION'!C44</f>
        <v>0</v>
      </c>
      <c r="D49" s="690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9">
        <f>'C. FILIACION'!C45</f>
        <v>0</v>
      </c>
      <c r="D50" s="690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9">
        <f>'C. FILIACION'!C46</f>
        <v>0</v>
      </c>
      <c r="D51" s="690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9">
        <f>'C. FILIACION'!C47</f>
        <v>0</v>
      </c>
      <c r="D52" s="690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9">
        <f>'C. FILIACION'!C48</f>
        <v>0</v>
      </c>
      <c r="D53" s="690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9">
        <f>'C. FILIACION'!C49</f>
        <v>0</v>
      </c>
      <c r="D54" s="690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9">
        <f>'C. FILIACION'!C50</f>
        <v>0</v>
      </c>
      <c r="D55" s="690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9">
        <f>'C. FILIACION'!C51</f>
        <v>0</v>
      </c>
      <c r="D56" s="690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9">
        <f>'C. FILIACION'!C52</f>
        <v>0</v>
      </c>
      <c r="D57" s="690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9">
        <f>'C. FILIACION'!C53</f>
        <v>0</v>
      </c>
      <c r="D58" s="690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9">
        <f>'C. FILIACION'!C54</f>
        <v>0</v>
      </c>
      <c r="D59" s="690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9">
        <f>'C. FILIACION'!C55</f>
        <v>0</v>
      </c>
      <c r="D60" s="690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9">
        <f>'C. FILIACION'!C56</f>
        <v>0</v>
      </c>
      <c r="D61" s="690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9">
        <f>'C. FILIACION'!C57</f>
        <v>0</v>
      </c>
      <c r="D62" s="690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9">
        <f>'C. FILIACION'!C58</f>
        <v>0</v>
      </c>
      <c r="D63" s="690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3"/>
      <c r="AX65" s="703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3"/>
      <c r="AX66" s="703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3"/>
      <c r="J67" s="713"/>
      <c r="K67" s="713"/>
      <c r="L67" s="713"/>
      <c r="M67" s="713"/>
      <c r="N67" s="713"/>
      <c r="O67" s="713"/>
      <c r="P67" s="713"/>
      <c r="Q67" s="713"/>
      <c r="R67" s="713"/>
      <c r="S67" s="713"/>
      <c r="T67" s="713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3"/>
      <c r="AF67" s="713"/>
      <c r="AG67" s="713"/>
      <c r="AH67" s="713"/>
      <c r="AI67" s="713"/>
      <c r="AJ67" s="713"/>
      <c r="AK67" s="713"/>
      <c r="AL67" s="713"/>
      <c r="AM67" s="713"/>
      <c r="AN67" s="713"/>
      <c r="AO67" s="713"/>
      <c r="AP67" s="713"/>
      <c r="AQ67" s="713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4">
        <f>CARATULA!G22</f>
        <v>0</v>
      </c>
      <c r="J68" s="714"/>
      <c r="K68" s="714"/>
      <c r="L68" s="714"/>
      <c r="M68" s="714"/>
      <c r="N68" s="714"/>
      <c r="O68" s="714"/>
      <c r="P68" s="714"/>
      <c r="Q68" s="714"/>
      <c r="R68" s="714"/>
      <c r="S68" s="714"/>
      <c r="T68" s="714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4">
        <f>CARATULA!G24</f>
        <v>0</v>
      </c>
      <c r="AF68" s="714"/>
      <c r="AG68" s="714"/>
      <c r="AH68" s="714"/>
      <c r="AI68" s="714"/>
      <c r="AJ68" s="714"/>
      <c r="AK68" s="714"/>
      <c r="AL68" s="714"/>
      <c r="AM68" s="714"/>
      <c r="AN68" s="714"/>
      <c r="AO68" s="714"/>
      <c r="AP68" s="714"/>
      <c r="AQ68" s="714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6" t="s">
        <v>318</v>
      </c>
      <c r="C1" s="706"/>
      <c r="D1" s="706"/>
      <c r="E1" s="706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46" t="s">
        <v>193</v>
      </c>
      <c r="C2" s="747"/>
      <c r="D2" s="747"/>
      <c r="E2" s="747"/>
      <c r="F2" s="747"/>
      <c r="G2" s="747"/>
      <c r="H2" s="747"/>
      <c r="I2" s="747"/>
      <c r="J2" s="747"/>
      <c r="K2" s="747"/>
      <c r="L2" s="747"/>
      <c r="M2" s="747"/>
      <c r="N2" s="747"/>
      <c r="O2" s="747"/>
      <c r="P2" s="747"/>
      <c r="Q2" s="747"/>
      <c r="R2" s="747"/>
      <c r="S2" s="747"/>
      <c r="T2" s="747"/>
      <c r="U2" s="747"/>
      <c r="V2" s="747"/>
      <c r="W2" s="747"/>
      <c r="X2" s="747"/>
      <c r="Y2" s="747"/>
      <c r="Z2" s="747"/>
      <c r="AA2" s="747"/>
      <c r="AB2" s="748">
        <f ca="1">TODAY()</f>
        <v>43510</v>
      </c>
      <c r="AC2" s="749"/>
      <c r="AD2" s="749"/>
      <c r="AE2" s="749"/>
      <c r="AF2" s="749"/>
      <c r="AG2" s="750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1">
        <f>COUNTIF(J15:J59,"&gt;=51")</f>
        <v>0</v>
      </c>
      <c r="T9" s="751"/>
      <c r="U9" s="751">
        <f>COUNTIF(Q15:Q59,"&gt;=51")</f>
        <v>0</v>
      </c>
      <c r="V9" s="751"/>
      <c r="W9" s="751">
        <f>COUNTIF(X15:X59,"&gt;=51")</f>
        <v>0</v>
      </c>
      <c r="X9" s="751"/>
      <c r="Y9" s="751">
        <f>COUNTIF(AE15:AE59,"&gt;=51")</f>
        <v>0</v>
      </c>
      <c r="Z9" s="751"/>
      <c r="AA9" s="13"/>
      <c r="AB9" s="754" t="s">
        <v>223</v>
      </c>
      <c r="AC9" s="754"/>
      <c r="AD9" s="754"/>
      <c r="AE9" s="754"/>
      <c r="AF9" s="755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3" t="s">
        <v>230</v>
      </c>
      <c r="T10" s="753"/>
      <c r="U10" s="753"/>
      <c r="V10" s="753"/>
      <c r="W10" s="753"/>
      <c r="X10" s="753"/>
      <c r="Y10" s="753"/>
      <c r="Z10" s="753"/>
      <c r="AA10" s="13"/>
      <c r="AB10" s="756" t="s">
        <v>224</v>
      </c>
      <c r="AC10" s="756"/>
      <c r="AD10" s="756"/>
      <c r="AE10" s="756"/>
      <c r="AF10" s="757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37" t="s">
        <v>41</v>
      </c>
      <c r="C12" s="740" t="s">
        <v>265</v>
      </c>
      <c r="D12" s="743" t="s">
        <v>85</v>
      </c>
      <c r="E12" s="743"/>
      <c r="F12" s="743"/>
      <c r="G12" s="743"/>
      <c r="H12" s="743"/>
      <c r="I12" s="743"/>
      <c r="J12" s="744"/>
      <c r="K12" s="745" t="s">
        <v>84</v>
      </c>
      <c r="L12" s="743"/>
      <c r="M12" s="743"/>
      <c r="N12" s="743"/>
      <c r="O12" s="743"/>
      <c r="P12" s="743"/>
      <c r="Q12" s="744"/>
      <c r="R12" s="745" t="s">
        <v>86</v>
      </c>
      <c r="S12" s="743"/>
      <c r="T12" s="743"/>
      <c r="U12" s="743"/>
      <c r="V12" s="743"/>
      <c r="W12" s="743"/>
      <c r="X12" s="744"/>
      <c r="Y12" s="743" t="s">
        <v>87</v>
      </c>
      <c r="Z12" s="743"/>
      <c r="AA12" s="743"/>
      <c r="AB12" s="743"/>
      <c r="AC12" s="743"/>
      <c r="AD12" s="743"/>
      <c r="AE12" s="744"/>
      <c r="AF12" s="758" t="s">
        <v>90</v>
      </c>
      <c r="AG12" s="728" t="s">
        <v>219</v>
      </c>
    </row>
    <row r="13" spans="2:34" ht="15.75" customHeight="1" thickBot="1" x14ac:dyDescent="0.3">
      <c r="B13" s="738"/>
      <c r="C13" s="741"/>
      <c r="D13" s="734" t="s">
        <v>297</v>
      </c>
      <c r="E13" s="731"/>
      <c r="F13" s="731"/>
      <c r="G13" s="735"/>
      <c r="H13" s="731" t="s">
        <v>201</v>
      </c>
      <c r="I13" s="731"/>
      <c r="J13" s="732" t="s">
        <v>88</v>
      </c>
      <c r="K13" s="734" t="s">
        <v>297</v>
      </c>
      <c r="L13" s="731"/>
      <c r="M13" s="731"/>
      <c r="N13" s="735"/>
      <c r="O13" s="731" t="s">
        <v>201</v>
      </c>
      <c r="P13" s="731"/>
      <c r="Q13" s="732" t="s">
        <v>89</v>
      </c>
      <c r="R13" s="734" t="s">
        <v>297</v>
      </c>
      <c r="S13" s="731"/>
      <c r="T13" s="731"/>
      <c r="U13" s="735"/>
      <c r="V13" s="731" t="s">
        <v>201</v>
      </c>
      <c r="W13" s="731"/>
      <c r="X13" s="732" t="s">
        <v>89</v>
      </c>
      <c r="Y13" s="734" t="s">
        <v>297</v>
      </c>
      <c r="Z13" s="731"/>
      <c r="AA13" s="731"/>
      <c r="AB13" s="735"/>
      <c r="AC13" s="731" t="s">
        <v>201</v>
      </c>
      <c r="AD13" s="731"/>
      <c r="AE13" s="732" t="s">
        <v>89</v>
      </c>
      <c r="AF13" s="759"/>
      <c r="AG13" s="729"/>
    </row>
    <row r="14" spans="2:34" ht="75" customHeight="1" thickBot="1" x14ac:dyDescent="0.3">
      <c r="B14" s="739"/>
      <c r="C14" s="742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3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3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3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36"/>
      <c r="AF14" s="759"/>
      <c r="AG14" s="730"/>
    </row>
    <row r="15" spans="2:34" ht="16.5" thickBot="1" x14ac:dyDescent="0.3">
      <c r="B15" s="9">
        <v>1</v>
      </c>
      <c r="C15" s="524" t="str">
        <f>'C. FILIACION'!C14:D14</f>
        <v>ALIAGA MENDOZA ELIANA SALOME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BURGOA  MOLLO KAMIL JHAHIRO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CALANI MAMANI ANA VALERIA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CANAVIRI HERRADA KATHERINE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 xml:space="preserve">CANAVIRI ROJAS RUTH AMBAR 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CARRION MARGUAY CAMILA SAMARA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 xml:space="preserve">CHEJO CAMACHO NOEMI MILDRED 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DELGADO APAZA JHAMYL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DORADO CHOQUE FRANCO ANIBAL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EYZAGUIRRE CUSSI CRISTIAN  ROMMEL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FORONDA FLORES GREACE ANGELA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GAMBOA MEDINA GIULIANNA INES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 xml:space="preserve">HUANCA HERRERA SEBASTIAN  NAIN 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LAURA CHAMBILLA JOSE MISHAEL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MAMANI BUSTILLOS DANNA  SHARLYN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 xml:space="preserve">MAMANI CACERES JHONATAN RAINER 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 xml:space="preserve">MEJILLONES CHAYÑA JAQUELIN KEYLA 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NISTAUZ COAQUIRA  CRISTIAN  ARIEL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 xml:space="preserve">OJALVO VEIZAN YULIANA 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OVANDO AGUIRRE GABRIELA ANDREA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 xml:space="preserve">PATANA MAMANI ROBERTO CARLOS 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PAUCARA GUTIERREZ ALEJANDRO ANDREI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 t="str">
        <f>'C. FILIACION'!C36:D36</f>
        <v xml:space="preserve">RAMOS MEJIA ROSSY ALEJANDRA 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 t="str">
        <f>'C. FILIACION'!C37:D37</f>
        <v>ROJAS PABLO ROSS MIRELIA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 t="str">
        <f>'C. FILIACION'!C38:D38</f>
        <v>TAPIA CHAMBI ALEXANDER JESUS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 t="str">
        <f>'C. FILIACION'!C39:D39</f>
        <v>TICONA AQUINO ITAN MATEO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 t="str">
        <f>'C. FILIACION'!C40:D40</f>
        <v xml:space="preserve">VALDIVIA HERNANI AYLIN SIREL      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 t="str">
        <f>'C. FILIACION'!C41:D41</f>
        <v>VARGAS  FLORES GERALDINE SHARLIN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 t="str">
        <f>'C. FILIACION'!C42:D42</f>
        <v>VILLARROEL  SUAREZ JUAN DIEGO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2">
        <f>CARATULA!G22</f>
        <v>0</v>
      </c>
      <c r="E63" s="752"/>
      <c r="F63" s="752"/>
      <c r="G63" s="752"/>
      <c r="H63" s="752"/>
      <c r="I63" s="752"/>
      <c r="J63" s="752"/>
      <c r="K63" s="752"/>
      <c r="L63" s="1"/>
      <c r="M63" s="1"/>
      <c r="N63" s="1"/>
      <c r="O63" s="1"/>
      <c r="P63" s="1"/>
      <c r="Q63" s="1"/>
      <c r="R63" s="752">
        <f>CARATULA!G24</f>
        <v>0</v>
      </c>
      <c r="S63" s="752"/>
      <c r="T63" s="752"/>
      <c r="U63" s="752"/>
      <c r="V63" s="752"/>
      <c r="W63" s="752"/>
      <c r="X63" s="752"/>
      <c r="Y63" s="752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0" t="s">
        <v>218</v>
      </c>
      <c r="D3" s="760"/>
      <c r="E3" s="760"/>
      <c r="F3" s="760"/>
      <c r="G3" s="760"/>
      <c r="H3" s="760"/>
      <c r="I3" s="760"/>
      <c r="J3" s="760"/>
      <c r="K3" s="760"/>
      <c r="L3" s="760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4" t="s">
        <v>209</v>
      </c>
      <c r="D10" s="764"/>
      <c r="E10" s="764"/>
      <c r="F10" s="764"/>
      <c r="G10" s="764"/>
      <c r="H10" s="764"/>
      <c r="I10" s="764"/>
      <c r="J10" s="764"/>
      <c r="K10" s="764"/>
      <c r="L10" s="764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5" t="s">
        <v>215</v>
      </c>
      <c r="E12" s="765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6">
        <f>'C. FILIACION'!Q6</f>
        <v>0</v>
      </c>
      <c r="E13" s="766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6">
        <f>'C. FILIACION'!Q7</f>
        <v>0</v>
      </c>
      <c r="E14" s="766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6">
        <f>'C. FILIACION'!Q8</f>
        <v>0</v>
      </c>
      <c r="E15" s="766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6">
        <f>'C. FILIACION'!Q9</f>
        <v>0</v>
      </c>
      <c r="E16" s="766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3" t="s">
        <v>225</v>
      </c>
      <c r="D19" s="763"/>
      <c r="E19" s="763"/>
      <c r="F19" s="763"/>
      <c r="G19" s="763"/>
      <c r="H19" s="763"/>
      <c r="I19" s="763"/>
      <c r="J19" s="763"/>
      <c r="K19" s="763"/>
      <c r="L19" s="763"/>
      <c r="M19" s="3"/>
    </row>
    <row r="20" spans="2:15" x14ac:dyDescent="0.25">
      <c r="B20" s="3"/>
      <c r="C20" s="763"/>
      <c r="D20" s="763"/>
      <c r="E20" s="763"/>
      <c r="F20" s="763"/>
      <c r="G20" s="763"/>
      <c r="H20" s="763"/>
      <c r="I20" s="763"/>
      <c r="J20" s="763"/>
      <c r="K20" s="763"/>
      <c r="L20" s="763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7" t="s">
        <v>226</v>
      </c>
      <c r="E31" s="767"/>
      <c r="F31" s="767"/>
      <c r="G31" s="5"/>
      <c r="H31" s="767" t="s">
        <v>227</v>
      </c>
      <c r="I31" s="767"/>
      <c r="J31" s="767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1">
        <f>CARATULA!G22</f>
        <v>0</v>
      </c>
      <c r="D34" s="761"/>
      <c r="E34" s="761"/>
      <c r="F34" s="5"/>
      <c r="G34" s="5"/>
      <c r="H34" s="5"/>
      <c r="I34" s="762">
        <f>CARATULA!G24</f>
        <v>0</v>
      </c>
      <c r="J34" s="762"/>
      <c r="K34" s="762"/>
      <c r="L34" s="762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8" t="s">
        <v>205</v>
      </c>
      <c r="C2" s="769"/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  <c r="P2" s="769"/>
      <c r="Q2" s="769"/>
      <c r="R2" s="769"/>
      <c r="S2" s="769"/>
      <c r="T2" s="769"/>
      <c r="U2" s="769"/>
      <c r="V2" s="769"/>
      <c r="W2" s="769"/>
      <c r="X2" s="769"/>
      <c r="Y2" s="769"/>
      <c r="Z2" s="769"/>
      <c r="AA2" s="769"/>
      <c r="AB2" s="769"/>
      <c r="AC2" s="769"/>
      <c r="AD2" s="769"/>
      <c r="AE2" s="769"/>
      <c r="AF2" s="769"/>
      <c r="AG2" s="769"/>
      <c r="AH2" s="769"/>
      <c r="AI2" s="769"/>
      <c r="AJ2" s="769"/>
      <c r="AK2" s="769"/>
      <c r="AL2" s="769"/>
      <c r="AM2" s="769"/>
      <c r="AN2" s="769"/>
      <c r="AO2" s="769"/>
      <c r="AP2" s="769"/>
      <c r="AQ2" s="769"/>
      <c r="AR2" s="769"/>
      <c r="AS2" s="769"/>
      <c r="AT2" s="769"/>
      <c r="AU2" s="769"/>
      <c r="AV2" s="769"/>
      <c r="AW2" s="769"/>
      <c r="AX2" s="769"/>
      <c r="AY2" s="769"/>
      <c r="AZ2" s="769"/>
      <c r="BA2" s="769"/>
      <c r="BB2" s="769"/>
      <c r="BC2" s="769"/>
      <c r="BD2" s="769"/>
      <c r="BE2" s="769"/>
      <c r="BF2" s="769"/>
      <c r="BG2" s="769"/>
      <c r="BH2" s="769"/>
      <c r="BI2" s="769"/>
      <c r="BJ2" s="769"/>
      <c r="BK2" s="769"/>
      <c r="BL2" s="769"/>
      <c r="BM2" s="769"/>
      <c r="BN2" s="769"/>
      <c r="BO2" s="769"/>
      <c r="BP2" s="769"/>
      <c r="BQ2" s="769"/>
      <c r="BR2" s="769"/>
      <c r="BS2" s="769"/>
      <c r="BT2" s="769"/>
      <c r="BU2" s="769"/>
      <c r="BV2" s="769"/>
      <c r="BW2" s="72"/>
      <c r="BX2" s="72"/>
    </row>
    <row r="3" spans="1:76" ht="19.5" customHeight="1" x14ac:dyDescent="0.25">
      <c r="A3" s="72"/>
      <c r="B3" s="156"/>
      <c r="C3" s="74" t="s">
        <v>1</v>
      </c>
      <c r="D3" s="790">
        <f>CARATULA!G20</f>
        <v>0</v>
      </c>
      <c r="E3" s="790"/>
      <c r="F3" s="790"/>
      <c r="G3" s="790"/>
      <c r="H3" s="790"/>
      <c r="I3" s="790"/>
      <c r="J3" s="790"/>
      <c r="K3" s="790"/>
      <c r="L3" s="790"/>
      <c r="M3" s="790"/>
      <c r="N3" s="790"/>
      <c r="O3" s="790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79">
        <f>CARATULA!G26</f>
        <v>0</v>
      </c>
      <c r="E4" s="779"/>
      <c r="F4" s="779"/>
      <c r="G4" s="779"/>
      <c r="H4" s="779"/>
      <c r="I4" s="779"/>
      <c r="J4" s="779"/>
      <c r="K4" s="779"/>
      <c r="L4" s="779"/>
      <c r="M4" s="779"/>
      <c r="N4" s="779"/>
      <c r="O4" s="779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79" t="str">
        <f>CONCATENATE(CARATULA!G28," ",CARATULA!H28)</f>
        <v xml:space="preserve"> </v>
      </c>
      <c r="E5" s="779"/>
      <c r="F5" s="779"/>
      <c r="G5" s="779"/>
      <c r="H5" s="779"/>
      <c r="I5" s="779"/>
      <c r="J5" s="779"/>
      <c r="K5" s="779"/>
      <c r="L5" s="779"/>
      <c r="M5" s="779"/>
      <c r="N5" s="779"/>
      <c r="O5" s="779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79">
        <f>CARATULA!G22</f>
        <v>0</v>
      </c>
      <c r="E6" s="779"/>
      <c r="F6" s="779"/>
      <c r="G6" s="779"/>
      <c r="H6" s="779"/>
      <c r="I6" s="779"/>
      <c r="J6" s="779"/>
      <c r="K6" s="779"/>
      <c r="L6" s="779"/>
      <c r="M6" s="779"/>
      <c r="N6" s="779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7">
        <f>CARATULA!G24</f>
        <v>0</v>
      </c>
      <c r="E7" s="777"/>
      <c r="F7" s="777"/>
      <c r="G7" s="777"/>
      <c r="H7" s="777"/>
      <c r="I7" s="777"/>
      <c r="J7" s="777"/>
      <c r="K7" s="777"/>
      <c r="L7" s="777"/>
      <c r="M7" s="777"/>
      <c r="N7" s="777"/>
      <c r="O7" s="777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7">
        <f>CARATULA!G30</f>
        <v>0</v>
      </c>
      <c r="E8" s="777"/>
      <c r="F8" s="777"/>
      <c r="G8" s="777"/>
      <c r="H8" s="777"/>
      <c r="I8" s="777"/>
      <c r="J8" s="777"/>
      <c r="K8" s="777"/>
      <c r="L8" s="777"/>
      <c r="M8" s="777"/>
      <c r="N8" s="777"/>
      <c r="O8" s="777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7">
        <f>CARATULA!G32</f>
        <v>0</v>
      </c>
      <c r="E9" s="777"/>
      <c r="F9" s="777"/>
      <c r="G9" s="777"/>
      <c r="H9" s="777"/>
      <c r="I9" s="777"/>
      <c r="J9" s="777"/>
      <c r="K9" s="777"/>
      <c r="L9" s="777"/>
      <c r="M9" s="777"/>
      <c r="N9" s="777"/>
      <c r="O9" s="777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8" t="s">
        <v>358</v>
      </c>
      <c r="E10" s="778"/>
      <c r="F10" s="778"/>
      <c r="G10" s="778"/>
      <c r="H10" s="778"/>
      <c r="I10" s="778"/>
      <c r="J10" s="778"/>
      <c r="K10" s="778"/>
      <c r="L10" s="778"/>
      <c r="M10" s="778"/>
      <c r="N10" s="778"/>
      <c r="O10" s="778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0"/>
      <c r="C12" s="781"/>
      <c r="D12" s="782" t="s">
        <v>91</v>
      </c>
      <c r="E12" s="783"/>
      <c r="F12" s="783"/>
      <c r="G12" s="783"/>
      <c r="H12" s="783"/>
      <c r="I12" s="783"/>
      <c r="J12" s="783"/>
      <c r="K12" s="783"/>
      <c r="L12" s="783"/>
      <c r="M12" s="783"/>
      <c r="N12" s="783"/>
      <c r="O12" s="783"/>
      <c r="P12" s="783"/>
      <c r="Q12" s="783"/>
      <c r="R12" s="783"/>
      <c r="S12" s="783"/>
      <c r="T12" s="784"/>
      <c r="U12" s="785" t="s">
        <v>92</v>
      </c>
      <c r="V12" s="786"/>
      <c r="W12" s="786"/>
      <c r="X12" s="786"/>
      <c r="Y12" s="786"/>
      <c r="Z12" s="786"/>
      <c r="AA12" s="786"/>
      <c r="AB12" s="786"/>
      <c r="AC12" s="786"/>
      <c r="AD12" s="786"/>
      <c r="AE12" s="786"/>
      <c r="AF12" s="786"/>
      <c r="AG12" s="786"/>
      <c r="AH12" s="786"/>
      <c r="AI12" s="786"/>
      <c r="AJ12" s="786"/>
      <c r="AK12" s="787"/>
      <c r="AL12" s="788" t="s">
        <v>93</v>
      </c>
      <c r="AM12" s="788"/>
      <c r="AN12" s="788"/>
      <c r="AO12" s="788"/>
      <c r="AP12" s="788"/>
      <c r="AQ12" s="788"/>
      <c r="AR12" s="788"/>
      <c r="AS12" s="788"/>
      <c r="AT12" s="788"/>
      <c r="AU12" s="788"/>
      <c r="AV12" s="788"/>
      <c r="AW12" s="788"/>
      <c r="AX12" s="788"/>
      <c r="AY12" s="788"/>
      <c r="AZ12" s="788"/>
      <c r="BA12" s="788"/>
      <c r="BB12" s="789"/>
      <c r="BC12" s="772" t="s">
        <v>94</v>
      </c>
      <c r="BD12" s="773"/>
      <c r="BE12" s="773"/>
      <c r="BF12" s="773"/>
      <c r="BG12" s="773"/>
      <c r="BH12" s="773"/>
      <c r="BI12" s="773"/>
      <c r="BJ12" s="773"/>
      <c r="BK12" s="773"/>
      <c r="BL12" s="773"/>
      <c r="BM12" s="773"/>
      <c r="BN12" s="773"/>
      <c r="BO12" s="773"/>
      <c r="BP12" s="773"/>
      <c r="BQ12" s="773"/>
      <c r="BR12" s="773"/>
      <c r="BS12" s="774"/>
      <c r="BT12" s="376"/>
      <c r="BU12" s="376"/>
      <c r="BV12" s="770" t="s">
        <v>208</v>
      </c>
      <c r="BW12" s="72"/>
    </row>
    <row r="13" spans="1:76" ht="162" customHeight="1" thickBot="1" x14ac:dyDescent="0.3">
      <c r="A13" s="72"/>
      <c r="B13" s="775" t="s">
        <v>298</v>
      </c>
      <c r="C13" s="776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1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ALIAGA MENDOZA ELIANA SALOME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BURGOA  MOLLO KAMIL JHAHIRO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CALANI MAMANI ANA VALERIA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CANAVIRI HERRADA KATHERINE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 xml:space="preserve">CANAVIRI ROJAS RUTH AMBAR 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CARRION MARGUAY CAMILA SAMARA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 xml:space="preserve">CHEJO CAMACHO NOEMI MILDRED 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DELGADO APAZA JHAMYL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DORADO CHOQUE FRANCO ANIBAL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EYZAGUIRRE CUSSI CRISTIAN  ROMMEL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FORONDA FLORES GREACE ANGELA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GAMBOA MEDINA GIULIANNA INES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 xml:space="preserve">HUANCA HERRERA SEBASTIAN  NAIN 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LAURA CHAMBILLA JOSE MISHAEL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MAMANI BUSTILLOS DANNA  SHARLYN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 xml:space="preserve">MAMANI CACERES JHONATAN RAINER 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 xml:space="preserve">MEJILLONES CHAYÑA JAQUELIN KEYLA 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NISTAUZ COAQUIRA  CRISTIAN  ARIEL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 xml:space="preserve">OJALVO VEIZAN YULIANA 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OVANDO AGUIRRE GABRIELA ANDREA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 xml:space="preserve">PATANA MAMANI ROBERTO CARLOS 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PAUCARA GUTIERREZ ALEJANDRO ANDREI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 t="str">
        <f>'C. FILIACION'!C36:D36</f>
        <v xml:space="preserve">RAMOS MEJIA ROSSY ALEJANDRA 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 t="str">
        <f>'C. FILIACION'!C37:D37</f>
        <v>ROJAS PABLO ROSS MIRELIA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 t="str">
        <f>'C. FILIACION'!C38:D38</f>
        <v>TAPIA CHAMBI ALEXANDER JESUS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 t="str">
        <f>'C. FILIACION'!C39:D39</f>
        <v>TICONA AQUINO ITAN MATEO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 t="str">
        <f>'C. FILIACION'!C40:D40</f>
        <v xml:space="preserve">VALDIVIA HERNANI AYLIN SIREL      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 t="str">
        <f>'C. FILIACION'!C41:D41</f>
        <v>VARGAS  FLORES GERALDINE SHARLIN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 t="str">
        <f>'C. FILIACION'!C42:D42</f>
        <v>VILLARROEL  SUAREZ JUAN DIEGO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3" t="s">
        <v>232</v>
      </c>
      <c r="C4" s="794"/>
      <c r="D4" s="794"/>
      <c r="E4" s="794"/>
      <c r="F4" s="794"/>
      <c r="G4" s="794"/>
      <c r="H4" s="794"/>
      <c r="I4" s="794"/>
      <c r="J4" s="795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799" t="str">
        <f>INDEX('CODIGO Y FOTOGRAFIA '!B3:E47,MATCH('BOLETINES '!D5,'CODIGO Y FOTOGRAFIA '!B3:B47,0),4)</f>
        <v>IMAG1</v>
      </c>
      <c r="D7" s="221"/>
      <c r="E7" s="802" t="s">
        <v>74</v>
      </c>
      <c r="F7" s="802"/>
      <c r="G7" s="802" t="str">
        <f>INDEX('C. FILIACION'!A14:Q58,MATCH('BOLETINES '!D5,'C. FILIACION'!A14:A58,0),3)</f>
        <v>ALIAGA MENDOZA ELIANA SALOME</v>
      </c>
      <c r="H7" s="802"/>
      <c r="I7" s="802"/>
      <c r="J7" s="222"/>
      <c r="K7" s="170"/>
    </row>
    <row r="8" spans="1:11" x14ac:dyDescent="0.25">
      <c r="B8" s="217"/>
      <c r="C8" s="800"/>
      <c r="D8" s="223"/>
      <c r="E8" s="802" t="s">
        <v>259</v>
      </c>
      <c r="F8" s="802"/>
      <c r="G8" s="804">
        <f>INDEX('C. FILIACION'!A14:Q58,MATCH('BOLETINES '!D5,'C. FILIACION'!A14:A58,0),5)</f>
        <v>0</v>
      </c>
      <c r="H8" s="804"/>
      <c r="I8" s="804"/>
      <c r="J8" s="224"/>
      <c r="K8" s="170"/>
    </row>
    <row r="9" spans="1:11" x14ac:dyDescent="0.25">
      <c r="B9" s="217"/>
      <c r="C9" s="800"/>
      <c r="D9" s="225"/>
      <c r="E9" s="803" t="s">
        <v>25</v>
      </c>
      <c r="F9" s="803"/>
      <c r="G9" s="802" t="e">
        <f ca="1">INDEX('C. FILIACION'!A14:Q58,MATCH('BOLETINES '!D5,'C. FILIACION'!A14:A58,0),9)</f>
        <v>#NUM!</v>
      </c>
      <c r="H9" s="802"/>
      <c r="I9" s="802"/>
      <c r="J9" s="224"/>
      <c r="K9" s="170"/>
    </row>
    <row r="10" spans="1:11" x14ac:dyDescent="0.25">
      <c r="B10" s="217"/>
      <c r="C10" s="800"/>
      <c r="D10" s="226"/>
      <c r="E10" s="802" t="s">
        <v>101</v>
      </c>
      <c r="F10" s="802"/>
      <c r="G10" s="802">
        <f>INDEX('C. FILIACION'!A14:Q58,MATCH('BOLETINES '!D5,'C. FILIACION'!A14:A58,0),11)</f>
        <v>0</v>
      </c>
      <c r="H10" s="802"/>
      <c r="I10" s="802"/>
      <c r="J10" s="224"/>
      <c r="K10" s="170"/>
    </row>
    <row r="11" spans="1:11" x14ac:dyDescent="0.25">
      <c r="B11" s="217"/>
      <c r="C11" s="800"/>
      <c r="D11" s="223"/>
      <c r="E11" s="802" t="s">
        <v>102</v>
      </c>
      <c r="F11" s="802"/>
      <c r="G11" s="802">
        <f>INDEX('C. FILIACION'!A14:Q58,MATCH('BOLETINES '!D5,'C. FILIACION'!A14:A58,0),12)</f>
        <v>0</v>
      </c>
      <c r="H11" s="802"/>
      <c r="I11" s="802"/>
      <c r="J11" s="224"/>
      <c r="K11" s="170"/>
    </row>
    <row r="12" spans="1:11" x14ac:dyDescent="0.25">
      <c r="B12" s="217"/>
      <c r="C12" s="800"/>
      <c r="D12" s="223"/>
      <c r="E12" s="802" t="s">
        <v>72</v>
      </c>
      <c r="F12" s="802"/>
      <c r="G12" s="802">
        <f>INDEX('C. FILIACION'!A14:Q58,MATCH('BOLETINES '!D5,'C. FILIACION'!A14:A58,0),14)</f>
        <v>0</v>
      </c>
      <c r="H12" s="802"/>
      <c r="I12" s="802"/>
      <c r="J12" s="224"/>
      <c r="K12" s="170"/>
    </row>
    <row r="13" spans="1:11" x14ac:dyDescent="0.25">
      <c r="B13" s="217"/>
      <c r="C13" s="800"/>
      <c r="D13" s="223"/>
      <c r="E13" s="802" t="s">
        <v>103</v>
      </c>
      <c r="F13" s="802"/>
      <c r="G13" s="802">
        <f>INDEX('C. FILIACION'!A14:Q58,MATCH('BOLETINES '!D5,'C. FILIACION'!A14:A58,0),15)</f>
        <v>0</v>
      </c>
      <c r="H13" s="802"/>
      <c r="I13" s="802"/>
      <c r="J13" s="224"/>
      <c r="K13" s="170"/>
    </row>
    <row r="14" spans="1:11" x14ac:dyDescent="0.25">
      <c r="B14" s="217"/>
      <c r="C14" s="800"/>
      <c r="D14" s="223"/>
      <c r="E14" s="802" t="s">
        <v>267</v>
      </c>
      <c r="F14" s="802"/>
      <c r="G14" s="802">
        <f>INDEX('C. FILIACION'!A14:Q58,MATCH('BOLETINES '!D5,'C. FILIACION'!A14:A58,0),17)</f>
        <v>0</v>
      </c>
      <c r="H14" s="802"/>
      <c r="I14" s="802"/>
      <c r="J14" s="224"/>
      <c r="K14" s="170"/>
    </row>
    <row r="15" spans="1:11" x14ac:dyDescent="0.25">
      <c r="B15" s="217"/>
      <c r="C15" s="800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1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6" t="str">
        <f>G7</f>
        <v>ALIAGA MENDOZA ELIANA SALOME</v>
      </c>
      <c r="D18" s="797"/>
      <c r="E18" s="796" t="str">
        <f>CONCATENATE(CARATULA!G28," ",CARATULA!H28)</f>
        <v xml:space="preserve"> </v>
      </c>
      <c r="F18" s="797"/>
      <c r="G18" s="797"/>
      <c r="H18" s="798"/>
      <c r="I18" s="174"/>
      <c r="J18" s="199"/>
      <c r="K18" s="170"/>
    </row>
    <row r="19" spans="2:12" x14ac:dyDescent="0.25">
      <c r="B19" s="198"/>
      <c r="C19" s="791" t="s">
        <v>221</v>
      </c>
      <c r="D19" s="791" t="s">
        <v>222</v>
      </c>
      <c r="E19" s="791"/>
      <c r="F19" s="791"/>
      <c r="G19" s="791"/>
      <c r="H19" s="791"/>
      <c r="I19" s="173"/>
      <c r="J19" s="200"/>
      <c r="K19" s="170"/>
    </row>
    <row r="20" spans="2:12" x14ac:dyDescent="0.25">
      <c r="B20" s="198"/>
      <c r="C20" s="791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5"/>
      <c r="G36" s="805"/>
      <c r="H36" s="805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2">
        <f>CARATULA!G24</f>
        <v>0</v>
      </c>
      <c r="G37" s="792"/>
      <c r="H37" s="792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CALANI MAMANI ANA VALERIA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 xml:space="preserve">HUANCA HERRERA SEBASTIAN  NAIN 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 xml:space="preserve">MAMANI CACERES JHONATAN RAINER 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DORADO CHOQUE FRANCO ANIBAL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NISTAUZ COAQUIRA  CRISTIAN  ARIEL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FORONDA FLORES GREACE ANGELA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CARRION MARGUAY CAMILA SAMARA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DELGADO APAZA JHAMYL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GAMBOA MEDINA GIULIANNA INES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EYZAGUIRRE CUSSI CRISTIAN  ROMMEL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ALIAGA MENDOZA ELIANA SALOME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 xml:space="preserve">OJALVO VEIZAN YULIANA 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CANAVIRI HERRADA KATHERINE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BURGOA  MOLLO KAMIL JHAHIRO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MAMANI BUSTILLOS DANNA  SHARLYN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LAURA CHAMBILLA JOSE MISHAEL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 xml:space="preserve">MEJILLONES CHAYÑA JAQUELIN KEYLA 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 xml:space="preserve">CANAVIRI ROJAS RUTH AMBAR 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 xml:space="preserve">CHEJO CAMACHO NOEMI MILDRED 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OVANDO AGUIRRE GABRIELA ANDREA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 xml:space="preserve">PATANA MAMANI ROBERTO CARLOS 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PAUCARA GUTIERREZ ALEJANDRO ANDREI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 t="str">
        <f>IF('C. FILIACION'!C36="",0,'C. FILIACION'!C36)</f>
        <v xml:space="preserve">RAMOS MEJIA ROSSY ALEJANDRA 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 t="str">
        <f>IF('C. FILIACION'!C37="",0,'C. FILIACION'!C37)</f>
        <v>ROJAS PABLO ROSS MIRELIA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 t="str">
        <f>IF('C. FILIACION'!C38="",0,'C. FILIACION'!C38)</f>
        <v>TAPIA CHAMBI ALEXANDER JESUS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 t="str">
        <f>IF('C. FILIACION'!C39="",0,'C. FILIACION'!C39)</f>
        <v>TICONA AQUINO ITAN MATEO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 t="str">
        <f>IF('C. FILIACION'!C40="",0,'C. FILIACION'!C40)</f>
        <v xml:space="preserve">VALDIVIA HERNANI AYLIN SIREL      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 t="str">
        <f>IF('C. FILIACION'!C41="",0,'C. FILIACION'!C41)</f>
        <v>VARGAS  FLORES GERALDINE SHARLIN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 t="str">
        <f>IF('C. FILIACION'!C42="",0,'C. FILIACION'!C42)</f>
        <v>VILLARROEL  SUAREZ JUAN DIEGO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3" t="s">
        <v>289</v>
      </c>
      <c r="D3" s="823"/>
      <c r="E3" s="823"/>
      <c r="F3" s="823"/>
      <c r="G3" s="823"/>
      <c r="H3" s="823"/>
      <c r="I3" s="823"/>
      <c r="J3" s="823"/>
      <c r="K3" s="823"/>
      <c r="L3" s="823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5" t="s">
        <v>271</v>
      </c>
      <c r="C5" s="825"/>
      <c r="D5" s="825"/>
      <c r="E5" s="825"/>
      <c r="F5" s="824" t="str">
        <f>IF((CARATULA!G20)=0,"",(CARATULA!G20))</f>
        <v/>
      </c>
      <c r="G5" s="824"/>
      <c r="H5" s="825"/>
      <c r="I5" s="826">
        <f>IF((CARATULA!G34)=0,"",(CARATULA!G34))</f>
        <v>2019</v>
      </c>
      <c r="J5" s="826"/>
      <c r="K5" s="311"/>
      <c r="L5" s="311"/>
      <c r="M5" s="311"/>
      <c r="N5" s="314"/>
    </row>
    <row r="6" spans="1:14" ht="14.1" customHeight="1" x14ac:dyDescent="0.2">
      <c r="A6" s="314"/>
      <c r="B6" s="825" t="s">
        <v>272</v>
      </c>
      <c r="C6" s="825"/>
      <c r="D6" s="825"/>
      <c r="E6" s="825"/>
      <c r="F6" s="824" t="str">
        <f>CONCATENATE(CARATULA!G28," ",CARATULA!H28)</f>
        <v xml:space="preserve"> </v>
      </c>
      <c r="G6" s="824"/>
      <c r="H6" s="825"/>
      <c r="I6" s="826"/>
      <c r="J6" s="826"/>
      <c r="K6" s="314"/>
      <c r="L6" s="314"/>
      <c r="M6" s="314"/>
      <c r="N6" s="314"/>
    </row>
    <row r="7" spans="1:14" ht="14.1" customHeight="1" x14ac:dyDescent="0.2">
      <c r="A7" s="314"/>
      <c r="B7" s="314"/>
      <c r="C7" s="825" t="s">
        <v>273</v>
      </c>
      <c r="D7" s="825"/>
      <c r="E7" s="825"/>
      <c r="F7" s="824" t="str">
        <f>IF((CARATULA!G26)=0,"",(CARATULA!G26))</f>
        <v/>
      </c>
      <c r="G7" s="824"/>
      <c r="H7" s="824"/>
      <c r="I7" s="824"/>
      <c r="J7" s="824"/>
      <c r="K7" s="314"/>
      <c r="L7" s="314"/>
      <c r="M7" s="314"/>
      <c r="N7" s="314"/>
    </row>
    <row r="8" spans="1:14" ht="14.1" customHeight="1" x14ac:dyDescent="0.2">
      <c r="A8" s="314"/>
      <c r="B8" s="314"/>
      <c r="C8" s="825" t="s">
        <v>381</v>
      </c>
      <c r="D8" s="825"/>
      <c r="E8" s="825"/>
      <c r="F8" s="824" t="str">
        <f>IF((CARATULA!G24)=0,"",(CARATULA!G24))</f>
        <v/>
      </c>
      <c r="G8" s="824"/>
      <c r="H8" s="824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9" t="s">
        <v>275</v>
      </c>
      <c r="F13" s="820"/>
      <c r="G13" s="326" t="e">
        <f>[5]NOT_ALT!D7</f>
        <v>#REF!</v>
      </c>
      <c r="H13" s="821" t="e">
        <f>[5]NOT_ALT!B7</f>
        <v>#REF!</v>
      </c>
      <c r="I13" s="821"/>
      <c r="J13" s="822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1" t="s">
        <v>276</v>
      </c>
      <c r="F14" s="812"/>
      <c r="G14" s="324" t="e">
        <f>[5]NOT_ALT!D8</f>
        <v>#REF!</v>
      </c>
      <c r="H14" s="813" t="e">
        <f>[5]NOT_ALT!B8</f>
        <v>#REF!</v>
      </c>
      <c r="I14" s="813"/>
      <c r="J14" s="814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5" t="s">
        <v>277</v>
      </c>
      <c r="F15" s="816"/>
      <c r="G15" s="325" t="e">
        <f>[5]NOT_ALT!D9</f>
        <v>#REF!</v>
      </c>
      <c r="H15" s="817" t="e">
        <f>[5]NOT_ALT!B9</f>
        <v>#REF!</v>
      </c>
      <c r="I15" s="817"/>
      <c r="J15" s="818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06" t="s">
        <v>274</v>
      </c>
      <c r="F16" s="806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07" t="s">
        <v>294</v>
      </c>
      <c r="F17" s="807"/>
      <c r="G17" s="462" t="str">
        <f>IF('C. FILIACION'!C33="",0,'C. FILIACION'!C33)</f>
        <v>OVANDO AGUIRRE GABRIELA ANDREA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07" t="s">
        <v>276</v>
      </c>
      <c r="F18" s="807"/>
      <c r="G18" s="462" t="str">
        <f>IF('C. FILIACION'!C35="",0,'C. FILIACION'!C35)</f>
        <v>PAUCARA GUTIERREZ ALEJANDRO ANDREI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07" t="s">
        <v>295</v>
      </c>
      <c r="F19" s="807"/>
      <c r="G19" s="462" t="str">
        <f>IF('C. FILIACION'!C36="",0,'C. FILIACION'!C36)</f>
        <v xml:space="preserve">RAMOS MEJIA ROSSY ALEJANDRA 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07" t="s">
        <v>278</v>
      </c>
      <c r="F20" s="807"/>
      <c r="G20" s="462" t="str">
        <f>IF('C. FILIACION'!C17="",0,'C. FILIACION'!C17)</f>
        <v>CANAVIRI HERRADA KATHERINE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07" t="s">
        <v>279</v>
      </c>
      <c r="F21" s="807"/>
      <c r="G21" s="462" t="str">
        <f>IF('C. FILIACION'!C19="",0,'C. FILIACION'!C19)</f>
        <v>CARRION MARGUAY CAMILA SAMARA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07" t="s">
        <v>280</v>
      </c>
      <c r="F22" s="807"/>
      <c r="G22" s="462" t="str">
        <f>IF('C. FILIACION'!C18="",0,'C. FILIACION'!C18)</f>
        <v xml:space="preserve">CANAVIRI ROJAS RUTH AMBAR 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07" t="s">
        <v>281</v>
      </c>
      <c r="F23" s="807"/>
      <c r="G23" s="462" t="str">
        <f>IF('C. FILIACION'!C28="",0,'C. FILIACION'!C28)</f>
        <v>MAMANI BUSTILLOS DANNA  SHARLYN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07" t="s">
        <v>282</v>
      </c>
      <c r="F24" s="807"/>
      <c r="G24" s="462" t="str">
        <f>IF('C. FILIACION'!C16="",0,'C. FILIACION'!C16)</f>
        <v>CALANI MAMANI ANA VALERIA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07" t="s">
        <v>283</v>
      </c>
      <c r="F25" s="807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07" t="s">
        <v>284</v>
      </c>
      <c r="F26" s="807"/>
      <c r="G26" s="462" t="str">
        <f>IF('C. FILIACION'!C20="",0,'C. FILIACION'!C20)</f>
        <v xml:space="preserve">CHEJO CAMACHO NOEMI MILDRED 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07" t="s">
        <v>319</v>
      </c>
      <c r="F27" s="807"/>
      <c r="G27" s="462" t="str">
        <f>IF('C. FILIACION'!C23="",0,'C. FILIACION'!C23)</f>
        <v>EYZAGUIRRE CUSSI CRISTIAN  ROMMEL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07" t="s">
        <v>320</v>
      </c>
      <c r="F28" s="807"/>
      <c r="G28" s="462" t="str">
        <f>IF('C. FILIACION'!C15="",0,'C. FILIACION'!C15)</f>
        <v>BURGOA  MOLLO KAMIL JHAHIRO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07" t="s">
        <v>321</v>
      </c>
      <c r="F29" s="807"/>
      <c r="G29" s="462" t="str">
        <f>IF('C. FILIACION'!C25="",0,'C. FILIACION'!C25)</f>
        <v>GAMBOA MEDINA GIULIANNA INES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07" t="s">
        <v>285</v>
      </c>
      <c r="F30" s="807"/>
      <c r="G30" s="462" t="str">
        <f>IF('C. FILIACION'!C30="",0,'C. FILIACION'!C30)</f>
        <v xml:space="preserve">MEJILLONES CHAYÑA JAQUELIN KEYLA 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07" t="s">
        <v>286</v>
      </c>
      <c r="F31" s="807"/>
      <c r="G31" s="462" t="str">
        <f>IF('C. FILIACION'!C27="",0,'C. FILIACION'!C27)</f>
        <v>LAURA CHAMBILLA JOSE MISHAEL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07" t="s">
        <v>322</v>
      </c>
      <c r="F32" s="807"/>
      <c r="G32" s="462" t="str">
        <f>IF('C. FILIACION'!C14="",0,'C. FILIACION'!C14)</f>
        <v>ALIAGA MENDOZA ELIANA SALOME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07" t="s">
        <v>323</v>
      </c>
      <c r="F33" s="807"/>
      <c r="G33" s="462" t="str">
        <f>IF('C. FILIACION'!C26="",0,'C. FILIACION'!C26)</f>
        <v xml:space="preserve">HUANCA HERRERA SEBASTIAN  NAIN 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07" t="s">
        <v>324</v>
      </c>
      <c r="F34" s="807"/>
      <c r="G34" s="462" t="str">
        <f>IF('C. FILIACION'!C29="",0,'C. FILIACION'!C29)</f>
        <v xml:space="preserve">MAMANI CACERES JHONATAN RAINER 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07" t="s">
        <v>325</v>
      </c>
      <c r="F35" s="807"/>
      <c r="G35" s="462" t="str">
        <f>IF('C. FILIACION'!C22="",0,'C. FILIACION'!C22)</f>
        <v>DORADO CHOQUE FRANCO ANIBAL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07" t="s">
        <v>326</v>
      </c>
      <c r="F36" s="807"/>
      <c r="G36" s="462" t="str">
        <f>IF('C. FILIACION'!C31="",0,'C. FILIACION'!C31)</f>
        <v>NISTAUZ COAQUIRA  CRISTIAN  ARIEL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07" t="s">
        <v>327</v>
      </c>
      <c r="F37" s="807"/>
      <c r="G37" s="462" t="str">
        <f>IF('C. FILIACION'!C24="",0,'C. FILIACION'!C24)</f>
        <v>FORONDA FLORES GREACE ANGELA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07" t="s">
        <v>328</v>
      </c>
      <c r="F38" s="807"/>
      <c r="G38" s="462" t="str">
        <f>IF('C. FILIACION'!C32="",0,'C. FILIACION'!C32)</f>
        <v xml:space="preserve">OJALVO VEIZAN YULIANA 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07" t="s">
        <v>329</v>
      </c>
      <c r="F39" s="807"/>
      <c r="G39" s="462" t="str">
        <f>IF('C. FILIACION'!C21="",0,'C. FILIACION'!C21)</f>
        <v>DELGADO APAZA JHAMYL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07" t="s">
        <v>330</v>
      </c>
      <c r="F40" s="807"/>
      <c r="G40" s="462" t="str">
        <f>IF('C. FILIACION'!C34="",0,'C. FILIACION'!C34)</f>
        <v xml:space="preserve">PATANA MAMANI ROBERTO CARLOS 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07" t="s">
        <v>331</v>
      </c>
      <c r="F41" s="807"/>
      <c r="G41" s="462" t="str">
        <f>IF('C. FILIACION'!C37="",0,'C. FILIACION'!C37)</f>
        <v>ROJAS PABLO ROSS MIRELIA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07" t="s">
        <v>332</v>
      </c>
      <c r="F42" s="807"/>
      <c r="G42" s="462" t="str">
        <f>IF('C. FILIACION'!C38="",0,'C. FILIACION'!C38)</f>
        <v>TAPIA CHAMBI ALEXANDER JESUS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07" t="s">
        <v>333</v>
      </c>
      <c r="F43" s="807"/>
      <c r="G43" s="462" t="str">
        <f>IF('C. FILIACION'!C39="",0,'C. FILIACION'!C39)</f>
        <v>TICONA AQUINO ITAN MATEO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07" t="s">
        <v>334</v>
      </c>
      <c r="F44" s="807"/>
      <c r="G44" s="462" t="str">
        <f>IF('C. FILIACION'!C40="",0,'C. FILIACION'!C40)</f>
        <v xml:space="preserve">VALDIVIA HERNANI AYLIN SIREL      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07" t="s">
        <v>335</v>
      </c>
      <c r="F45" s="807"/>
      <c r="G45" s="462" t="str">
        <f>IF('C. FILIACION'!C41="",0,'C. FILIACION'!C41)</f>
        <v>VARGAS  FLORES GERALDINE SHARLIN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07" t="s">
        <v>336</v>
      </c>
      <c r="F46" s="807"/>
      <c r="G46" s="462" t="str">
        <f>IF('C. FILIACION'!C42="",0,'C. FILIACION'!C42)</f>
        <v>VILLARROEL  SUAREZ JUAN DIEGO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07" t="s">
        <v>337</v>
      </c>
      <c r="F47" s="807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07" t="s">
        <v>338</v>
      </c>
      <c r="F48" s="807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07" t="s">
        <v>339</v>
      </c>
      <c r="F49" s="807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07" t="s">
        <v>340</v>
      </c>
      <c r="F50" s="807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07" t="s">
        <v>341</v>
      </c>
      <c r="F51" s="807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07" t="s">
        <v>342</v>
      </c>
      <c r="F52" s="807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07" t="s">
        <v>343</v>
      </c>
      <c r="F53" s="807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07" t="s">
        <v>344</v>
      </c>
      <c r="F54" s="807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07" t="s">
        <v>345</v>
      </c>
      <c r="F55" s="807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07" t="s">
        <v>346</v>
      </c>
      <c r="F56" s="807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07" t="s">
        <v>347</v>
      </c>
      <c r="F57" s="807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07" t="s">
        <v>348</v>
      </c>
      <c r="F58" s="807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07" t="s">
        <v>349</v>
      </c>
      <c r="F59" s="807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07" t="s">
        <v>350</v>
      </c>
      <c r="F60" s="807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07" t="s">
        <v>351</v>
      </c>
      <c r="F61" s="807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08" t="str">
        <f>IF((CARATULA!G24)=0,"",([5]INICIO!AX12))</f>
        <v/>
      </c>
      <c r="D67" s="808"/>
      <c r="E67" s="808"/>
      <c r="F67" s="808"/>
      <c r="G67" s="808"/>
      <c r="H67" s="808" t="str">
        <f>IF((CARATULA!G22)=0,"",(CARATULA!G22))</f>
        <v/>
      </c>
      <c r="I67" s="808"/>
      <c r="J67" s="808"/>
      <c r="K67" s="808"/>
      <c r="L67" s="808"/>
      <c r="M67" s="808"/>
      <c r="N67" s="314"/>
    </row>
    <row r="68" spans="1:14" ht="15" x14ac:dyDescent="0.2">
      <c r="A68" s="314"/>
      <c r="B68" s="314"/>
      <c r="C68" s="809" t="str">
        <f>IF(H67="","",(CARATULA!G24))</f>
        <v/>
      </c>
      <c r="D68" s="809"/>
      <c r="E68" s="809"/>
      <c r="F68" s="809"/>
      <c r="G68" s="809"/>
      <c r="H68" s="809" t="str">
        <f>IF(H67="","",(CARATULA!G22))</f>
        <v/>
      </c>
      <c r="I68" s="809"/>
      <c r="J68" s="809"/>
      <c r="K68" s="809"/>
      <c r="L68" s="809"/>
      <c r="M68" s="809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0">
        <f ca="1">TODAY()</f>
        <v>43510</v>
      </c>
      <c r="M71" s="810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2019-02-14T13:02:04Z</dcterms:modified>
</cp:coreProperties>
</file>