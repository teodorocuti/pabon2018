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wdp" ContentType="image/vnd.ms-photo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omments2.xml" ContentType="application/vnd.openxmlformats-officedocument.spreadsheetml.comments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omments3.xml" ContentType="application/vnd.openxmlformats-officedocument.spreadsheetml.comments+xml"/>
  <Override PartName="/xl/drawings/drawing9.xml" ContentType="application/vnd.openxmlformats-officedocument.drawing+xml"/>
  <Override PartName="/xl/charts/chart2.xml" ContentType="application/vnd.openxmlformats-officedocument.drawingml.chart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omments4.xml" ContentType="application/vnd.openxmlformats-officedocument.spreadsheetml.comments+xml"/>
  <Override PartName="/xl/drawings/drawing12.xml" ContentType="application/vnd.openxmlformats-officedocument.drawing+xml"/>
  <Override PartName="/xl/charts/chart3.xml" ContentType="application/vnd.openxmlformats-officedocument.drawingml.chart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comments5.xml" ContentType="application/vnd.openxmlformats-officedocument.spreadsheetml.comments+xml"/>
  <Override PartName="/xl/drawings/drawing15.xml" ContentType="application/vnd.openxmlformats-officedocument.drawing+xml"/>
  <Override PartName="/xl/charts/chart4.xml" ContentType="application/vnd.openxmlformats-officedocument.drawingml.chart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18.xml" ContentType="application/vnd.openxmlformats-officedocument.drawing+xml"/>
  <Override PartName="/xl/comments6.xml" ContentType="application/vnd.openxmlformats-officedocument.spreadsheetml.comments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drawings/drawing19.xml" ContentType="application/vnd.openxmlformats-officedocument.drawing+xml"/>
  <Override PartName="/xl/charts/chart9.xml" ContentType="application/vnd.openxmlformats-officedocument.drawingml.chart+xml"/>
  <Override PartName="/xl/drawings/drawing20.xml" ContentType="application/vnd.openxmlformats-officedocument.drawing+xml"/>
  <Override PartName="/xl/comments7.xml" ContentType="application/vnd.openxmlformats-officedocument.spreadsheetml.comments+xml"/>
  <Override PartName="/xl/drawings/drawing2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showInkAnnotation="0" saveExternalLinkValues="0" updateLinks="never" codeName="ThisWorkbook" defaultThemeVersion="124226"/>
  <bookViews>
    <workbookView xWindow="11985" yWindow="105" windowWidth="12030" windowHeight="9120" tabRatio="717" firstSheet="2" activeTab="2"/>
  </bookViews>
  <sheets>
    <sheet name="MENU" sheetId="16" r:id="rId1"/>
    <sheet name="CARATULA" sheetId="1" r:id="rId2"/>
    <sheet name="C. FILIACION" sheetId="2" r:id="rId3"/>
    <sheet name="CODIGO Y FOTOGRAFIA " sheetId="15" r:id="rId4"/>
    <sheet name="ASIS. 1° B" sheetId="3" r:id="rId5"/>
    <sheet name="VAL. 1° B" sheetId="4" r:id="rId6"/>
    <sheet name="REG-OBS" sheetId="22" r:id="rId7"/>
    <sheet name="ASIS. 2° B" sheetId="8" r:id="rId8"/>
    <sheet name="VAL. 2° B" sheetId="9" r:id="rId9"/>
    <sheet name="REG-OBS2" sheetId="23" r:id="rId10"/>
    <sheet name="ASIS. 3° B" sheetId="10" r:id="rId11"/>
    <sheet name="VAL. 3° B" sheetId="11" r:id="rId12"/>
    <sheet name="REG-OBS3" sheetId="24" r:id="rId13"/>
    <sheet name="ASIS. 4° B" sheetId="12" r:id="rId14"/>
    <sheet name="VAL. 4° B" sheetId="13" r:id="rId15"/>
    <sheet name="REG-OBS4" sheetId="25" r:id="rId16"/>
    <sheet name="CENTRALIZADOR" sheetId="7" r:id="rId17"/>
    <sheet name="% REP-APR" sheetId="5" r:id="rId18"/>
    <sheet name="CEN. POR AREA" sheetId="6" r:id="rId19"/>
    <sheet name="BOLETINES " sheetId="14" r:id="rId20"/>
    <sheet name="NOT_ALT" sheetId="19" state="hidden" r:id="rId21"/>
    <sheet name="EST_DEST" sheetId="20" r:id="rId22"/>
  </sheets>
  <externalReferences>
    <externalReference r:id="rId23"/>
    <externalReference r:id="rId24"/>
    <externalReference r:id="rId25"/>
    <externalReference r:id="rId26"/>
    <externalReference r:id="rId27"/>
  </externalReferences>
  <definedNames>
    <definedName name="_xlnm._FilterDatabase" localSheetId="21" hidden="1">EST_DEST!$G$16:$H$61</definedName>
    <definedName name="_xlnm._FilterDatabase" localSheetId="20" hidden="1">NOT_ALT!$F$6:$G$51</definedName>
    <definedName name="_xlnm._FilterDatabase" localSheetId="6" hidden="1">'REG-OBS'!$B$3:$E$9</definedName>
    <definedName name="_xlnm._FilterDatabase" localSheetId="9" hidden="1">'REG-OBS2'!$B$3:$E$3</definedName>
    <definedName name="_xlnm._FilterDatabase" localSheetId="12" hidden="1">'REG-OBS3'!$B$3:$E$5</definedName>
    <definedName name="_xlnm._FilterDatabase" localSheetId="15" hidden="1">'REG-OBS4'!$B$3:$E$3</definedName>
    <definedName name="_srt4">[1]DATOS!#REF!</definedName>
    <definedName name="ANALISIS_DE_PRODUCCIÓN">[1]DATOS!#REF!</definedName>
    <definedName name="ANALISISDE_PRODUCCIÓN">[1]DATOS!#REF!</definedName>
    <definedName name="APURÍMAC">[1]DATOS!#REF!</definedName>
    <definedName name="_xlnm.Print_Area" localSheetId="17">'% REP-APR'!$B$2:$M$34</definedName>
    <definedName name="_xlnm.Print_Area" localSheetId="4">'ASIS. 1° B'!$B$2:$BI$64</definedName>
    <definedName name="_xlnm.Print_Area" localSheetId="7">'ASIS. 2° B'!$B$2:$BK$64</definedName>
    <definedName name="_xlnm.Print_Area" localSheetId="10">'ASIS. 3° B'!$B$2:$BK$64</definedName>
    <definedName name="_xlnm.Print_Area" localSheetId="13">'ASIS. 4° B'!$B$2:$BK$64</definedName>
    <definedName name="_xlnm.Print_Area" localSheetId="19">'BOLETINES '!$C$18:$H$37</definedName>
    <definedName name="_xlnm.Print_Area" localSheetId="2">'C. FILIACION'!$B$2:$Q$63</definedName>
    <definedName name="_xlnm.Print_Area" localSheetId="1">CARATULA!$B$3:$J$44</definedName>
    <definedName name="_xlnm.Print_Area" localSheetId="18">'CEN. POR AREA'!$B$2:$BV$61</definedName>
    <definedName name="_xlnm.Print_Area" localSheetId="16">CENTRALIZADOR!$B$2:$AG$63</definedName>
    <definedName name="_xlnm.Print_Area" localSheetId="21">EST_DEST!$B$3:$M$71</definedName>
    <definedName name="_xlnm.Print_Area" localSheetId="0">MENU!$B$3:$K$22</definedName>
    <definedName name="_xlnm.Print_Area" localSheetId="6">'REG-OBS'!$B$1:$E$10</definedName>
    <definedName name="_xlnm.Print_Area" localSheetId="9">'REG-OBS2'!$B$1:$E$5</definedName>
    <definedName name="_xlnm.Print_Area" localSheetId="12">'REG-OBS3'!$B$1:$E$6</definedName>
    <definedName name="_xlnm.Print_Area" localSheetId="15">'REG-OBS4'!$B$1:$E$5</definedName>
    <definedName name="_xlnm.Print_Area" localSheetId="5">'VAL. 1° B'!$B$3:$AZ$69</definedName>
    <definedName name="_xlnm.Print_Area" localSheetId="8">'VAL. 2° B'!$B$3:$AZ$69</definedName>
    <definedName name="_xlnm.Print_Area" localSheetId="11">'VAL. 3° B'!$B$3:$AZ$69</definedName>
    <definedName name="_xlnm.Print_Area" localSheetId="14">'VAL. 4° B'!$B$3:$AZ$69</definedName>
    <definedName name="BD">#REF!</definedName>
    <definedName name="CALLAO">[1]DATOS!#REF!</definedName>
    <definedName name="CE">[1]DATOS!#REF!</definedName>
    <definedName name="CEBD">[1]DATOS!#REF!</definedName>
    <definedName name="CEN_1">[2]!Tabla4[#Data]</definedName>
    <definedName name="CEN_3">[2]!Tabla4[#Data]</definedName>
    <definedName name="CODIGO">[3]Hoja1!$A$3:$A$47</definedName>
    <definedName name="CT">[1]DATOS!#REF!</definedName>
    <definedName name="CUSCO">[1]DATOS!#REF!</definedName>
    <definedName name="datosalm">'[4]datos de los estudiantes'!$A$3:$FY$1013</definedName>
    <definedName name="DEBATE">[1]DATOS!#REF!</definedName>
    <definedName name="DIALOGO">[1]DATOS!#REF!</definedName>
    <definedName name="e5ra5">[1]DATOS!#REF!</definedName>
    <definedName name="ECT">[1]DATOS!#REF!</definedName>
    <definedName name="ECTBD">[1]DATOS!#REF!</definedName>
    <definedName name="EJERCICIO_PRÁCTICO">[1]DATOS!#REF!</definedName>
    <definedName name="ELEMENTOS">[1]DATOS!#REF!</definedName>
    <definedName name="ENTREVISTA">[1]DATOS!#REF!</definedName>
    <definedName name="EST_AVANCE">#REF!</definedName>
    <definedName name="EVALUACIÓN_ESCRITA">[1]DATOS!#REF!</definedName>
    <definedName name="Excel_BuiltIn__FilterDatabase_1">[1]DATOS!#REF!</definedName>
    <definedName name="FOTO">INDIRECT(MIFOTO)</definedName>
    <definedName name="HDIAS">[1]DATOS!#REF!</definedName>
    <definedName name="HOR">[1]DATOS!#REF!</definedName>
    <definedName name="HORSEM">[1]DATOS!#REF!</definedName>
    <definedName name="HUANCAVELICA">[1]DATOS!#REF!</definedName>
    <definedName name="HUÁNUCO">[1]DATOS!#REF!</definedName>
    <definedName name="ICA">[1]DATOS!#REF!</definedName>
    <definedName name="IMAG1">'CODIGO Y FOTOGRAFIA '!$D$3</definedName>
    <definedName name="IMAG10">'CODIGO Y FOTOGRAFIA '!$D$12</definedName>
    <definedName name="IMAG11">'CODIGO Y FOTOGRAFIA '!$D$13</definedName>
    <definedName name="IMAG12">'CODIGO Y FOTOGRAFIA '!$D$14</definedName>
    <definedName name="IMAG13">'CODIGO Y FOTOGRAFIA '!$D$15</definedName>
    <definedName name="IMAG14">'CODIGO Y FOTOGRAFIA '!$D$16</definedName>
    <definedName name="IMAG15">'CODIGO Y FOTOGRAFIA '!$D$17</definedName>
    <definedName name="IMAG16">'CODIGO Y FOTOGRAFIA '!$D$18</definedName>
    <definedName name="IMAG17">'CODIGO Y FOTOGRAFIA '!$D$19</definedName>
    <definedName name="IMAG18">'CODIGO Y FOTOGRAFIA '!$D$20</definedName>
    <definedName name="IMAG19">'CODIGO Y FOTOGRAFIA '!$D$21</definedName>
    <definedName name="IMAG2">'CODIGO Y FOTOGRAFIA '!$D$4</definedName>
    <definedName name="IMAG20">'CODIGO Y FOTOGRAFIA '!$D$22</definedName>
    <definedName name="IMAG21">'CODIGO Y FOTOGRAFIA '!$D$23</definedName>
    <definedName name="IMAG22">'CODIGO Y FOTOGRAFIA '!$D$24</definedName>
    <definedName name="IMAG23">'CODIGO Y FOTOGRAFIA '!$D$25</definedName>
    <definedName name="IMAG24">'CODIGO Y FOTOGRAFIA '!$D$26</definedName>
    <definedName name="IMAG25">'CODIGO Y FOTOGRAFIA '!$D$27</definedName>
    <definedName name="IMAG26">'CODIGO Y FOTOGRAFIA '!$D$28</definedName>
    <definedName name="IMAG27">'CODIGO Y FOTOGRAFIA '!$D$29</definedName>
    <definedName name="IMAG28">'CODIGO Y FOTOGRAFIA '!$D$30</definedName>
    <definedName name="IMAG29">'CODIGO Y FOTOGRAFIA '!$D$31</definedName>
    <definedName name="IMAG3">'CODIGO Y FOTOGRAFIA '!$D$5</definedName>
    <definedName name="IMAG30">'CODIGO Y FOTOGRAFIA '!$D$32</definedName>
    <definedName name="IMAG31">'CODIGO Y FOTOGRAFIA '!$D$33</definedName>
    <definedName name="IMAG32">'CODIGO Y FOTOGRAFIA '!$D$34</definedName>
    <definedName name="IMAG33">'CODIGO Y FOTOGRAFIA '!$D$35</definedName>
    <definedName name="IMAG34">'CODIGO Y FOTOGRAFIA '!$D$36</definedName>
    <definedName name="IMAG35">'CODIGO Y FOTOGRAFIA '!$D$37</definedName>
    <definedName name="IMAG36">'CODIGO Y FOTOGRAFIA '!$D$38</definedName>
    <definedName name="IMAG37">'CODIGO Y FOTOGRAFIA '!$D$39</definedName>
    <definedName name="IMAG38">'CODIGO Y FOTOGRAFIA '!$D$40</definedName>
    <definedName name="IMAG39">'CODIGO Y FOTOGRAFIA '!$D$41</definedName>
    <definedName name="IMAG4">'CODIGO Y FOTOGRAFIA '!$D$6</definedName>
    <definedName name="IMAG40">'CODIGO Y FOTOGRAFIA '!$D$42</definedName>
    <definedName name="IMAG41">'CODIGO Y FOTOGRAFIA '!$D$43</definedName>
    <definedName name="IMAG42">'CODIGO Y FOTOGRAFIA '!$D$44</definedName>
    <definedName name="IMAG43">'CODIGO Y FOTOGRAFIA '!$D$45</definedName>
    <definedName name="IMAG44">'CODIGO Y FOTOGRAFIA '!$D$46</definedName>
    <definedName name="IMAG45">'CODIGO Y FOTOGRAFIA '!$D$47</definedName>
    <definedName name="IMAG5">'CODIGO Y FOTOGRAFIA '!$D$7</definedName>
    <definedName name="IMAG6">'CODIGO Y FOTOGRAFIA '!$D$8</definedName>
    <definedName name="IMAG7">'CODIGO Y FOTOGRAFIA '!$D$9</definedName>
    <definedName name="IMAG8">'CODIGO Y FOTOGRAFIA '!$D$10</definedName>
    <definedName name="IMAG9">'CODIGO Y FOTOGRAFIA '!$D$11</definedName>
    <definedName name="INTERROGATORIO">[1]DATOS!#REF!</definedName>
    <definedName name="JUNÍN">[1]DATOS!#REF!</definedName>
    <definedName name="LA_LIBERTAD">[1]DATOS!#REF!</definedName>
    <definedName name="LALIBERTAD">[1]DATOS!#REF!</definedName>
    <definedName name="LAMBAYEQUE">[1]DATOS!#REF!</definedName>
    <definedName name="LIMA">[1]DATOS!#REF!</definedName>
    <definedName name="LOLO">[1]DATOS!#REF!</definedName>
    <definedName name="LORETO">[1]DATOS!#REF!</definedName>
    <definedName name="MADRE_DE_DIOS">[1]DATOS!#REF!</definedName>
    <definedName name="MIFOTO">'BOLETINES '!$C$7</definedName>
    <definedName name="MOQUEGUA">[1]DATOS!#REF!</definedName>
    <definedName name="PASCO">[1]DATOS!#REF!</definedName>
    <definedName name="PERIODO">[1]DATOS!$AJ$5:$AJ$13</definedName>
    <definedName name="PIURA">[1]DATOS!#REF!</definedName>
    <definedName name="PUNO">[1]DATOS!#REF!</definedName>
    <definedName name="q4w5w4">[1]DATOS!#REF!</definedName>
    <definedName name="SAN_MARTÍN">[1]DATOS!#REF!</definedName>
    <definedName name="SÁN_MARTÍN">[1]DATOS!#REF!</definedName>
    <definedName name="SOCIOMÉTRICA">[1]DATOS!#REF!</definedName>
    <definedName name="TABLA_LIZ_SA">#REF!</definedName>
    <definedName name="TACNA">[1]DATOS!#REF!</definedName>
    <definedName name="TUMBES">[1]DATOS!#REF!</definedName>
    <definedName name="UCAYALI">[1]DATOS!#REF!</definedName>
    <definedName name="vfyud">[1]DATOS!#REF!</definedName>
  </definedNames>
  <calcPr calcId="144525"/>
</workbook>
</file>

<file path=xl/calcChain.xml><?xml version="1.0" encoding="utf-8"?>
<calcChain xmlns="http://schemas.openxmlformats.org/spreadsheetml/2006/main">
  <c r="BJ13" i="6" l="1"/>
  <c r="AS13" i="6"/>
  <c r="AB13" i="6"/>
  <c r="K13" i="6"/>
  <c r="C28" i="14" s="1"/>
  <c r="D9" i="6"/>
  <c r="D8" i="6"/>
  <c r="D7" i="6"/>
  <c r="D6" i="6"/>
  <c r="D5" i="6"/>
  <c r="D4" i="6"/>
  <c r="D3" i="6"/>
  <c r="BC14" i="9" l="1"/>
  <c r="BC10" i="13"/>
  <c r="BC14" i="13"/>
  <c r="BC10" i="11"/>
  <c r="BC14" i="11"/>
  <c r="BC10" i="9"/>
  <c r="BC14" i="4" l="1"/>
  <c r="BC10" i="4" l="1"/>
  <c r="AD8" i="13"/>
  <c r="AD6" i="13"/>
  <c r="BH7" i="12"/>
  <c r="BH5" i="12"/>
  <c r="AD8" i="11"/>
  <c r="AD6" i="11"/>
  <c r="BH7" i="10"/>
  <c r="BH5" i="10"/>
  <c r="AD8" i="9"/>
  <c r="AD6" i="9"/>
  <c r="BH7" i="8"/>
  <c r="BH5" i="8"/>
  <c r="AD8" i="4"/>
  <c r="AD6" i="4"/>
  <c r="BF7" i="3"/>
  <c r="BF5" i="3"/>
  <c r="G33" i="14" l="1"/>
  <c r="G32" i="14"/>
  <c r="G31" i="14"/>
  <c r="G30" i="14"/>
  <c r="G29" i="14"/>
  <c r="G28" i="14"/>
  <c r="G27" i="14"/>
  <c r="G26" i="14"/>
  <c r="G25" i="14"/>
  <c r="G24" i="14"/>
  <c r="G23" i="14"/>
  <c r="G22" i="14"/>
  <c r="G21" i="14"/>
  <c r="F33" i="14"/>
  <c r="F32" i="14"/>
  <c r="F31" i="14"/>
  <c r="F30" i="14"/>
  <c r="F29" i="14"/>
  <c r="F28" i="14"/>
  <c r="F27" i="14"/>
  <c r="F26" i="14"/>
  <c r="F25" i="14"/>
  <c r="F24" i="14"/>
  <c r="F23" i="14"/>
  <c r="F22" i="14"/>
  <c r="F21" i="14"/>
  <c r="E33" i="14"/>
  <c r="E32" i="14"/>
  <c r="E31" i="14"/>
  <c r="E30" i="14"/>
  <c r="E29" i="14"/>
  <c r="E28" i="14"/>
  <c r="E27" i="14"/>
  <c r="E26" i="14"/>
  <c r="E25" i="14"/>
  <c r="E24" i="14"/>
  <c r="E23" i="14"/>
  <c r="E22" i="14"/>
  <c r="E21" i="14"/>
  <c r="R14" i="6"/>
  <c r="R15" i="6"/>
  <c r="R16" i="6"/>
  <c r="R17" i="6"/>
  <c r="R18" i="6"/>
  <c r="R19" i="6"/>
  <c r="R20" i="6"/>
  <c r="R21" i="6"/>
  <c r="R22" i="6"/>
  <c r="R23" i="6"/>
  <c r="R24" i="6"/>
  <c r="R25" i="6"/>
  <c r="R26" i="6"/>
  <c r="R27" i="6"/>
  <c r="R28" i="6"/>
  <c r="R29" i="6"/>
  <c r="R30" i="6"/>
  <c r="R31" i="6"/>
  <c r="R32" i="6"/>
  <c r="R33" i="6"/>
  <c r="R34" i="6"/>
  <c r="R35" i="6"/>
  <c r="R36" i="6"/>
  <c r="R37" i="6"/>
  <c r="R38" i="6"/>
  <c r="R39" i="6"/>
  <c r="R40" i="6"/>
  <c r="R41" i="6"/>
  <c r="R42" i="6"/>
  <c r="R43" i="6"/>
  <c r="R44" i="6"/>
  <c r="R45" i="6"/>
  <c r="R46" i="6"/>
  <c r="R47" i="6"/>
  <c r="R48" i="6"/>
  <c r="R49" i="6"/>
  <c r="R50" i="6"/>
  <c r="R51" i="6"/>
  <c r="R52" i="6"/>
  <c r="R53" i="6"/>
  <c r="R54" i="6"/>
  <c r="R55" i="6"/>
  <c r="R56" i="6"/>
  <c r="R57" i="6"/>
  <c r="R58" i="6"/>
  <c r="S14" i="6"/>
  <c r="S15" i="6"/>
  <c r="S16" i="6"/>
  <c r="S17" i="6"/>
  <c r="S18" i="6"/>
  <c r="S19" i="6"/>
  <c r="S20" i="6"/>
  <c r="S21" i="6"/>
  <c r="S22" i="6"/>
  <c r="S23" i="6"/>
  <c r="S24" i="6"/>
  <c r="S25" i="6"/>
  <c r="S26" i="6"/>
  <c r="S27" i="6"/>
  <c r="S28" i="6"/>
  <c r="S29" i="6"/>
  <c r="S30" i="6"/>
  <c r="S31" i="6"/>
  <c r="S32" i="6"/>
  <c r="S33" i="6"/>
  <c r="S34" i="6"/>
  <c r="S35" i="6"/>
  <c r="S36" i="6"/>
  <c r="S37" i="6"/>
  <c r="S38" i="6"/>
  <c r="S39" i="6"/>
  <c r="S40" i="6"/>
  <c r="S41" i="6"/>
  <c r="S42" i="6"/>
  <c r="S43" i="6"/>
  <c r="S44" i="6"/>
  <c r="S45" i="6"/>
  <c r="S46" i="6"/>
  <c r="S47" i="6"/>
  <c r="S48" i="6"/>
  <c r="S49" i="6"/>
  <c r="S50" i="6"/>
  <c r="S51" i="6"/>
  <c r="S52" i="6"/>
  <c r="S53" i="6"/>
  <c r="S54" i="6"/>
  <c r="S55" i="6"/>
  <c r="S56" i="6"/>
  <c r="S57" i="6"/>
  <c r="S58" i="6"/>
  <c r="D33" i="14"/>
  <c r="D32" i="14"/>
  <c r="D31" i="14"/>
  <c r="D30" i="14"/>
  <c r="D29" i="14"/>
  <c r="D28" i="14"/>
  <c r="D27" i="14"/>
  <c r="D26" i="14"/>
  <c r="D25" i="14"/>
  <c r="D24" i="14"/>
  <c r="D23" i="14"/>
  <c r="D22" i="14"/>
  <c r="D21" i="14"/>
  <c r="BP15" i="6"/>
  <c r="BP16" i="6"/>
  <c r="BP17" i="6"/>
  <c r="BP18" i="6"/>
  <c r="BP19" i="6"/>
  <c r="BP20" i="6"/>
  <c r="BP21" i="6"/>
  <c r="BP22" i="6"/>
  <c r="BP23" i="6"/>
  <c r="BP24" i="6"/>
  <c r="BP25" i="6"/>
  <c r="BP26" i="6"/>
  <c r="BP27" i="6"/>
  <c r="BP28" i="6"/>
  <c r="BP29" i="6"/>
  <c r="BP30" i="6"/>
  <c r="BP31" i="6"/>
  <c r="BP32" i="6"/>
  <c r="BP33" i="6"/>
  <c r="BP34" i="6"/>
  <c r="BP35" i="6"/>
  <c r="BP36" i="6"/>
  <c r="BP37" i="6"/>
  <c r="BP38" i="6"/>
  <c r="BP39" i="6"/>
  <c r="BP40" i="6"/>
  <c r="BP41" i="6"/>
  <c r="BP42" i="6"/>
  <c r="BP43" i="6"/>
  <c r="BP44" i="6"/>
  <c r="BP45" i="6"/>
  <c r="BP46" i="6"/>
  <c r="BP47" i="6"/>
  <c r="BP48" i="6"/>
  <c r="BP49" i="6"/>
  <c r="BP50" i="6"/>
  <c r="BP51" i="6"/>
  <c r="BP52" i="6"/>
  <c r="BP53" i="6"/>
  <c r="BP54" i="6"/>
  <c r="BP55" i="6"/>
  <c r="BP56" i="6"/>
  <c r="BP57" i="6"/>
  <c r="BP58" i="6"/>
  <c r="BP14" i="6"/>
  <c r="AY15" i="6"/>
  <c r="AY16" i="6"/>
  <c r="AY17" i="6"/>
  <c r="AY18" i="6"/>
  <c r="AY19" i="6"/>
  <c r="AY20" i="6"/>
  <c r="AY21" i="6"/>
  <c r="AY22" i="6"/>
  <c r="AY23" i="6"/>
  <c r="AY24" i="6"/>
  <c r="AY25" i="6"/>
  <c r="AY26" i="6"/>
  <c r="AY27" i="6"/>
  <c r="AY28" i="6"/>
  <c r="AY29" i="6"/>
  <c r="AY30" i="6"/>
  <c r="AY31" i="6"/>
  <c r="AY32" i="6"/>
  <c r="AY33" i="6"/>
  <c r="AY34" i="6"/>
  <c r="AY35" i="6"/>
  <c r="AY36" i="6"/>
  <c r="AY37" i="6"/>
  <c r="AY38" i="6"/>
  <c r="AY39" i="6"/>
  <c r="AY40" i="6"/>
  <c r="AY41" i="6"/>
  <c r="AY42" i="6"/>
  <c r="AY43" i="6"/>
  <c r="AY44" i="6"/>
  <c r="AY45" i="6"/>
  <c r="AY46" i="6"/>
  <c r="AY47" i="6"/>
  <c r="AY48" i="6"/>
  <c r="AY49" i="6"/>
  <c r="AY50" i="6"/>
  <c r="AY51" i="6"/>
  <c r="AY52" i="6"/>
  <c r="AY53" i="6"/>
  <c r="AY54" i="6"/>
  <c r="AY55" i="6"/>
  <c r="AY56" i="6"/>
  <c r="AY57" i="6"/>
  <c r="AY58" i="6"/>
  <c r="AY14" i="6"/>
  <c r="AH15" i="6"/>
  <c r="AH16" i="6"/>
  <c r="AH17" i="6"/>
  <c r="AH18" i="6"/>
  <c r="AH19" i="6"/>
  <c r="AH20" i="6"/>
  <c r="AH21" i="6"/>
  <c r="AH22" i="6"/>
  <c r="AH23" i="6"/>
  <c r="AH24" i="6"/>
  <c r="AH25" i="6"/>
  <c r="AH26" i="6"/>
  <c r="AH27" i="6"/>
  <c r="AH28" i="6"/>
  <c r="AH29" i="6"/>
  <c r="AH30" i="6"/>
  <c r="AH31" i="6"/>
  <c r="AH32" i="6"/>
  <c r="AH33" i="6"/>
  <c r="AH34" i="6"/>
  <c r="AH35" i="6"/>
  <c r="AH36" i="6"/>
  <c r="AH37" i="6"/>
  <c r="AH38" i="6"/>
  <c r="AH39" i="6"/>
  <c r="AH40" i="6"/>
  <c r="AH41" i="6"/>
  <c r="AH42" i="6"/>
  <c r="AH43" i="6"/>
  <c r="AH44" i="6"/>
  <c r="AH45" i="6"/>
  <c r="AH46" i="6"/>
  <c r="AH47" i="6"/>
  <c r="AH48" i="6"/>
  <c r="AH49" i="6"/>
  <c r="AH50" i="6"/>
  <c r="AH51" i="6"/>
  <c r="AH52" i="6"/>
  <c r="AH53" i="6"/>
  <c r="AH54" i="6"/>
  <c r="AH55" i="6"/>
  <c r="AH56" i="6"/>
  <c r="AH57" i="6"/>
  <c r="AH58" i="6"/>
  <c r="AH14" i="6"/>
  <c r="E34" i="14" s="1"/>
  <c r="Q15" i="6"/>
  <c r="Q16" i="6"/>
  <c r="Q17" i="6"/>
  <c r="Q18" i="6"/>
  <c r="Q19" i="6"/>
  <c r="Q20" i="6"/>
  <c r="Q21" i="6"/>
  <c r="Q22" i="6"/>
  <c r="Q23" i="6"/>
  <c r="Q24" i="6"/>
  <c r="Q25" i="6"/>
  <c r="Q26" i="6"/>
  <c r="Q27" i="6"/>
  <c r="Q28" i="6"/>
  <c r="Q29" i="6"/>
  <c r="Q30" i="6"/>
  <c r="Q31" i="6"/>
  <c r="Q32" i="6"/>
  <c r="Q33" i="6"/>
  <c r="Q34" i="6"/>
  <c r="Q35" i="6"/>
  <c r="Q36" i="6"/>
  <c r="Q37" i="6"/>
  <c r="Q38" i="6"/>
  <c r="Q39" i="6"/>
  <c r="Q40" i="6"/>
  <c r="Q41" i="6"/>
  <c r="Q42" i="6"/>
  <c r="Q43" i="6"/>
  <c r="Q44" i="6"/>
  <c r="Q45" i="6"/>
  <c r="Q46" i="6"/>
  <c r="Q47" i="6"/>
  <c r="Q48" i="6"/>
  <c r="Q49" i="6"/>
  <c r="Q50" i="6"/>
  <c r="Q51" i="6"/>
  <c r="Q52" i="6"/>
  <c r="Q53" i="6"/>
  <c r="Q54" i="6"/>
  <c r="Q55" i="6"/>
  <c r="Q56" i="6"/>
  <c r="Q57" i="6"/>
  <c r="Q58" i="6"/>
  <c r="Q14" i="6"/>
  <c r="AV20" i="13"/>
  <c r="AV21" i="13"/>
  <c r="AV22" i="13"/>
  <c r="AV23" i="13"/>
  <c r="AV24" i="13"/>
  <c r="AV25" i="13"/>
  <c r="AV26" i="13"/>
  <c r="AV27" i="13"/>
  <c r="AV28" i="13"/>
  <c r="AV29" i="13"/>
  <c r="AV30" i="13"/>
  <c r="AV31" i="13"/>
  <c r="AV32" i="13"/>
  <c r="AV33" i="13"/>
  <c r="AV34" i="13"/>
  <c r="AV35" i="13"/>
  <c r="AV36" i="13"/>
  <c r="AV37" i="13"/>
  <c r="AV38" i="13"/>
  <c r="AV39" i="13"/>
  <c r="AV40" i="13"/>
  <c r="AV41" i="13"/>
  <c r="AV42" i="13"/>
  <c r="AV43" i="13"/>
  <c r="AV44" i="13"/>
  <c r="AV45" i="13"/>
  <c r="AV46" i="13"/>
  <c r="AV47" i="13"/>
  <c r="AV48" i="13"/>
  <c r="AV49" i="13"/>
  <c r="AV50" i="13"/>
  <c r="AV51" i="13"/>
  <c r="AV52" i="13"/>
  <c r="AV53" i="13"/>
  <c r="AV54" i="13"/>
  <c r="AV55" i="13"/>
  <c r="AV56" i="13"/>
  <c r="AV57" i="13"/>
  <c r="AV58" i="13"/>
  <c r="AV59" i="13"/>
  <c r="AV60" i="13"/>
  <c r="AV61" i="13"/>
  <c r="AV62" i="13"/>
  <c r="AV63" i="13"/>
  <c r="AV19" i="13"/>
  <c r="AP20" i="13"/>
  <c r="AP21" i="13"/>
  <c r="AP22" i="13"/>
  <c r="AP23" i="13"/>
  <c r="AP24" i="13"/>
  <c r="AP25" i="13"/>
  <c r="AP26" i="13"/>
  <c r="AP27" i="13"/>
  <c r="AP28" i="13"/>
  <c r="AP29" i="13"/>
  <c r="AP30" i="13"/>
  <c r="AP31" i="13"/>
  <c r="AP32" i="13"/>
  <c r="AP33" i="13"/>
  <c r="AP34" i="13"/>
  <c r="AP35" i="13"/>
  <c r="AP36" i="13"/>
  <c r="AP37" i="13"/>
  <c r="AP38" i="13"/>
  <c r="AP39" i="13"/>
  <c r="AP40" i="13"/>
  <c r="AP41" i="13"/>
  <c r="AP42" i="13"/>
  <c r="AP43" i="13"/>
  <c r="AP44" i="13"/>
  <c r="AP45" i="13"/>
  <c r="AP46" i="13"/>
  <c r="AP47" i="13"/>
  <c r="AP48" i="13"/>
  <c r="AP49" i="13"/>
  <c r="AP50" i="13"/>
  <c r="AP51" i="13"/>
  <c r="AP52" i="13"/>
  <c r="AP53" i="13"/>
  <c r="AP54" i="13"/>
  <c r="AP55" i="13"/>
  <c r="AP56" i="13"/>
  <c r="AP57" i="13"/>
  <c r="AP58" i="13"/>
  <c r="AP59" i="13"/>
  <c r="AP60" i="13"/>
  <c r="AP61" i="13"/>
  <c r="AP62" i="13"/>
  <c r="AP63" i="13"/>
  <c r="AP19" i="13"/>
  <c r="Z20" i="13"/>
  <c r="Z21" i="13"/>
  <c r="Z22" i="13"/>
  <c r="Z23" i="13"/>
  <c r="Z24" i="13"/>
  <c r="Z25" i="13"/>
  <c r="Z26" i="13"/>
  <c r="Z27" i="13"/>
  <c r="Z28" i="13"/>
  <c r="Z29" i="13"/>
  <c r="Z30" i="13"/>
  <c r="Z31" i="13"/>
  <c r="Z32" i="13"/>
  <c r="Z33" i="13"/>
  <c r="Z34" i="13"/>
  <c r="Z35" i="13"/>
  <c r="Z36" i="13"/>
  <c r="Z37" i="13"/>
  <c r="Z38" i="13"/>
  <c r="Z39" i="13"/>
  <c r="Z40" i="13"/>
  <c r="Z41" i="13"/>
  <c r="Z42" i="13"/>
  <c r="Z43" i="13"/>
  <c r="Z44" i="13"/>
  <c r="Z45" i="13"/>
  <c r="Z46" i="13"/>
  <c r="Z47" i="13"/>
  <c r="Z48" i="13"/>
  <c r="Z49" i="13"/>
  <c r="Z50" i="13"/>
  <c r="Z51" i="13"/>
  <c r="Z52" i="13"/>
  <c r="Z53" i="13"/>
  <c r="Z54" i="13"/>
  <c r="Z55" i="13"/>
  <c r="Z56" i="13"/>
  <c r="Z57" i="13"/>
  <c r="Z58" i="13"/>
  <c r="Z59" i="13"/>
  <c r="Z60" i="13"/>
  <c r="Z61" i="13"/>
  <c r="Z62" i="13"/>
  <c r="Z63" i="13"/>
  <c r="Z19" i="13"/>
  <c r="J20" i="13"/>
  <c r="J21" i="13"/>
  <c r="J22" i="13"/>
  <c r="J23" i="13"/>
  <c r="J24" i="13"/>
  <c r="J25" i="13"/>
  <c r="J26" i="13"/>
  <c r="J27" i="13"/>
  <c r="J28" i="13"/>
  <c r="J29" i="13"/>
  <c r="J30" i="13"/>
  <c r="J31" i="13"/>
  <c r="J32" i="13"/>
  <c r="J33" i="13"/>
  <c r="J34" i="13"/>
  <c r="J35" i="13"/>
  <c r="J36" i="13"/>
  <c r="J37" i="13"/>
  <c r="J38" i="13"/>
  <c r="J39" i="13"/>
  <c r="J40" i="13"/>
  <c r="J41" i="13"/>
  <c r="J42" i="13"/>
  <c r="J43" i="13"/>
  <c r="J44" i="13"/>
  <c r="J45" i="13"/>
  <c r="J46" i="13"/>
  <c r="J47" i="13"/>
  <c r="J48" i="13"/>
  <c r="J49" i="13"/>
  <c r="J50" i="13"/>
  <c r="J51" i="13"/>
  <c r="J52" i="13"/>
  <c r="J53" i="13"/>
  <c r="J54" i="13"/>
  <c r="J55" i="13"/>
  <c r="J56" i="13"/>
  <c r="J57" i="13"/>
  <c r="J58" i="13"/>
  <c r="J59" i="13"/>
  <c r="J60" i="13"/>
  <c r="J61" i="13"/>
  <c r="J62" i="13"/>
  <c r="J63" i="13"/>
  <c r="J19" i="13"/>
  <c r="AV20" i="11"/>
  <c r="AV21" i="11"/>
  <c r="AV22" i="11"/>
  <c r="AV23" i="11"/>
  <c r="AV24" i="11"/>
  <c r="AV25" i="11"/>
  <c r="AV26" i="11"/>
  <c r="AV27" i="11"/>
  <c r="AV28" i="11"/>
  <c r="AV29" i="11"/>
  <c r="AV30" i="11"/>
  <c r="AV31" i="11"/>
  <c r="AV32" i="11"/>
  <c r="AV33" i="11"/>
  <c r="AV34" i="11"/>
  <c r="AV35" i="11"/>
  <c r="AV36" i="11"/>
  <c r="AV37" i="11"/>
  <c r="AV38" i="11"/>
  <c r="AV39" i="11"/>
  <c r="AV40" i="11"/>
  <c r="AV41" i="11"/>
  <c r="AV42" i="11"/>
  <c r="AV43" i="11"/>
  <c r="AV44" i="11"/>
  <c r="AV45" i="11"/>
  <c r="AV46" i="11"/>
  <c r="AV47" i="11"/>
  <c r="AV48" i="11"/>
  <c r="AV49" i="11"/>
  <c r="AV50" i="11"/>
  <c r="AV51" i="11"/>
  <c r="AV52" i="11"/>
  <c r="AV53" i="11"/>
  <c r="AV54" i="11"/>
  <c r="AV55" i="11"/>
  <c r="AV56" i="11"/>
  <c r="AV57" i="11"/>
  <c r="AV58" i="11"/>
  <c r="AV59" i="11"/>
  <c r="AV60" i="11"/>
  <c r="AV61" i="11"/>
  <c r="AV62" i="11"/>
  <c r="AV63" i="11"/>
  <c r="AV19" i="11"/>
  <c r="AP20" i="11"/>
  <c r="AP21" i="11"/>
  <c r="AP22" i="11"/>
  <c r="AP23" i="11"/>
  <c r="AP24" i="11"/>
  <c r="AP25" i="11"/>
  <c r="AP26" i="11"/>
  <c r="AP27" i="11"/>
  <c r="AP28" i="11"/>
  <c r="AP29" i="11"/>
  <c r="AP30" i="11"/>
  <c r="AP31" i="11"/>
  <c r="AP32" i="11"/>
  <c r="AP33" i="11"/>
  <c r="AP34" i="11"/>
  <c r="AP35" i="11"/>
  <c r="AP36" i="11"/>
  <c r="AP37" i="11"/>
  <c r="AP38" i="11"/>
  <c r="AP39" i="11"/>
  <c r="AP40" i="11"/>
  <c r="AP41" i="11"/>
  <c r="AP42" i="11"/>
  <c r="AP43" i="11"/>
  <c r="AP44" i="11"/>
  <c r="AP45" i="11"/>
  <c r="AP46" i="11"/>
  <c r="AP47" i="11"/>
  <c r="AP48" i="11"/>
  <c r="AP49" i="11"/>
  <c r="AP50" i="11"/>
  <c r="AP51" i="11"/>
  <c r="AP52" i="11"/>
  <c r="AP53" i="11"/>
  <c r="AP54" i="11"/>
  <c r="AP55" i="11"/>
  <c r="AP56" i="11"/>
  <c r="AP57" i="11"/>
  <c r="AP58" i="11"/>
  <c r="AP59" i="11"/>
  <c r="AP60" i="11"/>
  <c r="AP61" i="11"/>
  <c r="AP62" i="11"/>
  <c r="AP63" i="11"/>
  <c r="AP19" i="11"/>
  <c r="Z20" i="11"/>
  <c r="Z21" i="11"/>
  <c r="Z22" i="11"/>
  <c r="Z23" i="11"/>
  <c r="Z24" i="11"/>
  <c r="Z25" i="11"/>
  <c r="Z26" i="11"/>
  <c r="Z27" i="11"/>
  <c r="Z28" i="11"/>
  <c r="Z29" i="11"/>
  <c r="Z30" i="11"/>
  <c r="Z31" i="11"/>
  <c r="Z32" i="11"/>
  <c r="Z33" i="11"/>
  <c r="Z34" i="11"/>
  <c r="Z35" i="11"/>
  <c r="Z36" i="11"/>
  <c r="Z37" i="11"/>
  <c r="Z38" i="11"/>
  <c r="Z39" i="11"/>
  <c r="Z40" i="11"/>
  <c r="Z41" i="11"/>
  <c r="Z42" i="11"/>
  <c r="Z43" i="11"/>
  <c r="Z44" i="11"/>
  <c r="Z45" i="11"/>
  <c r="Z46" i="11"/>
  <c r="Z47" i="11"/>
  <c r="Z48" i="11"/>
  <c r="Z49" i="11"/>
  <c r="Z50" i="11"/>
  <c r="Z51" i="11"/>
  <c r="Z52" i="11"/>
  <c r="Z53" i="11"/>
  <c r="Z54" i="11"/>
  <c r="Z55" i="11"/>
  <c r="Z56" i="11"/>
  <c r="Z57" i="11"/>
  <c r="Z58" i="11"/>
  <c r="Z59" i="11"/>
  <c r="Z60" i="11"/>
  <c r="Z61" i="11"/>
  <c r="Z62" i="11"/>
  <c r="Z63" i="11"/>
  <c r="Z19" i="11"/>
  <c r="J20" i="11"/>
  <c r="J21" i="11"/>
  <c r="J22" i="11"/>
  <c r="J23" i="11"/>
  <c r="J24" i="11"/>
  <c r="J25" i="11"/>
  <c r="J26" i="11"/>
  <c r="J27" i="11"/>
  <c r="J28" i="11"/>
  <c r="J29" i="11"/>
  <c r="J30" i="11"/>
  <c r="J31" i="11"/>
  <c r="J32" i="11"/>
  <c r="J33" i="11"/>
  <c r="J34" i="11"/>
  <c r="J35" i="11"/>
  <c r="J36" i="11"/>
  <c r="J37" i="11"/>
  <c r="J38" i="11"/>
  <c r="J39" i="11"/>
  <c r="J40" i="11"/>
  <c r="J41" i="11"/>
  <c r="J42" i="11"/>
  <c r="J43" i="11"/>
  <c r="J44" i="11"/>
  <c r="J45" i="11"/>
  <c r="J46" i="11"/>
  <c r="J47" i="11"/>
  <c r="J48" i="11"/>
  <c r="J49" i="11"/>
  <c r="J50" i="11"/>
  <c r="J51" i="11"/>
  <c r="J52" i="11"/>
  <c r="J53" i="11"/>
  <c r="J54" i="11"/>
  <c r="J55" i="11"/>
  <c r="J56" i="11"/>
  <c r="J57" i="11"/>
  <c r="J58" i="11"/>
  <c r="J59" i="11"/>
  <c r="J60" i="11"/>
  <c r="J61" i="11"/>
  <c r="J62" i="11"/>
  <c r="J63" i="11"/>
  <c r="J19" i="11"/>
  <c r="AY19" i="11" s="1"/>
  <c r="BT30" i="6" l="1"/>
  <c r="BT38" i="6"/>
  <c r="BT34" i="6"/>
  <c r="BT26" i="6"/>
  <c r="BT22" i="6"/>
  <c r="BT18" i="6"/>
  <c r="F34" i="14"/>
  <c r="AZ19" i="11"/>
  <c r="G34" i="14"/>
  <c r="BT58" i="6"/>
  <c r="BT54" i="6"/>
  <c r="BT50" i="6"/>
  <c r="BT46" i="6"/>
  <c r="BT42" i="6"/>
  <c r="D34" i="14"/>
  <c r="BT56" i="6"/>
  <c r="BT44" i="6"/>
  <c r="BT28" i="6"/>
  <c r="BT48" i="6"/>
  <c r="BT40" i="6"/>
  <c r="BT24" i="6"/>
  <c r="BT52" i="6"/>
  <c r="BT32" i="6"/>
  <c r="BT20" i="6"/>
  <c r="BT36" i="6"/>
  <c r="H23" i="14"/>
  <c r="H27" i="14"/>
  <c r="H31" i="14"/>
  <c r="H21" i="14"/>
  <c r="H25" i="14"/>
  <c r="H29" i="14"/>
  <c r="H22" i="14"/>
  <c r="H26" i="14"/>
  <c r="H30" i="14"/>
  <c r="H24" i="14"/>
  <c r="H28" i="14"/>
  <c r="H32" i="14"/>
  <c r="H33" i="14"/>
  <c r="BT14" i="6"/>
  <c r="H34" i="14" s="1"/>
  <c r="BT55" i="6"/>
  <c r="BT51" i="6"/>
  <c r="BT47" i="6"/>
  <c r="BT43" i="6"/>
  <c r="BT39" i="6"/>
  <c r="BT35" i="6"/>
  <c r="BT31" i="6"/>
  <c r="BT27" i="6"/>
  <c r="BT57" i="6"/>
  <c r="BT53" i="6"/>
  <c r="BT49" i="6"/>
  <c r="BT45" i="6"/>
  <c r="BT41" i="6"/>
  <c r="BT37" i="6"/>
  <c r="BT33" i="6"/>
  <c r="BT29" i="6"/>
  <c r="BT25" i="6"/>
  <c r="BT21" i="6"/>
  <c r="BT17" i="6"/>
  <c r="BT19" i="6"/>
  <c r="BT15" i="6"/>
  <c r="BT16" i="6"/>
  <c r="BT23" i="6"/>
  <c r="H42" i="1"/>
  <c r="AV20" i="9" l="1"/>
  <c r="AV21" i="9"/>
  <c r="AV22" i="9"/>
  <c r="AV23" i="9"/>
  <c r="AV24" i="9"/>
  <c r="AV25" i="9"/>
  <c r="AV26" i="9"/>
  <c r="AV27" i="9"/>
  <c r="AV28" i="9"/>
  <c r="AV29" i="9"/>
  <c r="AV30" i="9"/>
  <c r="AV31" i="9"/>
  <c r="AV32" i="9"/>
  <c r="AV33" i="9"/>
  <c r="AV34" i="9"/>
  <c r="AV35" i="9"/>
  <c r="AV36" i="9"/>
  <c r="AV37" i="9"/>
  <c r="AV38" i="9"/>
  <c r="AV39" i="9"/>
  <c r="AV40" i="9"/>
  <c r="AV41" i="9"/>
  <c r="AV42" i="9"/>
  <c r="AV43" i="9"/>
  <c r="AV44" i="9"/>
  <c r="AV45" i="9"/>
  <c r="AV46" i="9"/>
  <c r="AV47" i="9"/>
  <c r="AV48" i="9"/>
  <c r="AV49" i="9"/>
  <c r="AV50" i="9"/>
  <c r="AV51" i="9"/>
  <c r="AV52" i="9"/>
  <c r="AV53" i="9"/>
  <c r="AV54" i="9"/>
  <c r="AV55" i="9"/>
  <c r="AV56" i="9"/>
  <c r="AV57" i="9"/>
  <c r="AV58" i="9"/>
  <c r="AV59" i="9"/>
  <c r="AV60" i="9"/>
  <c r="AV61" i="9"/>
  <c r="AV62" i="9"/>
  <c r="AV63" i="9"/>
  <c r="AV19" i="9"/>
  <c r="AP20" i="9"/>
  <c r="AP21" i="9"/>
  <c r="AP22" i="9"/>
  <c r="AP23" i="9"/>
  <c r="AP24" i="9"/>
  <c r="AP25" i="9"/>
  <c r="AP26" i="9"/>
  <c r="AP27" i="9"/>
  <c r="AP28" i="9"/>
  <c r="AP29" i="9"/>
  <c r="AP30" i="9"/>
  <c r="AP31" i="9"/>
  <c r="AP32" i="9"/>
  <c r="AP33" i="9"/>
  <c r="AP34" i="9"/>
  <c r="AP35" i="9"/>
  <c r="AP36" i="9"/>
  <c r="AP37" i="9"/>
  <c r="AP38" i="9"/>
  <c r="AP39" i="9"/>
  <c r="AP40" i="9"/>
  <c r="AP41" i="9"/>
  <c r="AP42" i="9"/>
  <c r="AP43" i="9"/>
  <c r="AP44" i="9"/>
  <c r="AP45" i="9"/>
  <c r="AP46" i="9"/>
  <c r="AP47" i="9"/>
  <c r="AP48" i="9"/>
  <c r="AP49" i="9"/>
  <c r="AP50" i="9"/>
  <c r="AP51" i="9"/>
  <c r="AP52" i="9"/>
  <c r="AP53" i="9"/>
  <c r="AP54" i="9"/>
  <c r="AP55" i="9"/>
  <c r="AP56" i="9"/>
  <c r="AP57" i="9"/>
  <c r="AP58" i="9"/>
  <c r="AP59" i="9"/>
  <c r="AP60" i="9"/>
  <c r="AP61" i="9"/>
  <c r="AP62" i="9"/>
  <c r="AP63" i="9"/>
  <c r="AP19" i="9"/>
  <c r="Z20" i="9"/>
  <c r="Z21" i="9"/>
  <c r="Z22" i="9"/>
  <c r="Z23" i="9"/>
  <c r="Z24" i="9"/>
  <c r="Z25" i="9"/>
  <c r="Z26" i="9"/>
  <c r="Z27" i="9"/>
  <c r="Z28" i="9"/>
  <c r="Z29" i="9"/>
  <c r="Z30" i="9"/>
  <c r="Z31" i="9"/>
  <c r="Z32" i="9"/>
  <c r="Z33" i="9"/>
  <c r="Z34" i="9"/>
  <c r="Z35" i="9"/>
  <c r="Z36" i="9"/>
  <c r="Z37" i="9"/>
  <c r="Z38" i="9"/>
  <c r="Z39" i="9"/>
  <c r="Z40" i="9"/>
  <c r="Z41" i="9"/>
  <c r="Z42" i="9"/>
  <c r="Z43" i="9"/>
  <c r="Z44" i="9"/>
  <c r="Z45" i="9"/>
  <c r="Z46" i="9"/>
  <c r="Z47" i="9"/>
  <c r="Z48" i="9"/>
  <c r="Z49" i="9"/>
  <c r="Z50" i="9"/>
  <c r="Z51" i="9"/>
  <c r="Z52" i="9"/>
  <c r="Z53" i="9"/>
  <c r="Z54" i="9"/>
  <c r="Z55" i="9"/>
  <c r="Z56" i="9"/>
  <c r="Z57" i="9"/>
  <c r="Z58" i="9"/>
  <c r="Z59" i="9"/>
  <c r="Z60" i="9"/>
  <c r="Z61" i="9"/>
  <c r="Z62" i="9"/>
  <c r="Z63" i="9"/>
  <c r="Z19" i="9"/>
  <c r="J20" i="9"/>
  <c r="J21" i="9"/>
  <c r="J22" i="9"/>
  <c r="J23" i="9"/>
  <c r="J24" i="9"/>
  <c r="J25" i="9"/>
  <c r="J26" i="9"/>
  <c r="J27" i="9"/>
  <c r="J28" i="9"/>
  <c r="J29" i="9"/>
  <c r="J30" i="9"/>
  <c r="J31" i="9"/>
  <c r="J32" i="9"/>
  <c r="J33" i="9"/>
  <c r="J34" i="9"/>
  <c r="J35" i="9"/>
  <c r="J36" i="9"/>
  <c r="J37" i="9"/>
  <c r="J38" i="9"/>
  <c r="J39" i="9"/>
  <c r="J40" i="9"/>
  <c r="J41" i="9"/>
  <c r="J42" i="9"/>
  <c r="J43" i="9"/>
  <c r="J44" i="9"/>
  <c r="J45" i="9"/>
  <c r="J46" i="9"/>
  <c r="J47" i="9"/>
  <c r="J48" i="9"/>
  <c r="J49" i="9"/>
  <c r="J50" i="9"/>
  <c r="J51" i="9"/>
  <c r="J52" i="9"/>
  <c r="J53" i="9"/>
  <c r="J54" i="9"/>
  <c r="J55" i="9"/>
  <c r="J56" i="9"/>
  <c r="J57" i="9"/>
  <c r="J58" i="9"/>
  <c r="J59" i="9"/>
  <c r="J60" i="9"/>
  <c r="J61" i="9"/>
  <c r="J62" i="9"/>
  <c r="J19" i="9"/>
  <c r="AV20" i="4"/>
  <c r="AV21" i="4"/>
  <c r="AV22" i="4"/>
  <c r="AV23" i="4"/>
  <c r="AV24" i="4"/>
  <c r="AV25" i="4"/>
  <c r="AV26" i="4"/>
  <c r="AV27" i="4"/>
  <c r="AV28" i="4"/>
  <c r="AV29" i="4"/>
  <c r="AV30" i="4"/>
  <c r="AV31" i="4"/>
  <c r="AV32" i="4"/>
  <c r="AV33" i="4"/>
  <c r="AV34" i="4"/>
  <c r="AV35" i="4"/>
  <c r="AV36" i="4"/>
  <c r="AV37" i="4"/>
  <c r="AV38" i="4"/>
  <c r="AV39" i="4"/>
  <c r="AV40" i="4"/>
  <c r="AV41" i="4"/>
  <c r="AV42" i="4"/>
  <c r="AV43" i="4"/>
  <c r="AV44" i="4"/>
  <c r="AV45" i="4"/>
  <c r="AV46" i="4"/>
  <c r="AV47" i="4"/>
  <c r="AV48" i="4"/>
  <c r="AV49" i="4"/>
  <c r="AV50" i="4"/>
  <c r="AV51" i="4"/>
  <c r="AV52" i="4"/>
  <c r="AV53" i="4"/>
  <c r="AV54" i="4"/>
  <c r="AV55" i="4"/>
  <c r="AV56" i="4"/>
  <c r="AV57" i="4"/>
  <c r="AV58" i="4"/>
  <c r="AV59" i="4"/>
  <c r="AV60" i="4"/>
  <c r="AV61" i="4"/>
  <c r="AV62" i="4"/>
  <c r="AV63" i="4"/>
  <c r="AP20" i="4"/>
  <c r="AP21" i="4"/>
  <c r="AP22" i="4"/>
  <c r="AP23" i="4"/>
  <c r="AP24" i="4"/>
  <c r="AP25" i="4"/>
  <c r="AP26" i="4"/>
  <c r="AP27" i="4"/>
  <c r="AP28" i="4"/>
  <c r="AP29" i="4"/>
  <c r="AP30" i="4"/>
  <c r="AP31" i="4"/>
  <c r="AP32" i="4"/>
  <c r="AP33" i="4"/>
  <c r="AP34" i="4"/>
  <c r="AP35" i="4"/>
  <c r="AP36" i="4"/>
  <c r="AP37" i="4"/>
  <c r="AP38" i="4"/>
  <c r="AP39" i="4"/>
  <c r="AP40" i="4"/>
  <c r="AP41" i="4"/>
  <c r="AP42" i="4"/>
  <c r="AP43" i="4"/>
  <c r="AP44" i="4"/>
  <c r="AP45" i="4"/>
  <c r="AP46" i="4"/>
  <c r="AP47" i="4"/>
  <c r="AP48" i="4"/>
  <c r="AP49" i="4"/>
  <c r="AP50" i="4"/>
  <c r="AP51" i="4"/>
  <c r="AP52" i="4"/>
  <c r="AP53" i="4"/>
  <c r="AP54" i="4"/>
  <c r="AP55" i="4"/>
  <c r="AP56" i="4"/>
  <c r="AP57" i="4"/>
  <c r="AP58" i="4"/>
  <c r="AP59" i="4"/>
  <c r="AP60" i="4"/>
  <c r="AP61" i="4"/>
  <c r="AP62" i="4"/>
  <c r="AP63" i="4"/>
  <c r="Z20" i="4"/>
  <c r="Z21" i="4"/>
  <c r="Z22" i="4"/>
  <c r="Z23" i="4"/>
  <c r="Z24" i="4"/>
  <c r="Z25" i="4"/>
  <c r="Z26" i="4"/>
  <c r="Z27" i="4"/>
  <c r="Z28" i="4"/>
  <c r="Z29" i="4"/>
  <c r="Z30" i="4"/>
  <c r="Z31" i="4"/>
  <c r="Z32" i="4"/>
  <c r="Z33" i="4"/>
  <c r="Z34" i="4"/>
  <c r="Z35" i="4"/>
  <c r="Z36" i="4"/>
  <c r="Z37" i="4"/>
  <c r="Z38" i="4"/>
  <c r="Z39" i="4"/>
  <c r="Z40" i="4"/>
  <c r="Z41" i="4"/>
  <c r="Z42" i="4"/>
  <c r="Z43" i="4"/>
  <c r="Z44" i="4"/>
  <c r="Z45" i="4"/>
  <c r="Z46" i="4"/>
  <c r="Z47" i="4"/>
  <c r="Z48" i="4"/>
  <c r="Z49" i="4"/>
  <c r="Z50" i="4"/>
  <c r="Z51" i="4"/>
  <c r="Z52" i="4"/>
  <c r="Z53" i="4"/>
  <c r="Z54" i="4"/>
  <c r="Z55" i="4"/>
  <c r="Z56" i="4"/>
  <c r="Z57" i="4"/>
  <c r="Z58" i="4"/>
  <c r="Z59" i="4"/>
  <c r="Z60" i="4"/>
  <c r="Z61" i="4"/>
  <c r="Z62" i="4"/>
  <c r="Z63" i="4"/>
  <c r="J20" i="4"/>
  <c r="J21" i="4"/>
  <c r="J22" i="4"/>
  <c r="J23" i="4"/>
  <c r="J24" i="4"/>
  <c r="J25" i="4"/>
  <c r="J26" i="4"/>
  <c r="J27" i="4"/>
  <c r="J28" i="4"/>
  <c r="J29" i="4"/>
  <c r="J30" i="4"/>
  <c r="J31" i="4"/>
  <c r="J32" i="4"/>
  <c r="J33" i="4"/>
  <c r="J34" i="4"/>
  <c r="J35" i="4"/>
  <c r="J36" i="4"/>
  <c r="J37" i="4"/>
  <c r="J38" i="4"/>
  <c r="J39" i="4"/>
  <c r="J40" i="4"/>
  <c r="J41" i="4"/>
  <c r="J42" i="4"/>
  <c r="J43" i="4"/>
  <c r="J44" i="4"/>
  <c r="J45" i="4"/>
  <c r="J46" i="4"/>
  <c r="J47" i="4"/>
  <c r="J48" i="4"/>
  <c r="J49" i="4"/>
  <c r="J50" i="4"/>
  <c r="J51" i="4"/>
  <c r="J52" i="4"/>
  <c r="J53" i="4"/>
  <c r="J54" i="4"/>
  <c r="J55" i="4"/>
  <c r="J56" i="4"/>
  <c r="J57" i="4"/>
  <c r="J58" i="4"/>
  <c r="J59" i="4"/>
  <c r="J60" i="4"/>
  <c r="J61" i="4"/>
  <c r="J62" i="4"/>
  <c r="J63" i="4"/>
  <c r="AV19" i="4"/>
  <c r="AP19" i="4"/>
  <c r="Z19" i="4"/>
  <c r="J19" i="4"/>
  <c r="AY19" i="4" s="1"/>
  <c r="AY19" i="9" l="1"/>
  <c r="AZ19" i="9" s="1"/>
  <c r="AZ19" i="4"/>
  <c r="AW63" i="10"/>
  <c r="AU63" i="12"/>
  <c r="G28" i="20" l="1"/>
  <c r="G24" i="20"/>
  <c r="G20" i="20"/>
  <c r="G22" i="20"/>
  <c r="G21" i="20"/>
  <c r="G26" i="20"/>
  <c r="G39" i="20"/>
  <c r="G35" i="20"/>
  <c r="G27" i="20"/>
  <c r="G37" i="20"/>
  <c r="G29" i="20"/>
  <c r="G33" i="20"/>
  <c r="G31" i="20"/>
  <c r="G23" i="20"/>
  <c r="G34" i="20"/>
  <c r="G30" i="20"/>
  <c r="G36" i="20"/>
  <c r="G38" i="20"/>
  <c r="G17" i="20"/>
  <c r="G40" i="20"/>
  <c r="G18" i="20"/>
  <c r="G19" i="20"/>
  <c r="G41" i="20"/>
  <c r="G42" i="20"/>
  <c r="G43" i="20"/>
  <c r="G44" i="20"/>
  <c r="G45" i="20"/>
  <c r="G46" i="20"/>
  <c r="G47" i="20"/>
  <c r="G48" i="20"/>
  <c r="G49" i="20"/>
  <c r="G50" i="20"/>
  <c r="G51" i="20"/>
  <c r="G25" i="20"/>
  <c r="G52" i="20"/>
  <c r="G53" i="20"/>
  <c r="G54" i="20"/>
  <c r="G55" i="20"/>
  <c r="G56" i="20"/>
  <c r="G57" i="20"/>
  <c r="G58" i="20"/>
  <c r="G59" i="20"/>
  <c r="G60" i="20"/>
  <c r="G61" i="20"/>
  <c r="G32" i="20"/>
  <c r="F7" i="19"/>
  <c r="F20" i="19"/>
  <c r="F19" i="19"/>
  <c r="F24" i="19"/>
  <c r="F13" i="19"/>
  <c r="F25" i="19"/>
  <c r="F14" i="19"/>
  <c r="F10" i="19"/>
  <c r="F16" i="19"/>
  <c r="F12" i="19"/>
  <c r="F15" i="19"/>
  <c r="F8" i="19"/>
  <c r="F22" i="19"/>
  <c r="F21" i="19"/>
  <c r="F9" i="19"/>
  <c r="F23" i="19"/>
  <c r="F11" i="19"/>
  <c r="F18" i="19"/>
  <c r="F26" i="19"/>
  <c r="F27" i="19"/>
  <c r="F28" i="19"/>
  <c r="F29" i="19"/>
  <c r="F30" i="19"/>
  <c r="F31" i="19"/>
  <c r="F32" i="19"/>
  <c r="F33" i="19"/>
  <c r="F34" i="19"/>
  <c r="F35" i="19"/>
  <c r="F36" i="19"/>
  <c r="F37" i="19"/>
  <c r="F38" i="19"/>
  <c r="F39" i="19"/>
  <c r="F40" i="19"/>
  <c r="F41" i="19"/>
  <c r="F42" i="19"/>
  <c r="F43" i="19"/>
  <c r="F44" i="19"/>
  <c r="F45" i="19"/>
  <c r="F46" i="19"/>
  <c r="F47" i="19"/>
  <c r="F48" i="19"/>
  <c r="F49" i="19"/>
  <c r="F50" i="19"/>
  <c r="F51" i="19"/>
  <c r="F17" i="19"/>
  <c r="BG15" i="12"/>
  <c r="BH15" i="12"/>
  <c r="AY30" i="13" l="1"/>
  <c r="AY46" i="13"/>
  <c r="AY62" i="13"/>
  <c r="AY26" i="13"/>
  <c r="AY34" i="13"/>
  <c r="AY38" i="13"/>
  <c r="AY42" i="13"/>
  <c r="AY50" i="13"/>
  <c r="AY54" i="13"/>
  <c r="AY58" i="13"/>
  <c r="AY38" i="11"/>
  <c r="AY42" i="11"/>
  <c r="AY54" i="11"/>
  <c r="AY47" i="11"/>
  <c r="AY23" i="11"/>
  <c r="AY34" i="11"/>
  <c r="AY50" i="11"/>
  <c r="AY59" i="11"/>
  <c r="AY22" i="11"/>
  <c r="AY26" i="11"/>
  <c r="AY27" i="11"/>
  <c r="AY30" i="11"/>
  <c r="AY35" i="11"/>
  <c r="AY39" i="11"/>
  <c r="AY43" i="11"/>
  <c r="AY46" i="11"/>
  <c r="AY55" i="11"/>
  <c r="AY58" i="11"/>
  <c r="AY62" i="11"/>
  <c r="AY63" i="11"/>
  <c r="AY23" i="9"/>
  <c r="AY24" i="9"/>
  <c r="AY25" i="9"/>
  <c r="AY26" i="9"/>
  <c r="AY27" i="9"/>
  <c r="AY28" i="9"/>
  <c r="AY29" i="9"/>
  <c r="AY30" i="9"/>
  <c r="AY31" i="9"/>
  <c r="AY32" i="9"/>
  <c r="AY33" i="9"/>
  <c r="AY35" i="9"/>
  <c r="AZ35" i="9" s="1"/>
  <c r="AY36" i="9"/>
  <c r="AY37" i="9"/>
  <c r="AY38" i="9"/>
  <c r="AY39" i="9"/>
  <c r="AY40" i="9"/>
  <c r="AY41" i="9"/>
  <c r="AY42" i="9"/>
  <c r="AY43" i="9"/>
  <c r="AY44" i="9"/>
  <c r="AY45" i="9"/>
  <c r="AY46" i="9"/>
  <c r="AY47" i="9"/>
  <c r="AY48" i="9"/>
  <c r="AY49" i="9"/>
  <c r="AY50" i="9"/>
  <c r="AY51" i="9"/>
  <c r="AY52" i="9"/>
  <c r="AY53" i="9"/>
  <c r="AY54" i="9"/>
  <c r="AY55" i="9"/>
  <c r="AY56" i="9"/>
  <c r="AY57" i="9"/>
  <c r="AY58" i="9"/>
  <c r="AY59" i="9"/>
  <c r="AY60" i="9"/>
  <c r="AY61" i="9"/>
  <c r="AY62" i="9"/>
  <c r="J63" i="9"/>
  <c r="AY63" i="9" s="1"/>
  <c r="AY39" i="4"/>
  <c r="AY40" i="4"/>
  <c r="AY41" i="4"/>
  <c r="AY42" i="4"/>
  <c r="AY43" i="4"/>
  <c r="AY44" i="4"/>
  <c r="AY45" i="4"/>
  <c r="AY46" i="4"/>
  <c r="AY47" i="4"/>
  <c r="AY48" i="4"/>
  <c r="AY49" i="4"/>
  <c r="AY50" i="4"/>
  <c r="AY51" i="4"/>
  <c r="AY52" i="4"/>
  <c r="AY53" i="4"/>
  <c r="AY54" i="4"/>
  <c r="AY55" i="4"/>
  <c r="AY56" i="4"/>
  <c r="AY57" i="4"/>
  <c r="AY58" i="4"/>
  <c r="AY59" i="4"/>
  <c r="AY60" i="4"/>
  <c r="AY61" i="4"/>
  <c r="AY62" i="4"/>
  <c r="AY63" i="4"/>
  <c r="AE38" i="7" l="1"/>
  <c r="AZ42" i="13"/>
  <c r="AE54" i="7"/>
  <c r="AZ58" i="13"/>
  <c r="AE34" i="7"/>
  <c r="AZ38" i="13"/>
  <c r="AE42" i="7"/>
  <c r="AZ46" i="13"/>
  <c r="AE50" i="7"/>
  <c r="AZ54" i="13"/>
  <c r="AE30" i="7"/>
  <c r="AZ34" i="13"/>
  <c r="AE26" i="7"/>
  <c r="AZ30" i="13"/>
  <c r="AE46" i="7"/>
  <c r="AZ50" i="13"/>
  <c r="AE22" i="7"/>
  <c r="AZ26" i="13"/>
  <c r="AE58" i="7"/>
  <c r="AZ62" i="13"/>
  <c r="X31" i="7"/>
  <c r="AZ35" i="11"/>
  <c r="X19" i="7"/>
  <c r="AZ23" i="11"/>
  <c r="X59" i="7"/>
  <c r="AZ63" i="11"/>
  <c r="X42" i="7"/>
  <c r="AZ46" i="11"/>
  <c r="X26" i="7"/>
  <c r="AZ30" i="11"/>
  <c r="X43" i="7"/>
  <c r="AZ47" i="11"/>
  <c r="X39" i="7"/>
  <c r="AZ43" i="11"/>
  <c r="X23" i="7"/>
  <c r="AZ27" i="11"/>
  <c r="X46" i="7"/>
  <c r="AZ50" i="11"/>
  <c r="X50" i="7"/>
  <c r="AZ54" i="11"/>
  <c r="X54" i="7"/>
  <c r="AZ58" i="11"/>
  <c r="X35" i="7"/>
  <c r="AZ39" i="11"/>
  <c r="X22" i="7"/>
  <c r="AZ26" i="11"/>
  <c r="X30" i="7"/>
  <c r="AZ34" i="11"/>
  <c r="X38" i="7"/>
  <c r="AZ42" i="11"/>
  <c r="X51" i="7"/>
  <c r="AZ55" i="11"/>
  <c r="X18" i="7"/>
  <c r="AZ22" i="11"/>
  <c r="X34" i="7"/>
  <c r="AZ38" i="11"/>
  <c r="X55" i="7"/>
  <c r="AZ59" i="11"/>
  <c r="X58" i="7"/>
  <c r="AZ62" i="11"/>
  <c r="Q48" i="7"/>
  <c r="AZ52" i="9"/>
  <c r="Q36" i="7"/>
  <c r="AZ40" i="9"/>
  <c r="Q27" i="7"/>
  <c r="AZ31" i="9"/>
  <c r="Q55" i="7"/>
  <c r="AZ59" i="9"/>
  <c r="Q57" i="7"/>
  <c r="AZ61" i="9"/>
  <c r="Q53" i="7"/>
  <c r="AZ57" i="9"/>
  <c r="Q49" i="7"/>
  <c r="AZ53" i="9"/>
  <c r="Q45" i="7"/>
  <c r="AZ49" i="9"/>
  <c r="Q41" i="7"/>
  <c r="AZ45" i="9"/>
  <c r="Q37" i="7"/>
  <c r="AZ41" i="9"/>
  <c r="Q33" i="7"/>
  <c r="AZ37" i="9"/>
  <c r="Q28" i="7"/>
  <c r="AZ32" i="9"/>
  <c r="Q24" i="7"/>
  <c r="AZ28" i="9"/>
  <c r="Q20" i="7"/>
  <c r="AZ24" i="9"/>
  <c r="Q44" i="7"/>
  <c r="AZ48" i="9"/>
  <c r="Q19" i="7"/>
  <c r="AZ23" i="9"/>
  <c r="Q52" i="7"/>
  <c r="AZ56" i="9"/>
  <c r="Q59" i="7"/>
  <c r="AZ63" i="9"/>
  <c r="Q47" i="7"/>
  <c r="AZ51" i="9"/>
  <c r="Q39" i="7"/>
  <c r="AZ43" i="9"/>
  <c r="Q26" i="7"/>
  <c r="AZ30" i="9"/>
  <c r="Q22" i="7"/>
  <c r="AZ26" i="9"/>
  <c r="Q56" i="7"/>
  <c r="AZ60" i="9"/>
  <c r="Q40" i="7"/>
  <c r="AZ44" i="9"/>
  <c r="Q32" i="7"/>
  <c r="AZ36" i="9"/>
  <c r="Q23" i="7"/>
  <c r="AZ27" i="9"/>
  <c r="Q51" i="7"/>
  <c r="AZ55" i="9"/>
  <c r="Q43" i="7"/>
  <c r="AZ47" i="9"/>
  <c r="Q35" i="7"/>
  <c r="AZ39" i="9"/>
  <c r="Q58" i="7"/>
  <c r="AF58" i="7" s="1"/>
  <c r="AG58" i="7" s="1"/>
  <c r="AZ62" i="9"/>
  <c r="Q54" i="7"/>
  <c r="AZ58" i="9"/>
  <c r="Q50" i="7"/>
  <c r="AZ54" i="9"/>
  <c r="Q46" i="7"/>
  <c r="AZ50" i="9"/>
  <c r="Q42" i="7"/>
  <c r="AZ46" i="9"/>
  <c r="Q38" i="7"/>
  <c r="AZ42" i="9"/>
  <c r="Q34" i="7"/>
  <c r="AZ38" i="9"/>
  <c r="Q29" i="7"/>
  <c r="AZ33" i="9"/>
  <c r="Q25" i="7"/>
  <c r="AZ29" i="9"/>
  <c r="Q21" i="7"/>
  <c r="AZ25" i="9"/>
  <c r="J53" i="7"/>
  <c r="AZ57" i="4"/>
  <c r="J37" i="7"/>
  <c r="AZ41" i="4"/>
  <c r="J56" i="7"/>
  <c r="AZ60" i="4"/>
  <c r="J52" i="7"/>
  <c r="AZ56" i="4"/>
  <c r="J48" i="7"/>
  <c r="AZ52" i="4"/>
  <c r="J44" i="7"/>
  <c r="AZ48" i="4"/>
  <c r="J40" i="7"/>
  <c r="AZ44" i="4"/>
  <c r="J36" i="7"/>
  <c r="AZ40" i="4"/>
  <c r="J49" i="7"/>
  <c r="AZ53" i="4"/>
  <c r="J45" i="7"/>
  <c r="AZ49" i="4"/>
  <c r="J59" i="7"/>
  <c r="AZ63" i="4"/>
  <c r="J55" i="7"/>
  <c r="AZ59" i="4"/>
  <c r="J51" i="7"/>
  <c r="AZ55" i="4"/>
  <c r="J47" i="7"/>
  <c r="AZ51" i="4"/>
  <c r="J43" i="7"/>
  <c r="AZ47" i="4"/>
  <c r="J39" i="7"/>
  <c r="AZ43" i="4"/>
  <c r="J35" i="7"/>
  <c r="AZ39" i="4"/>
  <c r="J57" i="7"/>
  <c r="AZ61" i="4"/>
  <c r="J41" i="7"/>
  <c r="AZ45" i="4"/>
  <c r="J58" i="7"/>
  <c r="AZ62" i="4"/>
  <c r="J54" i="7"/>
  <c r="AZ58" i="4"/>
  <c r="J50" i="7"/>
  <c r="AZ54" i="4"/>
  <c r="J46" i="7"/>
  <c r="AZ50" i="4"/>
  <c r="J42" i="7"/>
  <c r="AZ46" i="4"/>
  <c r="J38" i="7"/>
  <c r="AZ42" i="4"/>
  <c r="Q31" i="7"/>
  <c r="AY60" i="13"/>
  <c r="AY56" i="13"/>
  <c r="AY52" i="13"/>
  <c r="AY48" i="13"/>
  <c r="AY40" i="13"/>
  <c r="AY36" i="13"/>
  <c r="AY32" i="13"/>
  <c r="AY28" i="13"/>
  <c r="AY24" i="13"/>
  <c r="AY20" i="13"/>
  <c r="AY19" i="13"/>
  <c r="AY44" i="13"/>
  <c r="AY63" i="13"/>
  <c r="AY59" i="13"/>
  <c r="AY55" i="13"/>
  <c r="AY51" i="13"/>
  <c r="AY47" i="13"/>
  <c r="AY43" i="13"/>
  <c r="AY39" i="13"/>
  <c r="AY35" i="13"/>
  <c r="AY31" i="13"/>
  <c r="AY27" i="13"/>
  <c r="AY23" i="13"/>
  <c r="AY51" i="11"/>
  <c r="AY60" i="11"/>
  <c r="AY56" i="11"/>
  <c r="AY52" i="11"/>
  <c r="AY48" i="11"/>
  <c r="AY44" i="11"/>
  <c r="AY40" i="11"/>
  <c r="AY36" i="11"/>
  <c r="AY32" i="11"/>
  <c r="AY28" i="11"/>
  <c r="AY24" i="11"/>
  <c r="X15" i="7"/>
  <c r="AY31" i="11"/>
  <c r="AY61" i="11"/>
  <c r="AY57" i="11"/>
  <c r="AY53" i="11"/>
  <c r="AY49" i="11"/>
  <c r="AY45" i="11"/>
  <c r="AY41" i="11"/>
  <c r="AY37" i="11"/>
  <c r="AY33" i="11"/>
  <c r="AY29" i="11"/>
  <c r="AY25" i="11"/>
  <c r="AY61" i="13"/>
  <c r="AY57" i="13"/>
  <c r="AY53" i="13"/>
  <c r="AY49" i="13"/>
  <c r="AY45" i="13"/>
  <c r="AY41" i="13"/>
  <c r="AY37" i="13"/>
  <c r="AY33" i="13"/>
  <c r="AY29" i="13"/>
  <c r="AY25" i="13"/>
  <c r="AY21" i="13"/>
  <c r="AY20" i="11"/>
  <c r="AY34" i="9"/>
  <c r="AY22" i="9"/>
  <c r="AY21" i="9"/>
  <c r="Q15" i="7"/>
  <c r="AY38" i="4"/>
  <c r="AY37" i="4"/>
  <c r="AY36" i="4"/>
  <c r="AY35" i="4"/>
  <c r="AY34" i="4"/>
  <c r="AY33" i="4"/>
  <c r="AY32" i="4"/>
  <c r="AY31" i="4"/>
  <c r="AY30" i="4"/>
  <c r="AY29" i="4"/>
  <c r="AY28" i="4"/>
  <c r="AY27" i="4"/>
  <c r="AY26" i="4"/>
  <c r="AY25" i="4"/>
  <c r="AY24" i="4"/>
  <c r="AY23" i="4"/>
  <c r="AY22" i="4"/>
  <c r="AY21" i="4"/>
  <c r="AY20" i="4"/>
  <c r="AY22" i="13"/>
  <c r="AY21" i="11"/>
  <c r="AY20" i="9"/>
  <c r="AE39" i="7" l="1"/>
  <c r="AF39" i="7" s="1"/>
  <c r="AG39" i="7" s="1"/>
  <c r="AZ43" i="13"/>
  <c r="AE16" i="7"/>
  <c r="AZ20" i="13"/>
  <c r="AE37" i="7"/>
  <c r="AZ41" i="13"/>
  <c r="AE31" i="7"/>
  <c r="AZ35" i="13"/>
  <c r="AE25" i="7"/>
  <c r="AZ29" i="13"/>
  <c r="AE41" i="7"/>
  <c r="AZ45" i="13"/>
  <c r="AE57" i="7"/>
  <c r="AZ61" i="13"/>
  <c r="AE19" i="7"/>
  <c r="AZ23" i="13"/>
  <c r="AE35" i="7"/>
  <c r="AZ39" i="13"/>
  <c r="AE51" i="7"/>
  <c r="AZ55" i="13"/>
  <c r="AE15" i="7"/>
  <c r="AZ19" i="13"/>
  <c r="AQ7" i="13"/>
  <c r="AQ8" i="13"/>
  <c r="AE28" i="7"/>
  <c r="AZ32" i="13"/>
  <c r="AE48" i="7"/>
  <c r="AZ52" i="13"/>
  <c r="AE29" i="7"/>
  <c r="AZ33" i="13"/>
  <c r="AE52" i="7"/>
  <c r="AZ56" i="13"/>
  <c r="AE18" i="7"/>
  <c r="AZ22" i="13"/>
  <c r="AE23" i="7"/>
  <c r="AZ27" i="13"/>
  <c r="AE55" i="7"/>
  <c r="AF55" i="7" s="1"/>
  <c r="AG55" i="7" s="1"/>
  <c r="AZ59" i="13"/>
  <c r="AE32" i="7"/>
  <c r="AZ36" i="13"/>
  <c r="AE17" i="7"/>
  <c r="AZ21" i="13"/>
  <c r="AE33" i="7"/>
  <c r="AZ37" i="13"/>
  <c r="AE49" i="7"/>
  <c r="AZ53" i="13"/>
  <c r="AE27" i="7"/>
  <c r="AZ31" i="13"/>
  <c r="AE43" i="7"/>
  <c r="AZ47" i="13"/>
  <c r="AE59" i="7"/>
  <c r="AF59" i="7" s="1"/>
  <c r="AG59" i="7" s="1"/>
  <c r="AZ63" i="13"/>
  <c r="AE20" i="7"/>
  <c r="AZ24" i="13"/>
  <c r="AE36" i="7"/>
  <c r="AZ40" i="13"/>
  <c r="AE56" i="7"/>
  <c r="AZ60" i="13"/>
  <c r="AE45" i="7"/>
  <c r="AZ49" i="13"/>
  <c r="AE21" i="7"/>
  <c r="AZ25" i="13"/>
  <c r="AE53" i="7"/>
  <c r="AZ57" i="13"/>
  <c r="AE47" i="7"/>
  <c r="AZ51" i="13"/>
  <c r="AE40" i="7"/>
  <c r="AZ44" i="13"/>
  <c r="AE24" i="7"/>
  <c r="AZ28" i="13"/>
  <c r="AE44" i="7"/>
  <c r="AF44" i="7" s="1"/>
  <c r="AG44" i="7" s="1"/>
  <c r="AZ48" i="13"/>
  <c r="X21" i="7"/>
  <c r="AZ25" i="11"/>
  <c r="X17" i="7"/>
  <c r="AZ21" i="11"/>
  <c r="X33" i="7"/>
  <c r="AZ37" i="11"/>
  <c r="X49" i="7"/>
  <c r="AZ53" i="11"/>
  <c r="X32" i="7"/>
  <c r="AZ36" i="11"/>
  <c r="X48" i="7"/>
  <c r="AF48" i="7" s="1"/>
  <c r="AG48" i="7" s="1"/>
  <c r="AZ52" i="11"/>
  <c r="X53" i="7"/>
  <c r="AZ57" i="11"/>
  <c r="X20" i="7"/>
  <c r="AF20" i="7" s="1"/>
  <c r="AG20" i="7" s="1"/>
  <c r="AZ24" i="11"/>
  <c r="X36" i="7"/>
  <c r="AZ40" i="11"/>
  <c r="X52" i="7"/>
  <c r="AF52" i="7" s="1"/>
  <c r="AG52" i="7" s="1"/>
  <c r="AZ56" i="11"/>
  <c r="X16" i="7"/>
  <c r="AZ20" i="11"/>
  <c r="AQ8" i="11"/>
  <c r="AQ7" i="11"/>
  <c r="X37" i="7"/>
  <c r="AZ41" i="11"/>
  <c r="X25" i="7"/>
  <c r="AF25" i="7" s="1"/>
  <c r="AG25" i="7" s="1"/>
  <c r="AZ29" i="11"/>
  <c r="X41" i="7"/>
  <c r="AZ45" i="11"/>
  <c r="X57" i="7"/>
  <c r="AF57" i="7" s="1"/>
  <c r="AG57" i="7" s="1"/>
  <c r="AZ61" i="11"/>
  <c r="X24" i="7"/>
  <c r="AZ28" i="11"/>
  <c r="X40" i="7"/>
  <c r="AF40" i="7" s="1"/>
  <c r="AG40" i="7" s="1"/>
  <c r="AZ44" i="11"/>
  <c r="X56" i="7"/>
  <c r="AZ60" i="11"/>
  <c r="X29" i="7"/>
  <c r="AZ33" i="11"/>
  <c r="X45" i="7"/>
  <c r="AZ49" i="11"/>
  <c r="X27" i="7"/>
  <c r="AF27" i="7" s="1"/>
  <c r="AG27" i="7" s="1"/>
  <c r="AZ31" i="11"/>
  <c r="X28" i="7"/>
  <c r="AZ32" i="11"/>
  <c r="X44" i="7"/>
  <c r="AZ48" i="11"/>
  <c r="X47" i="7"/>
  <c r="AZ51" i="11"/>
  <c r="AF35" i="7"/>
  <c r="AG35" i="7" s="1"/>
  <c r="AF51" i="7"/>
  <c r="AG51" i="7" s="1"/>
  <c r="AF38" i="7"/>
  <c r="AG38" i="7" s="1"/>
  <c r="AF46" i="7"/>
  <c r="AG46" i="7" s="1"/>
  <c r="AF54" i="7"/>
  <c r="AG54" i="7" s="1"/>
  <c r="Q17" i="7"/>
  <c r="AZ21" i="9"/>
  <c r="Q16" i="7"/>
  <c r="AZ20" i="9"/>
  <c r="AQ8" i="9"/>
  <c r="AQ7" i="9"/>
  <c r="Q18" i="7"/>
  <c r="AZ22" i="9"/>
  <c r="Q30" i="7"/>
  <c r="AZ34" i="9"/>
  <c r="AF42" i="7"/>
  <c r="AG42" i="7" s="1"/>
  <c r="AF50" i="7"/>
  <c r="AG50" i="7" s="1"/>
  <c r="AF56" i="7"/>
  <c r="AG56" i="7" s="1"/>
  <c r="AF43" i="7"/>
  <c r="AG43" i="7" s="1"/>
  <c r="AF47" i="7"/>
  <c r="AG47" i="7" s="1"/>
  <c r="J18" i="7"/>
  <c r="AZ22" i="4"/>
  <c r="J22" i="7"/>
  <c r="AF22" i="7" s="1"/>
  <c r="AG22" i="7" s="1"/>
  <c r="AZ26" i="4"/>
  <c r="J30" i="7"/>
  <c r="AZ34" i="4"/>
  <c r="J34" i="7"/>
  <c r="AF34" i="7" s="1"/>
  <c r="AG34" i="7" s="1"/>
  <c r="AZ38" i="4"/>
  <c r="J19" i="7"/>
  <c r="AZ23" i="4"/>
  <c r="J23" i="7"/>
  <c r="AZ27" i="4"/>
  <c r="J27" i="7"/>
  <c r="AZ31" i="4"/>
  <c r="J31" i="7"/>
  <c r="AF31" i="7" s="1"/>
  <c r="AG31" i="7" s="1"/>
  <c r="AZ35" i="4"/>
  <c r="J20" i="7"/>
  <c r="AZ24" i="4"/>
  <c r="J32" i="7"/>
  <c r="AF32" i="7" s="1"/>
  <c r="AG32" i="7" s="1"/>
  <c r="AZ36" i="4"/>
  <c r="J16" i="7"/>
  <c r="AZ20" i="4"/>
  <c r="AQ8" i="4"/>
  <c r="AQ7" i="4"/>
  <c r="J24" i="7"/>
  <c r="AZ28" i="4"/>
  <c r="J28" i="7"/>
  <c r="AF28" i="7" s="1"/>
  <c r="AG28" i="7" s="1"/>
  <c r="AZ32" i="4"/>
  <c r="J17" i="7"/>
  <c r="AZ21" i="4"/>
  <c r="J21" i="7"/>
  <c r="AF21" i="7" s="1"/>
  <c r="AG21" i="7" s="1"/>
  <c r="AZ25" i="4"/>
  <c r="J25" i="7"/>
  <c r="AZ29" i="4"/>
  <c r="J29" i="7"/>
  <c r="AF29" i="7" s="1"/>
  <c r="AG29" i="7" s="1"/>
  <c r="AZ33" i="4"/>
  <c r="J33" i="7"/>
  <c r="AZ37" i="4"/>
  <c r="J26" i="7"/>
  <c r="AF26" i="7" s="1"/>
  <c r="AG26" i="7" s="1"/>
  <c r="AZ30" i="4"/>
  <c r="AF30" i="7"/>
  <c r="AG30" i="7" s="1"/>
  <c r="AF23" i="7"/>
  <c r="AG23" i="7" s="1"/>
  <c r="AF37" i="7"/>
  <c r="AG37" i="7" s="1"/>
  <c r="AF53" i="7"/>
  <c r="AG53" i="7" s="1"/>
  <c r="AF36" i="7"/>
  <c r="AG36" i="7" s="1"/>
  <c r="AF33" i="7"/>
  <c r="AG33" i="7" s="1"/>
  <c r="AF24" i="7"/>
  <c r="AG24" i="7" s="1"/>
  <c r="AF18" i="7"/>
  <c r="AG18" i="7" s="1"/>
  <c r="AF45" i="7"/>
  <c r="AG45" i="7" s="1"/>
  <c r="AF19" i="7"/>
  <c r="AG19" i="7" s="1"/>
  <c r="AF41" i="7"/>
  <c r="AG41" i="7" s="1"/>
  <c r="AF17" i="7"/>
  <c r="AG17" i="7" s="1"/>
  <c r="AF16" i="7"/>
  <c r="AG16" i="7" s="1"/>
  <c r="J15" i="7"/>
  <c r="E18" i="14"/>
  <c r="H67" i="20"/>
  <c r="C67" i="20"/>
  <c r="I5" i="20"/>
  <c r="F8" i="20"/>
  <c r="F7" i="20"/>
  <c r="F6" i="20"/>
  <c r="F5" i="20"/>
  <c r="L71" i="20"/>
  <c r="H15" i="20"/>
  <c r="G15" i="20"/>
  <c r="H14" i="20"/>
  <c r="G14" i="20"/>
  <c r="H13" i="20"/>
  <c r="G13" i="20"/>
  <c r="AF49" i="7" l="1"/>
  <c r="AG49" i="7" s="1"/>
  <c r="AF15" i="7"/>
  <c r="AG15" i="7" s="1"/>
  <c r="AG9" i="7" s="1"/>
  <c r="H68" i="20"/>
  <c r="C68" i="20"/>
  <c r="T22" i="6"/>
  <c r="T18" i="6"/>
  <c r="T24" i="6"/>
  <c r="T20" i="6"/>
  <c r="T23" i="6"/>
  <c r="T19" i="6"/>
  <c r="T21" i="6"/>
  <c r="BQ58" i="6" l="1"/>
  <c r="BQ57" i="6"/>
  <c r="BQ56" i="6"/>
  <c r="BQ55" i="6"/>
  <c r="BQ54" i="6"/>
  <c r="BQ53" i="6"/>
  <c r="BQ52" i="6"/>
  <c r="BQ51" i="6"/>
  <c r="BQ50" i="6"/>
  <c r="BQ49" i="6"/>
  <c r="BQ48" i="6"/>
  <c r="BQ47" i="6"/>
  <c r="BQ46" i="6"/>
  <c r="BQ45" i="6"/>
  <c r="BQ44" i="6"/>
  <c r="BQ43" i="6"/>
  <c r="BQ42" i="6"/>
  <c r="BQ41" i="6"/>
  <c r="BQ40" i="6"/>
  <c r="BQ39" i="6"/>
  <c r="BQ38" i="6"/>
  <c r="BQ37" i="6"/>
  <c r="BQ36" i="6"/>
  <c r="BQ35" i="6"/>
  <c r="BQ34" i="6"/>
  <c r="BQ33" i="6"/>
  <c r="BQ32" i="6"/>
  <c r="BQ31" i="6"/>
  <c r="BQ30" i="6"/>
  <c r="BQ29" i="6"/>
  <c r="BQ28" i="6"/>
  <c r="BQ27" i="6"/>
  <c r="BQ26" i="6"/>
  <c r="BQ25" i="6"/>
  <c r="BQ24" i="6"/>
  <c r="BQ23" i="6"/>
  <c r="BQ22" i="6"/>
  <c r="BQ21" i="6"/>
  <c r="BQ20" i="6"/>
  <c r="BQ19" i="6"/>
  <c r="BQ18" i="6"/>
  <c r="BQ17" i="6"/>
  <c r="BQ16" i="6"/>
  <c r="BQ15" i="6"/>
  <c r="BQ14" i="6"/>
  <c r="AZ58" i="6"/>
  <c r="AZ57" i="6"/>
  <c r="AZ56" i="6"/>
  <c r="AZ55" i="6"/>
  <c r="AZ54" i="6"/>
  <c r="AZ53" i="6"/>
  <c r="AZ52" i="6"/>
  <c r="AZ51" i="6"/>
  <c r="AZ50" i="6"/>
  <c r="AZ49" i="6"/>
  <c r="AZ48" i="6"/>
  <c r="AZ47" i="6"/>
  <c r="AZ46" i="6"/>
  <c r="AZ45" i="6"/>
  <c r="AZ44" i="6"/>
  <c r="AZ43" i="6"/>
  <c r="AZ42" i="6"/>
  <c r="AZ41" i="6"/>
  <c r="AZ40" i="6"/>
  <c r="AZ39" i="6"/>
  <c r="AZ38" i="6"/>
  <c r="AZ37" i="6"/>
  <c r="AZ36" i="6"/>
  <c r="AZ35" i="6"/>
  <c r="AZ34" i="6"/>
  <c r="AZ33" i="6"/>
  <c r="AZ32" i="6"/>
  <c r="AZ31" i="6"/>
  <c r="AZ30" i="6"/>
  <c r="AZ29" i="6"/>
  <c r="AZ28" i="6"/>
  <c r="AZ27" i="6"/>
  <c r="AZ26" i="6"/>
  <c r="AZ25" i="6"/>
  <c r="AZ24" i="6"/>
  <c r="AZ23" i="6"/>
  <c r="AZ22" i="6"/>
  <c r="AZ21" i="6"/>
  <c r="AZ20" i="6"/>
  <c r="AZ19" i="6"/>
  <c r="AZ18" i="6"/>
  <c r="AZ17" i="6"/>
  <c r="AZ16" i="6"/>
  <c r="AZ15" i="6"/>
  <c r="AZ14" i="6"/>
  <c r="AI58" i="6"/>
  <c r="AI57" i="6"/>
  <c r="AI56" i="6"/>
  <c r="AI55" i="6"/>
  <c r="AI54" i="6"/>
  <c r="AI53" i="6"/>
  <c r="AI52" i="6"/>
  <c r="AI51" i="6"/>
  <c r="AI50" i="6"/>
  <c r="AI49" i="6"/>
  <c r="AI48" i="6"/>
  <c r="AI47" i="6"/>
  <c r="AI46" i="6"/>
  <c r="AI45" i="6"/>
  <c r="AI44" i="6"/>
  <c r="AI43" i="6"/>
  <c r="AI42" i="6"/>
  <c r="AI41" i="6"/>
  <c r="AI40" i="6"/>
  <c r="AI39" i="6"/>
  <c r="AI38" i="6"/>
  <c r="AI37" i="6"/>
  <c r="AI36" i="6"/>
  <c r="AI35" i="6"/>
  <c r="AI34" i="6"/>
  <c r="AI33" i="6"/>
  <c r="AI32" i="6"/>
  <c r="AI31" i="6"/>
  <c r="AI30" i="6"/>
  <c r="AI29" i="6"/>
  <c r="AI28" i="6"/>
  <c r="AI27" i="6"/>
  <c r="AI26" i="6"/>
  <c r="AI25" i="6"/>
  <c r="AI24" i="6"/>
  <c r="AI23" i="6"/>
  <c r="AI22" i="6"/>
  <c r="AI21" i="6"/>
  <c r="AI20" i="6"/>
  <c r="AI19" i="6"/>
  <c r="AI18" i="6"/>
  <c r="AI17" i="6"/>
  <c r="AI16" i="6"/>
  <c r="AI15" i="6"/>
  <c r="AI14" i="6"/>
  <c r="T45" i="6" l="1"/>
  <c r="T58" i="6"/>
  <c r="T54" i="6"/>
  <c r="T50" i="6"/>
  <c r="T46" i="6"/>
  <c r="T42" i="6"/>
  <c r="T38" i="6"/>
  <c r="T34" i="6"/>
  <c r="T30" i="6"/>
  <c r="T26" i="6"/>
  <c r="AJ58" i="6"/>
  <c r="AK58" i="6" s="1"/>
  <c r="AJ54" i="6"/>
  <c r="AK54" i="6" s="1"/>
  <c r="AJ50" i="6"/>
  <c r="AK50" i="6" s="1"/>
  <c r="AJ46" i="6"/>
  <c r="AK46" i="6" s="1"/>
  <c r="AJ42" i="6"/>
  <c r="AK42" i="6" s="1"/>
  <c r="AJ38" i="6"/>
  <c r="AK38" i="6" s="1"/>
  <c r="AJ34" i="6"/>
  <c r="AK34" i="6" s="1"/>
  <c r="AJ30" i="6"/>
  <c r="AK30" i="6" s="1"/>
  <c r="AJ26" i="6"/>
  <c r="AK26" i="6" s="1"/>
  <c r="AJ22" i="6"/>
  <c r="AK22" i="6" s="1"/>
  <c r="AJ18" i="6"/>
  <c r="AK18" i="6" s="1"/>
  <c r="BA58" i="6"/>
  <c r="BB58" i="6" s="1"/>
  <c r="BA54" i="6"/>
  <c r="BB54" i="6" s="1"/>
  <c r="BA50" i="6"/>
  <c r="BB50" i="6" s="1"/>
  <c r="BA46" i="6"/>
  <c r="BB46" i="6" s="1"/>
  <c r="BA42" i="6"/>
  <c r="BB42" i="6" s="1"/>
  <c r="BA38" i="6"/>
  <c r="BB38" i="6" s="1"/>
  <c r="BA34" i="6"/>
  <c r="BB34" i="6" s="1"/>
  <c r="BA30" i="6"/>
  <c r="BB30" i="6" s="1"/>
  <c r="BA26" i="6"/>
  <c r="BB26" i="6" s="1"/>
  <c r="BA22" i="6"/>
  <c r="BB22" i="6" s="1"/>
  <c r="BA18" i="6"/>
  <c r="BB18" i="6" s="1"/>
  <c r="BR58" i="6"/>
  <c r="BS58" i="6" s="1"/>
  <c r="BR54" i="6"/>
  <c r="BS54" i="6" s="1"/>
  <c r="BR50" i="6"/>
  <c r="BS50" i="6" s="1"/>
  <c r="BR46" i="6"/>
  <c r="BS46" i="6" s="1"/>
  <c r="BR42" i="6"/>
  <c r="BS42" i="6" s="1"/>
  <c r="BR38" i="6"/>
  <c r="BS38" i="6" s="1"/>
  <c r="BR34" i="6"/>
  <c r="BS34" i="6" s="1"/>
  <c r="BR30" i="6"/>
  <c r="BS30" i="6" s="1"/>
  <c r="BR26" i="6"/>
  <c r="BS26" i="6" s="1"/>
  <c r="BR22" i="6"/>
  <c r="BS22" i="6" s="1"/>
  <c r="BR18" i="6"/>
  <c r="BS18" i="6" s="1"/>
  <c r="T53" i="6"/>
  <c r="T41" i="6"/>
  <c r="T33" i="6"/>
  <c r="T29" i="6"/>
  <c r="T17" i="6"/>
  <c r="AJ57" i="6"/>
  <c r="AK57" i="6" s="1"/>
  <c r="AJ53" i="6"/>
  <c r="AK53" i="6" s="1"/>
  <c r="AJ49" i="6"/>
  <c r="AK49" i="6" s="1"/>
  <c r="AJ45" i="6"/>
  <c r="AK45" i="6" s="1"/>
  <c r="AJ41" i="6"/>
  <c r="AK41" i="6" s="1"/>
  <c r="AJ37" i="6"/>
  <c r="AK37" i="6" s="1"/>
  <c r="AJ33" i="6"/>
  <c r="AK33" i="6" s="1"/>
  <c r="AJ29" i="6"/>
  <c r="AK29" i="6" s="1"/>
  <c r="AJ25" i="6"/>
  <c r="AK25" i="6" s="1"/>
  <c r="AJ21" i="6"/>
  <c r="AK21" i="6" s="1"/>
  <c r="AJ17" i="6"/>
  <c r="AK17" i="6" s="1"/>
  <c r="BA57" i="6"/>
  <c r="BB57" i="6" s="1"/>
  <c r="BA53" i="6"/>
  <c r="BB53" i="6" s="1"/>
  <c r="BA49" i="6"/>
  <c r="BB49" i="6" s="1"/>
  <c r="BA45" i="6"/>
  <c r="BB45" i="6" s="1"/>
  <c r="BA41" i="6"/>
  <c r="BB41" i="6" s="1"/>
  <c r="BA37" i="6"/>
  <c r="BB37" i="6" s="1"/>
  <c r="BA33" i="6"/>
  <c r="BB33" i="6" s="1"/>
  <c r="BA29" i="6"/>
  <c r="BB29" i="6" s="1"/>
  <c r="BA25" i="6"/>
  <c r="BB25" i="6" s="1"/>
  <c r="BA21" i="6"/>
  <c r="BB21" i="6" s="1"/>
  <c r="BA17" i="6"/>
  <c r="BB17" i="6" s="1"/>
  <c r="BR57" i="6"/>
  <c r="BS57" i="6" s="1"/>
  <c r="BR53" i="6"/>
  <c r="BS53" i="6" s="1"/>
  <c r="BR49" i="6"/>
  <c r="BS49" i="6" s="1"/>
  <c r="BR45" i="6"/>
  <c r="BS45" i="6" s="1"/>
  <c r="BR41" i="6"/>
  <c r="BS41" i="6" s="1"/>
  <c r="BR37" i="6"/>
  <c r="BS37" i="6" s="1"/>
  <c r="BR33" i="6"/>
  <c r="BS33" i="6" s="1"/>
  <c r="BR29" i="6"/>
  <c r="BS29" i="6" s="1"/>
  <c r="BR25" i="6"/>
  <c r="BS25" i="6" s="1"/>
  <c r="BR21" i="6"/>
  <c r="BS21" i="6" s="1"/>
  <c r="BR17" i="6"/>
  <c r="BS17" i="6" s="1"/>
  <c r="T49" i="6"/>
  <c r="T37" i="6"/>
  <c r="T25" i="6"/>
  <c r="T56" i="6"/>
  <c r="T52" i="6"/>
  <c r="T48" i="6"/>
  <c r="T44" i="6"/>
  <c r="T40" i="6"/>
  <c r="T36" i="6"/>
  <c r="T32" i="6"/>
  <c r="T28" i="6"/>
  <c r="T16" i="6"/>
  <c r="AJ56" i="6"/>
  <c r="AK56" i="6" s="1"/>
  <c r="AJ52" i="6"/>
  <c r="AK52" i="6" s="1"/>
  <c r="AJ48" i="6"/>
  <c r="AK48" i="6" s="1"/>
  <c r="AJ44" i="6"/>
  <c r="AK44" i="6" s="1"/>
  <c r="AJ40" i="6"/>
  <c r="AK40" i="6" s="1"/>
  <c r="AJ36" i="6"/>
  <c r="AK36" i="6" s="1"/>
  <c r="AJ32" i="6"/>
  <c r="AK32" i="6" s="1"/>
  <c r="AJ28" i="6"/>
  <c r="AK28" i="6" s="1"/>
  <c r="AJ24" i="6"/>
  <c r="AK24" i="6" s="1"/>
  <c r="AJ20" i="6"/>
  <c r="AK20" i="6" s="1"/>
  <c r="AJ16" i="6"/>
  <c r="AK16" i="6" s="1"/>
  <c r="BA56" i="6"/>
  <c r="BB56" i="6" s="1"/>
  <c r="BA52" i="6"/>
  <c r="BB52" i="6" s="1"/>
  <c r="BA48" i="6"/>
  <c r="BB48" i="6" s="1"/>
  <c r="BA44" i="6"/>
  <c r="BB44" i="6" s="1"/>
  <c r="BA40" i="6"/>
  <c r="BB40" i="6" s="1"/>
  <c r="BA36" i="6"/>
  <c r="BB36" i="6" s="1"/>
  <c r="BA32" i="6"/>
  <c r="BB32" i="6" s="1"/>
  <c r="BA28" i="6"/>
  <c r="BB28" i="6" s="1"/>
  <c r="BA24" i="6"/>
  <c r="BB24" i="6" s="1"/>
  <c r="BA20" i="6"/>
  <c r="BB20" i="6" s="1"/>
  <c r="BA16" i="6"/>
  <c r="BB16" i="6" s="1"/>
  <c r="BR56" i="6"/>
  <c r="BS56" i="6" s="1"/>
  <c r="BR52" i="6"/>
  <c r="BS52" i="6" s="1"/>
  <c r="BR48" i="6"/>
  <c r="BS48" i="6" s="1"/>
  <c r="BR44" i="6"/>
  <c r="BS44" i="6" s="1"/>
  <c r="BR40" i="6"/>
  <c r="BS40" i="6" s="1"/>
  <c r="BR36" i="6"/>
  <c r="BS36" i="6" s="1"/>
  <c r="BR32" i="6"/>
  <c r="BS32" i="6" s="1"/>
  <c r="BR28" i="6"/>
  <c r="BS28" i="6" s="1"/>
  <c r="BR24" i="6"/>
  <c r="BS24" i="6" s="1"/>
  <c r="BR20" i="6"/>
  <c r="BS20" i="6" s="1"/>
  <c r="BR16" i="6"/>
  <c r="BS16" i="6" s="1"/>
  <c r="T57" i="6"/>
  <c r="T55" i="6"/>
  <c r="T51" i="6"/>
  <c r="T47" i="6"/>
  <c r="T43" i="6"/>
  <c r="T39" i="6"/>
  <c r="T35" i="6"/>
  <c r="T31" i="6"/>
  <c r="T27" i="6"/>
  <c r="T15" i="6"/>
  <c r="AJ55" i="6"/>
  <c r="AK55" i="6" s="1"/>
  <c r="AJ51" i="6"/>
  <c r="AK51" i="6" s="1"/>
  <c r="AJ47" i="6"/>
  <c r="AK47" i="6" s="1"/>
  <c r="AJ43" i="6"/>
  <c r="AK43" i="6" s="1"/>
  <c r="AJ39" i="6"/>
  <c r="AK39" i="6" s="1"/>
  <c r="AJ35" i="6"/>
  <c r="AK35" i="6" s="1"/>
  <c r="AJ31" i="6"/>
  <c r="AK31" i="6" s="1"/>
  <c r="AJ27" i="6"/>
  <c r="AK27" i="6" s="1"/>
  <c r="AJ23" i="6"/>
  <c r="AK23" i="6" s="1"/>
  <c r="AJ19" i="6"/>
  <c r="AK19" i="6" s="1"/>
  <c r="AJ15" i="6"/>
  <c r="AK15" i="6" s="1"/>
  <c r="BA55" i="6"/>
  <c r="BB55" i="6" s="1"/>
  <c r="BA51" i="6"/>
  <c r="BB51" i="6" s="1"/>
  <c r="BA47" i="6"/>
  <c r="BB47" i="6" s="1"/>
  <c r="BA43" i="6"/>
  <c r="BB43" i="6" s="1"/>
  <c r="BA39" i="6"/>
  <c r="BB39" i="6" s="1"/>
  <c r="BA35" i="6"/>
  <c r="BB35" i="6" s="1"/>
  <c r="BA31" i="6"/>
  <c r="BB31" i="6" s="1"/>
  <c r="BA27" i="6"/>
  <c r="BB27" i="6" s="1"/>
  <c r="BA23" i="6"/>
  <c r="BB23" i="6" s="1"/>
  <c r="BA19" i="6"/>
  <c r="BB19" i="6" s="1"/>
  <c r="BA15" i="6"/>
  <c r="BB15" i="6" s="1"/>
  <c r="BR55" i="6"/>
  <c r="BS55" i="6" s="1"/>
  <c r="BR51" i="6"/>
  <c r="BS51" i="6" s="1"/>
  <c r="BR47" i="6"/>
  <c r="BS47" i="6" s="1"/>
  <c r="BR43" i="6"/>
  <c r="BS43" i="6" s="1"/>
  <c r="BR39" i="6"/>
  <c r="BS39" i="6" s="1"/>
  <c r="BR35" i="6"/>
  <c r="BS35" i="6" s="1"/>
  <c r="BR31" i="6"/>
  <c r="BS31" i="6" s="1"/>
  <c r="BR27" i="6"/>
  <c r="BS27" i="6" s="1"/>
  <c r="BR23" i="6"/>
  <c r="BS23" i="6" s="1"/>
  <c r="BR19" i="6"/>
  <c r="BS19" i="6" s="1"/>
  <c r="BR15" i="6"/>
  <c r="BS15" i="6" s="1"/>
  <c r="AJ14" i="6"/>
  <c r="AK14" i="6" s="1"/>
  <c r="BV57" i="6" l="1"/>
  <c r="BU47" i="6"/>
  <c r="BU53" i="6"/>
  <c r="BU58" i="6"/>
  <c r="BU55" i="6"/>
  <c r="BU52" i="6"/>
  <c r="BU50" i="6"/>
  <c r="BU51" i="6"/>
  <c r="BU57" i="6"/>
  <c r="BU48" i="6"/>
  <c r="BU56" i="6"/>
  <c r="BU45" i="6"/>
  <c r="BU41" i="6"/>
  <c r="BU46" i="6"/>
  <c r="BU54" i="6"/>
  <c r="BU49" i="6"/>
  <c r="BU17" i="6"/>
  <c r="BU16" i="6"/>
  <c r="BU40" i="6"/>
  <c r="BU44" i="6"/>
  <c r="BU42" i="6"/>
  <c r="BU43" i="6"/>
  <c r="BU15" i="6"/>
  <c r="BU23" i="6"/>
  <c r="BU31" i="6"/>
  <c r="BU39" i="6"/>
  <c r="BU20" i="6"/>
  <c r="BU28" i="6"/>
  <c r="BU36" i="6"/>
  <c r="BU25" i="6"/>
  <c r="BU33" i="6"/>
  <c r="BU18" i="6"/>
  <c r="BU26" i="6"/>
  <c r="BU34" i="6"/>
  <c r="BU19" i="6"/>
  <c r="BU35" i="6"/>
  <c r="BU24" i="6"/>
  <c r="BU32" i="6"/>
  <c r="BU21" i="6"/>
  <c r="BU29" i="6"/>
  <c r="BU37" i="6"/>
  <c r="BU22" i="6"/>
  <c r="BU30" i="6"/>
  <c r="BU38" i="6"/>
  <c r="BU27" i="6"/>
  <c r="BV37" i="6"/>
  <c r="BV27" i="6"/>
  <c r="BV15" i="6"/>
  <c r="BV31" i="6"/>
  <c r="BV47" i="6"/>
  <c r="BV28" i="6"/>
  <c r="BV25" i="6"/>
  <c r="BV35" i="6"/>
  <c r="BV24" i="6"/>
  <c r="BV40" i="6"/>
  <c r="BV56" i="6"/>
  <c r="BV21" i="6"/>
  <c r="BV33" i="6"/>
  <c r="BV18" i="6"/>
  <c r="BV26" i="6"/>
  <c r="BV34" i="6"/>
  <c r="BV42" i="6"/>
  <c r="BV50" i="6"/>
  <c r="BV58" i="6"/>
  <c r="BV19" i="6"/>
  <c r="BV51" i="6"/>
  <c r="BV16" i="6"/>
  <c r="BV32" i="6"/>
  <c r="BV48" i="6"/>
  <c r="BV53" i="6"/>
  <c r="BV43" i="6"/>
  <c r="BV23" i="6"/>
  <c r="BV39" i="6"/>
  <c r="BV55" i="6"/>
  <c r="BV20" i="6"/>
  <c r="BV36" i="6"/>
  <c r="BV44" i="6"/>
  <c r="BV52" i="6"/>
  <c r="BV49" i="6"/>
  <c r="BV17" i="6"/>
  <c r="BV29" i="6"/>
  <c r="BV41" i="6"/>
  <c r="BV22" i="6"/>
  <c r="BV30" i="6"/>
  <c r="BV38" i="6"/>
  <c r="BV46" i="6"/>
  <c r="BV54" i="6"/>
  <c r="BV45" i="6"/>
  <c r="BA14" i="6"/>
  <c r="BB14" i="6" s="1"/>
  <c r="T14" i="6"/>
  <c r="BR14" i="6"/>
  <c r="BS14" i="6" s="1"/>
  <c r="BF9" i="3"/>
  <c r="G47" i="19" l="1"/>
  <c r="H57" i="20"/>
  <c r="H59" i="20"/>
  <c r="G49" i="19"/>
  <c r="H54" i="20"/>
  <c r="G44" i="19"/>
  <c r="H61" i="20"/>
  <c r="G51" i="19"/>
  <c r="H53" i="20"/>
  <c r="G43" i="19"/>
  <c r="H56" i="20"/>
  <c r="G46" i="19"/>
  <c r="H52" i="20"/>
  <c r="G42" i="19"/>
  <c r="H60" i="20"/>
  <c r="G50" i="19"/>
  <c r="H55" i="20"/>
  <c r="G45" i="19"/>
  <c r="H58" i="20"/>
  <c r="G48" i="19"/>
  <c r="H47" i="20"/>
  <c r="G36" i="19"/>
  <c r="H46" i="20"/>
  <c r="G35" i="19"/>
  <c r="H50" i="20"/>
  <c r="G39" i="19"/>
  <c r="H25" i="20"/>
  <c r="G41" i="19"/>
  <c r="H48" i="20"/>
  <c r="G37" i="19"/>
  <c r="G34" i="19"/>
  <c r="H45" i="20"/>
  <c r="H51" i="20"/>
  <c r="G40" i="19"/>
  <c r="H44" i="20"/>
  <c r="G33" i="19"/>
  <c r="G38" i="19"/>
  <c r="H49" i="20"/>
  <c r="G27" i="19"/>
  <c r="H40" i="20"/>
  <c r="G32" i="19"/>
  <c r="H43" i="20"/>
  <c r="H41" i="20"/>
  <c r="G30" i="19"/>
  <c r="G29" i="19"/>
  <c r="H19" i="20"/>
  <c r="G31" i="19"/>
  <c r="H42" i="20"/>
  <c r="G28" i="19"/>
  <c r="H18" i="20"/>
  <c r="G10" i="19"/>
  <c r="H35" i="20"/>
  <c r="G18" i="19"/>
  <c r="H38" i="20"/>
  <c r="H29" i="20"/>
  <c r="G15" i="19"/>
  <c r="G7" i="19"/>
  <c r="H24" i="20"/>
  <c r="G22" i="19"/>
  <c r="H31" i="20"/>
  <c r="G12" i="19"/>
  <c r="H37" i="20"/>
  <c r="G8" i="19"/>
  <c r="H33" i="20"/>
  <c r="G11" i="19"/>
  <c r="H36" i="20"/>
  <c r="H20" i="20"/>
  <c r="G19" i="19"/>
  <c r="G9" i="19"/>
  <c r="H34" i="20"/>
  <c r="H22" i="20"/>
  <c r="G24" i="19"/>
  <c r="G21" i="19"/>
  <c r="H23" i="20"/>
  <c r="G16" i="19"/>
  <c r="H27" i="20"/>
  <c r="H30" i="20"/>
  <c r="G23" i="19"/>
  <c r="G14" i="19"/>
  <c r="H39" i="20"/>
  <c r="G13" i="19"/>
  <c r="H21" i="20"/>
  <c r="G26" i="19"/>
  <c r="H17" i="20"/>
  <c r="G25" i="19"/>
  <c r="H26" i="20"/>
  <c r="G20" i="19"/>
  <c r="H28" i="20"/>
  <c r="BU14" i="6"/>
  <c r="BV14" i="6"/>
  <c r="F7" i="4"/>
  <c r="F8" i="4"/>
  <c r="F9" i="4"/>
  <c r="F10" i="4"/>
  <c r="F11" i="4"/>
  <c r="F12" i="4"/>
  <c r="B46" i="19" l="1"/>
  <c r="C46" i="19" s="1"/>
  <c r="D46" i="19" s="1"/>
  <c r="G17" i="19"/>
  <c r="H17" i="19" s="1"/>
  <c r="I17" i="19" s="1"/>
  <c r="J17" i="19" s="1"/>
  <c r="H32" i="20"/>
  <c r="B7" i="19"/>
  <c r="C7" i="19" s="1"/>
  <c r="H21" i="19"/>
  <c r="I21" i="19" s="1"/>
  <c r="J21" i="19" s="1"/>
  <c r="H11" i="19"/>
  <c r="H12" i="19"/>
  <c r="H18" i="19"/>
  <c r="H24" i="19"/>
  <c r="H14" i="19"/>
  <c r="H8" i="19"/>
  <c r="H10" i="19"/>
  <c r="B19" i="19"/>
  <c r="C19" i="19" s="1"/>
  <c r="B51" i="19"/>
  <c r="C51" i="19" s="1"/>
  <c r="D51" i="19" s="1"/>
  <c r="B24" i="19"/>
  <c r="C24" i="19" s="1"/>
  <c r="B10" i="19"/>
  <c r="B45" i="19"/>
  <c r="C45" i="19" s="1"/>
  <c r="D45" i="19" s="1"/>
  <c r="B35" i="19"/>
  <c r="C35" i="19" s="1"/>
  <c r="D35" i="19" s="1"/>
  <c r="B8" i="19"/>
  <c r="B40" i="19"/>
  <c r="C40" i="19" s="1"/>
  <c r="D40" i="19" s="1"/>
  <c r="B33" i="19"/>
  <c r="C33" i="19" s="1"/>
  <c r="D33" i="19" s="1"/>
  <c r="B31" i="19"/>
  <c r="C31" i="19" s="1"/>
  <c r="D31" i="19" s="1"/>
  <c r="B41" i="19"/>
  <c r="C41" i="19" s="1"/>
  <c r="D41" i="19" s="1"/>
  <c r="B36" i="19"/>
  <c r="C36" i="19" s="1"/>
  <c r="D36" i="19" s="1"/>
  <c r="B42" i="19"/>
  <c r="C42" i="19" s="1"/>
  <c r="D42" i="19" s="1"/>
  <c r="B15" i="19"/>
  <c r="C15" i="19" s="1"/>
  <c r="B47" i="19"/>
  <c r="C47" i="19" s="1"/>
  <c r="D47" i="19" s="1"/>
  <c r="B20" i="19"/>
  <c r="C20" i="19" s="1"/>
  <c r="B17" i="19"/>
  <c r="B29" i="19"/>
  <c r="C29" i="19" s="1"/>
  <c r="D29" i="19" s="1"/>
  <c r="B9" i="19"/>
  <c r="B23" i="19"/>
  <c r="C23" i="19" s="1"/>
  <c r="B39" i="19"/>
  <c r="C39" i="19" s="1"/>
  <c r="D39" i="19" s="1"/>
  <c r="B13" i="19"/>
  <c r="B12" i="19"/>
  <c r="C12" i="19" s="1"/>
  <c r="B28" i="19"/>
  <c r="C28" i="19" s="1"/>
  <c r="B44" i="19"/>
  <c r="C44" i="19" s="1"/>
  <c r="D44" i="19" s="1"/>
  <c r="B37" i="19"/>
  <c r="C37" i="19" s="1"/>
  <c r="D37" i="19" s="1"/>
  <c r="B18" i="19"/>
  <c r="C18" i="19" s="1"/>
  <c r="B21" i="19"/>
  <c r="C21" i="19" s="1"/>
  <c r="B11" i="19"/>
  <c r="B27" i="19"/>
  <c r="C27" i="19" s="1"/>
  <c r="B43" i="19"/>
  <c r="C43" i="19" s="1"/>
  <c r="D43" i="19" s="1"/>
  <c r="B25" i="19"/>
  <c r="C25" i="19" s="1"/>
  <c r="B16" i="19"/>
  <c r="C16" i="19" s="1"/>
  <c r="B32" i="19"/>
  <c r="C32" i="19" s="1"/>
  <c r="D32" i="19" s="1"/>
  <c r="B48" i="19"/>
  <c r="C48" i="19" s="1"/>
  <c r="D48" i="19" s="1"/>
  <c r="B49" i="19"/>
  <c r="C49" i="19" s="1"/>
  <c r="D49" i="19" s="1"/>
  <c r="B22" i="19"/>
  <c r="C22" i="19" s="1"/>
  <c r="B14" i="19"/>
  <c r="C14" i="19" s="1"/>
  <c r="B26" i="19"/>
  <c r="C26" i="19" s="1"/>
  <c r="B34" i="19"/>
  <c r="C34" i="19" s="1"/>
  <c r="D34" i="19" s="1"/>
  <c r="B38" i="19"/>
  <c r="C38" i="19" s="1"/>
  <c r="D38" i="19" s="1"/>
  <c r="B50" i="19"/>
  <c r="C50" i="19" s="1"/>
  <c r="D50" i="19" s="1"/>
  <c r="B30" i="19"/>
  <c r="C30" i="19" s="1"/>
  <c r="D30" i="19" s="1"/>
  <c r="C10" i="19"/>
  <c r="E6" i="7"/>
  <c r="F8" i="13"/>
  <c r="E7" i="12"/>
  <c r="F8" i="11"/>
  <c r="E7" i="10"/>
  <c r="F8" i="9"/>
  <c r="E7" i="8"/>
  <c r="E7" i="3"/>
  <c r="E7" i="2"/>
  <c r="H39" i="19" l="1"/>
  <c r="H27" i="19"/>
  <c r="H29" i="19"/>
  <c r="I29" i="19" s="1"/>
  <c r="J29" i="19" s="1"/>
  <c r="H46" i="19"/>
  <c r="H44" i="19"/>
  <c r="H33" i="19"/>
  <c r="H38" i="19"/>
  <c r="I38" i="19" s="1"/>
  <c r="H42" i="19"/>
  <c r="H40" i="19"/>
  <c r="H49" i="19"/>
  <c r="I49" i="19" s="1"/>
  <c r="H48" i="19"/>
  <c r="I48" i="19" s="1"/>
  <c r="H32" i="19"/>
  <c r="I32" i="19" s="1"/>
  <c r="H36" i="19"/>
  <c r="H34" i="19"/>
  <c r="I34" i="19" s="1"/>
  <c r="H51" i="19"/>
  <c r="I51" i="19" s="1"/>
  <c r="H35" i="19"/>
  <c r="I35" i="19" s="1"/>
  <c r="H28" i="19"/>
  <c r="H43" i="19"/>
  <c r="I43" i="19" s="1"/>
  <c r="H37" i="19"/>
  <c r="I37" i="19" s="1"/>
  <c r="H31" i="19"/>
  <c r="I31" i="19" s="1"/>
  <c r="J31" i="19" s="1"/>
  <c r="H50" i="19"/>
  <c r="H30" i="19"/>
  <c r="I30" i="19" s="1"/>
  <c r="J30" i="19" s="1"/>
  <c r="H20" i="19"/>
  <c r="I20" i="19" s="1"/>
  <c r="J20" i="19" s="1"/>
  <c r="H22" i="19"/>
  <c r="I22" i="19" s="1"/>
  <c r="J22" i="19" s="1"/>
  <c r="H25" i="19"/>
  <c r="H13" i="19"/>
  <c r="I13" i="19" s="1"/>
  <c r="J13" i="19" s="1"/>
  <c r="H23" i="19"/>
  <c r="I23" i="19" s="1"/>
  <c r="J23" i="19" s="1"/>
  <c r="H15" i="19"/>
  <c r="I15" i="19" s="1"/>
  <c r="J15" i="19" s="1"/>
  <c r="H16" i="19"/>
  <c r="I16" i="19" s="1"/>
  <c r="J16" i="19" s="1"/>
  <c r="H41" i="19"/>
  <c r="I41" i="19" s="1"/>
  <c r="H7" i="19"/>
  <c r="I7" i="19" s="1"/>
  <c r="J7" i="19" s="1"/>
  <c r="I42" i="19"/>
  <c r="I36" i="19"/>
  <c r="I14" i="19"/>
  <c r="J14" i="19" s="1"/>
  <c r="H19" i="19"/>
  <c r="I19" i="19" s="1"/>
  <c r="J19" i="19" s="1"/>
  <c r="I27" i="19"/>
  <c r="J27" i="19" s="1"/>
  <c r="H9" i="19"/>
  <c r="I9" i="19" s="1"/>
  <c r="J9" i="19" s="1"/>
  <c r="H47" i="19"/>
  <c r="I47" i="19" s="1"/>
  <c r="H45" i="19"/>
  <c r="I45" i="19" s="1"/>
  <c r="I10" i="19"/>
  <c r="J10" i="19" s="1"/>
  <c r="I24" i="19"/>
  <c r="J24" i="19" s="1"/>
  <c r="I50" i="19"/>
  <c r="I44" i="19"/>
  <c r="I46" i="19"/>
  <c r="I12" i="19"/>
  <c r="J12" i="19" s="1"/>
  <c r="I25" i="19"/>
  <c r="J25" i="19" s="1"/>
  <c r="I18" i="19"/>
  <c r="J18" i="19" s="1"/>
  <c r="I39" i="19"/>
  <c r="I11" i="19"/>
  <c r="J11" i="19" s="1"/>
  <c r="I8" i="19"/>
  <c r="J8" i="19" s="1"/>
  <c r="I28" i="19"/>
  <c r="J28" i="19" s="1"/>
  <c r="I33" i="19"/>
  <c r="I40" i="19"/>
  <c r="H26" i="19"/>
  <c r="I26" i="19" s="1"/>
  <c r="J26" i="19" s="1"/>
  <c r="C8" i="19"/>
  <c r="C17" i="19"/>
  <c r="C13" i="19"/>
  <c r="C9" i="19"/>
  <c r="C11" i="19"/>
  <c r="AB59" i="7"/>
  <c r="Y59" i="7"/>
  <c r="Z59" i="7"/>
  <c r="AC59" i="7"/>
  <c r="AD59" i="7"/>
  <c r="R59" i="7"/>
  <c r="T59" i="7"/>
  <c r="U59" i="7"/>
  <c r="V59" i="7"/>
  <c r="W59" i="7"/>
  <c r="L57" i="7"/>
  <c r="M57" i="7"/>
  <c r="N57" i="7"/>
  <c r="O57" i="7"/>
  <c r="P57" i="7"/>
  <c r="K58" i="7"/>
  <c r="M58" i="7"/>
  <c r="N58" i="7"/>
  <c r="O58" i="7"/>
  <c r="P58" i="7"/>
  <c r="L59" i="7"/>
  <c r="M59" i="7"/>
  <c r="N59" i="7"/>
  <c r="O59" i="7"/>
  <c r="P59" i="7"/>
  <c r="F11" i="13"/>
  <c r="E10" i="12"/>
  <c r="F11" i="11"/>
  <c r="L15" i="7"/>
  <c r="E10" i="10"/>
  <c r="F11" i="9"/>
  <c r="E10" i="8"/>
  <c r="E10" i="3"/>
  <c r="Q6" i="2"/>
  <c r="D13" i="5" s="1"/>
  <c r="G15" i="7"/>
  <c r="F15" i="7"/>
  <c r="E15" i="7"/>
  <c r="Q8" i="2"/>
  <c r="D15" i="5" s="1"/>
  <c r="Q7" i="2"/>
  <c r="D14" i="5" s="1"/>
  <c r="BH9" i="12"/>
  <c r="BH9" i="10"/>
  <c r="BH9" i="8"/>
  <c r="I34" i="5"/>
  <c r="C34" i="5"/>
  <c r="AB2" i="7"/>
  <c r="F37" i="14"/>
  <c r="C37" i="14"/>
  <c r="G12" i="14"/>
  <c r="G13" i="14"/>
  <c r="G14" i="14"/>
  <c r="G11" i="14"/>
  <c r="G10" i="14"/>
  <c r="G8" i="14"/>
  <c r="G7" i="14"/>
  <c r="C18" i="14" s="1"/>
  <c r="C7" i="14"/>
  <c r="C4" i="15"/>
  <c r="C5" i="15"/>
  <c r="C6" i="15"/>
  <c r="C7" i="15"/>
  <c r="C8" i="15"/>
  <c r="C9" i="15"/>
  <c r="C10" i="15"/>
  <c r="C11" i="15"/>
  <c r="C12" i="15"/>
  <c r="C13" i="15"/>
  <c r="C14" i="15"/>
  <c r="C15" i="15"/>
  <c r="C16" i="15"/>
  <c r="C17" i="15"/>
  <c r="C18" i="15"/>
  <c r="C19" i="15"/>
  <c r="C20" i="15"/>
  <c r="C21" i="15"/>
  <c r="C22" i="15"/>
  <c r="C23" i="15"/>
  <c r="C24" i="15"/>
  <c r="C25" i="15"/>
  <c r="C26" i="15"/>
  <c r="C27" i="15"/>
  <c r="C28" i="15"/>
  <c r="C29" i="15"/>
  <c r="C30" i="15"/>
  <c r="C31" i="15"/>
  <c r="C32" i="15"/>
  <c r="C33" i="15"/>
  <c r="C34" i="15"/>
  <c r="C35" i="15"/>
  <c r="C36" i="15"/>
  <c r="C37" i="15"/>
  <c r="C38" i="15"/>
  <c r="C39" i="15"/>
  <c r="C40" i="15"/>
  <c r="C41" i="15"/>
  <c r="C42" i="15"/>
  <c r="C43" i="15"/>
  <c r="C44" i="15"/>
  <c r="C45" i="15"/>
  <c r="C46" i="15"/>
  <c r="C47" i="15"/>
  <c r="C3" i="15"/>
  <c r="C15" i="6"/>
  <c r="C16" i="6"/>
  <c r="C17" i="6"/>
  <c r="C18" i="6"/>
  <c r="D22" i="19" s="1"/>
  <c r="C19" i="6"/>
  <c r="C20" i="6"/>
  <c r="C21" i="6"/>
  <c r="D21" i="19" s="1"/>
  <c r="C22" i="6"/>
  <c r="C23" i="6"/>
  <c r="C24" i="6"/>
  <c r="C25" i="6"/>
  <c r="C26" i="6"/>
  <c r="C27" i="6"/>
  <c r="C28" i="6"/>
  <c r="C29" i="6"/>
  <c r="C30" i="6"/>
  <c r="C31" i="6"/>
  <c r="C32" i="6"/>
  <c r="C33" i="6"/>
  <c r="C34" i="6"/>
  <c r="C35" i="6"/>
  <c r="C36" i="6"/>
  <c r="C37" i="6"/>
  <c r="C38" i="6"/>
  <c r="C39" i="6"/>
  <c r="C40" i="6"/>
  <c r="C41" i="6"/>
  <c r="C42" i="6"/>
  <c r="C43" i="6"/>
  <c r="C44" i="6"/>
  <c r="C45" i="6"/>
  <c r="C46" i="6"/>
  <c r="C47" i="6"/>
  <c r="C48" i="6"/>
  <c r="C49" i="6"/>
  <c r="C50" i="6"/>
  <c r="C51" i="6"/>
  <c r="C52" i="6"/>
  <c r="C53" i="6"/>
  <c r="C54" i="6"/>
  <c r="C55" i="6"/>
  <c r="C56" i="6"/>
  <c r="C57" i="6"/>
  <c r="C58" i="6"/>
  <c r="C14" i="6"/>
  <c r="R63" i="7"/>
  <c r="D63" i="7"/>
  <c r="AC16" i="7"/>
  <c r="AD16" i="7"/>
  <c r="AC17" i="7"/>
  <c r="AD17" i="7"/>
  <c r="AC18" i="7"/>
  <c r="AD18" i="7"/>
  <c r="AC19" i="7"/>
  <c r="AD19" i="7"/>
  <c r="AC20" i="7"/>
  <c r="AD20" i="7"/>
  <c r="AC21" i="7"/>
  <c r="AD21" i="7"/>
  <c r="AC22" i="7"/>
  <c r="AD22" i="7"/>
  <c r="AC23" i="7"/>
  <c r="AD23" i="7"/>
  <c r="AC24" i="7"/>
  <c r="AD24" i="7"/>
  <c r="AC25" i="7"/>
  <c r="AD25" i="7"/>
  <c r="AC26" i="7"/>
  <c r="AD26" i="7"/>
  <c r="AC27" i="7"/>
  <c r="AD27" i="7"/>
  <c r="AC28" i="7"/>
  <c r="AD28" i="7"/>
  <c r="AC29" i="7"/>
  <c r="AD29" i="7"/>
  <c r="AC30" i="7"/>
  <c r="AD30" i="7"/>
  <c r="AC31" i="7"/>
  <c r="AD31" i="7"/>
  <c r="AC32" i="7"/>
  <c r="AD32" i="7"/>
  <c r="AC33" i="7"/>
  <c r="AD33" i="7"/>
  <c r="AC34" i="7"/>
  <c r="AD34" i="7"/>
  <c r="AC35" i="7"/>
  <c r="AD35" i="7"/>
  <c r="AC36" i="7"/>
  <c r="AD36" i="7"/>
  <c r="AC37" i="7"/>
  <c r="AD37" i="7"/>
  <c r="AC38" i="7"/>
  <c r="AD38" i="7"/>
  <c r="AC39" i="7"/>
  <c r="AD39" i="7"/>
  <c r="AC40" i="7"/>
  <c r="AD40" i="7"/>
  <c r="AC41" i="7"/>
  <c r="AD41" i="7"/>
  <c r="AC42" i="7"/>
  <c r="AD42" i="7"/>
  <c r="AC43" i="7"/>
  <c r="AD43" i="7"/>
  <c r="AC44" i="7"/>
  <c r="AD44" i="7"/>
  <c r="AC45" i="7"/>
  <c r="AD45" i="7"/>
  <c r="AC46" i="7"/>
  <c r="AD46" i="7"/>
  <c r="AC47" i="7"/>
  <c r="AD47" i="7"/>
  <c r="AC48" i="7"/>
  <c r="AD48" i="7"/>
  <c r="AC49" i="7"/>
  <c r="AD49" i="7"/>
  <c r="AC50" i="7"/>
  <c r="AD50" i="7"/>
  <c r="AC51" i="7"/>
  <c r="AD51" i="7"/>
  <c r="AC52" i="7"/>
  <c r="AD52" i="7"/>
  <c r="AC53" i="7"/>
  <c r="AD53" i="7"/>
  <c r="AC54" i="7"/>
  <c r="AD54" i="7"/>
  <c r="AC55" i="7"/>
  <c r="AD55" i="7"/>
  <c r="AC56" i="7"/>
  <c r="AD56" i="7"/>
  <c r="AC57" i="7"/>
  <c r="AD57" i="7"/>
  <c r="AC58" i="7"/>
  <c r="AD58" i="7"/>
  <c r="AD15" i="7"/>
  <c r="AC15" i="7"/>
  <c r="V16" i="7"/>
  <c r="W16" i="7"/>
  <c r="V17" i="7"/>
  <c r="W17" i="7"/>
  <c r="V18" i="7"/>
  <c r="W18" i="7"/>
  <c r="V19" i="7"/>
  <c r="W19" i="7"/>
  <c r="V20" i="7"/>
  <c r="W20" i="7"/>
  <c r="V21" i="7"/>
  <c r="W21" i="7"/>
  <c r="V22" i="7"/>
  <c r="W22" i="7"/>
  <c r="V23" i="7"/>
  <c r="W23" i="7"/>
  <c r="V24" i="7"/>
  <c r="W24" i="7"/>
  <c r="V25" i="7"/>
  <c r="W25" i="7"/>
  <c r="V26" i="7"/>
  <c r="W26" i="7"/>
  <c r="V27" i="7"/>
  <c r="W27" i="7"/>
  <c r="V28" i="7"/>
  <c r="W28" i="7"/>
  <c r="V29" i="7"/>
  <c r="W29" i="7"/>
  <c r="V30" i="7"/>
  <c r="W30" i="7"/>
  <c r="V31" i="7"/>
  <c r="W31" i="7"/>
  <c r="V32" i="7"/>
  <c r="W32" i="7"/>
  <c r="V33" i="7"/>
  <c r="W33" i="7"/>
  <c r="V34" i="7"/>
  <c r="W34" i="7"/>
  <c r="V35" i="7"/>
  <c r="W35" i="7"/>
  <c r="V36" i="7"/>
  <c r="W36" i="7"/>
  <c r="V37" i="7"/>
  <c r="W37" i="7"/>
  <c r="V38" i="7"/>
  <c r="W38" i="7"/>
  <c r="V39" i="7"/>
  <c r="W39" i="7"/>
  <c r="V40" i="7"/>
  <c r="W40" i="7"/>
  <c r="V41" i="7"/>
  <c r="W41" i="7"/>
  <c r="V42" i="7"/>
  <c r="W42" i="7"/>
  <c r="V43" i="7"/>
  <c r="W43" i="7"/>
  <c r="V44" i="7"/>
  <c r="W44" i="7"/>
  <c r="V45" i="7"/>
  <c r="W45" i="7"/>
  <c r="V46" i="7"/>
  <c r="W46" i="7"/>
  <c r="V47" i="7"/>
  <c r="W47" i="7"/>
  <c r="V48" i="7"/>
  <c r="W48" i="7"/>
  <c r="V49" i="7"/>
  <c r="W49" i="7"/>
  <c r="V50" i="7"/>
  <c r="W50" i="7"/>
  <c r="V51" i="7"/>
  <c r="W51" i="7"/>
  <c r="V52" i="7"/>
  <c r="W52" i="7"/>
  <c r="V53" i="7"/>
  <c r="W53" i="7"/>
  <c r="V54" i="7"/>
  <c r="W54" i="7"/>
  <c r="V55" i="7"/>
  <c r="W55" i="7"/>
  <c r="V56" i="7"/>
  <c r="W56" i="7"/>
  <c r="V57" i="7"/>
  <c r="W57" i="7"/>
  <c r="V58" i="7"/>
  <c r="W58" i="7"/>
  <c r="W15" i="7"/>
  <c r="V15" i="7"/>
  <c r="O16" i="7"/>
  <c r="P16" i="7"/>
  <c r="O17" i="7"/>
  <c r="P17" i="7"/>
  <c r="O18" i="7"/>
  <c r="P18" i="7"/>
  <c r="O19" i="7"/>
  <c r="P19" i="7"/>
  <c r="O20" i="7"/>
  <c r="P20" i="7"/>
  <c r="O21" i="7"/>
  <c r="P21" i="7"/>
  <c r="O22" i="7"/>
  <c r="P22" i="7"/>
  <c r="O23" i="7"/>
  <c r="P23" i="7"/>
  <c r="O24" i="7"/>
  <c r="P24" i="7"/>
  <c r="O25" i="7"/>
  <c r="P25" i="7"/>
  <c r="O26" i="7"/>
  <c r="P26" i="7"/>
  <c r="O27" i="7"/>
  <c r="P27" i="7"/>
  <c r="O28" i="7"/>
  <c r="P28" i="7"/>
  <c r="O29" i="7"/>
  <c r="P29" i="7"/>
  <c r="O30" i="7"/>
  <c r="P30" i="7"/>
  <c r="O31" i="7"/>
  <c r="P31" i="7"/>
  <c r="O32" i="7"/>
  <c r="P32" i="7"/>
  <c r="O33" i="7"/>
  <c r="P33" i="7"/>
  <c r="O34" i="7"/>
  <c r="P34" i="7"/>
  <c r="O35" i="7"/>
  <c r="P35" i="7"/>
  <c r="O36" i="7"/>
  <c r="P36" i="7"/>
  <c r="O37" i="7"/>
  <c r="P37" i="7"/>
  <c r="O38" i="7"/>
  <c r="P38" i="7"/>
  <c r="O39" i="7"/>
  <c r="P39" i="7"/>
  <c r="O40" i="7"/>
  <c r="P40" i="7"/>
  <c r="O41" i="7"/>
  <c r="P41" i="7"/>
  <c r="O42" i="7"/>
  <c r="P42" i="7"/>
  <c r="O43" i="7"/>
  <c r="P43" i="7"/>
  <c r="O44" i="7"/>
  <c r="P44" i="7"/>
  <c r="O45" i="7"/>
  <c r="P45" i="7"/>
  <c r="O46" i="7"/>
  <c r="P46" i="7"/>
  <c r="O47" i="7"/>
  <c r="P47" i="7"/>
  <c r="O48" i="7"/>
  <c r="P48" i="7"/>
  <c r="O49" i="7"/>
  <c r="P49" i="7"/>
  <c r="O50" i="7"/>
  <c r="P50" i="7"/>
  <c r="O51" i="7"/>
  <c r="P51" i="7"/>
  <c r="O52" i="7"/>
  <c r="P52" i="7"/>
  <c r="O53" i="7"/>
  <c r="P53" i="7"/>
  <c r="O54" i="7"/>
  <c r="P54" i="7"/>
  <c r="O55" i="7"/>
  <c r="P55" i="7"/>
  <c r="O56" i="7"/>
  <c r="P56" i="7"/>
  <c r="P15" i="7"/>
  <c r="O15" i="7"/>
  <c r="AE68" i="13"/>
  <c r="I68" i="13"/>
  <c r="C63" i="13"/>
  <c r="AB58" i="7"/>
  <c r="AA58" i="7"/>
  <c r="C62" i="13"/>
  <c r="AB57" i="7"/>
  <c r="AA57" i="7"/>
  <c r="Y57" i="7"/>
  <c r="C61" i="13"/>
  <c r="AB56" i="7"/>
  <c r="AA56" i="7"/>
  <c r="Y56" i="7"/>
  <c r="C60" i="13"/>
  <c r="AB55" i="7"/>
  <c r="AA55" i="7"/>
  <c r="C59" i="13"/>
  <c r="AB54" i="7"/>
  <c r="AA54" i="7"/>
  <c r="C58" i="13"/>
  <c r="AB53" i="7"/>
  <c r="AA53" i="7"/>
  <c r="Z53" i="7"/>
  <c r="C57" i="13"/>
  <c r="AB52" i="7"/>
  <c r="AA52" i="7"/>
  <c r="Z52" i="7"/>
  <c r="C56" i="13"/>
  <c r="AB51" i="7"/>
  <c r="AA51" i="7"/>
  <c r="Z51" i="7"/>
  <c r="C55" i="13"/>
  <c r="AB50" i="7"/>
  <c r="AA50" i="7"/>
  <c r="Z50" i="7"/>
  <c r="C54" i="13"/>
  <c r="AB49" i="7"/>
  <c r="AA49" i="7"/>
  <c r="Z49" i="7"/>
  <c r="C53" i="13"/>
  <c r="AB48" i="7"/>
  <c r="AA48" i="7"/>
  <c r="Z48" i="7"/>
  <c r="C52" i="13"/>
  <c r="AB47" i="7"/>
  <c r="AA47" i="7"/>
  <c r="Z47" i="7"/>
  <c r="C51" i="13"/>
  <c r="AB46" i="7"/>
  <c r="AA46" i="7"/>
  <c r="Z46" i="7"/>
  <c r="C50" i="13"/>
  <c r="AB45" i="7"/>
  <c r="AA45" i="7"/>
  <c r="Z45" i="7"/>
  <c r="Y45" i="7"/>
  <c r="C49" i="13"/>
  <c r="AB44" i="7"/>
  <c r="AA44" i="7"/>
  <c r="Z44" i="7"/>
  <c r="C48" i="13"/>
  <c r="AB43" i="7"/>
  <c r="AA43" i="7"/>
  <c r="Z43" i="7"/>
  <c r="C47" i="13"/>
  <c r="AB42" i="7"/>
  <c r="AA42" i="7"/>
  <c r="Z42" i="7"/>
  <c r="C46" i="13"/>
  <c r="AB41" i="7"/>
  <c r="AA41" i="7"/>
  <c r="Z41" i="7"/>
  <c r="C45" i="13"/>
  <c r="AB40" i="7"/>
  <c r="AA40" i="7"/>
  <c r="Z40" i="7"/>
  <c r="C44" i="13"/>
  <c r="AB39" i="7"/>
  <c r="AA39" i="7"/>
  <c r="Z39" i="7"/>
  <c r="C43" i="13"/>
  <c r="AB38" i="7"/>
  <c r="AA38" i="7"/>
  <c r="Z38" i="7"/>
  <c r="C42" i="13"/>
  <c r="AB37" i="7"/>
  <c r="AA37" i="7"/>
  <c r="Z37" i="7"/>
  <c r="C41" i="13"/>
  <c r="AB36" i="7"/>
  <c r="AA36" i="7"/>
  <c r="Z36" i="7"/>
  <c r="C40" i="13"/>
  <c r="AB35" i="7"/>
  <c r="AA35" i="7"/>
  <c r="Z35" i="7"/>
  <c r="C39" i="13"/>
  <c r="AB34" i="7"/>
  <c r="AA34" i="7"/>
  <c r="Z34" i="7"/>
  <c r="C38" i="13"/>
  <c r="AB33" i="7"/>
  <c r="AA33" i="7"/>
  <c r="Z33" i="7"/>
  <c r="C37" i="13"/>
  <c r="AB32" i="7"/>
  <c r="AA32" i="7"/>
  <c r="Z32" i="7"/>
  <c r="C36" i="13"/>
  <c r="AB31" i="7"/>
  <c r="AA31" i="7"/>
  <c r="Z31" i="7"/>
  <c r="C35" i="13"/>
  <c r="AB30" i="7"/>
  <c r="AA30" i="7"/>
  <c r="Z30" i="7"/>
  <c r="C34" i="13"/>
  <c r="AB29" i="7"/>
  <c r="AA29" i="7"/>
  <c r="Z29" i="7"/>
  <c r="C33" i="13"/>
  <c r="AB28" i="7"/>
  <c r="AA28" i="7"/>
  <c r="Z28" i="7"/>
  <c r="C32" i="13"/>
  <c r="AB27" i="7"/>
  <c r="AA27" i="7"/>
  <c r="Z27" i="7"/>
  <c r="C31" i="13"/>
  <c r="AB26" i="7"/>
  <c r="AA26" i="7"/>
  <c r="Z26" i="7"/>
  <c r="C30" i="13"/>
  <c r="AB25" i="7"/>
  <c r="AA25" i="7"/>
  <c r="Z25" i="7"/>
  <c r="C29" i="13"/>
  <c r="AB24" i="7"/>
  <c r="AA24" i="7"/>
  <c r="Z24" i="7"/>
  <c r="C28" i="13"/>
  <c r="AB23" i="7"/>
  <c r="AA23" i="7"/>
  <c r="Z23" i="7"/>
  <c r="C27" i="13"/>
  <c r="AB22" i="7"/>
  <c r="AA22" i="7"/>
  <c r="Z22" i="7"/>
  <c r="C26" i="13"/>
  <c r="AB21" i="7"/>
  <c r="AA21" i="7"/>
  <c r="Z21" i="7"/>
  <c r="C25" i="13"/>
  <c r="AB20" i="7"/>
  <c r="AA20" i="7"/>
  <c r="Z20" i="7"/>
  <c r="C24" i="13"/>
  <c r="AB19" i="7"/>
  <c r="AA19" i="7"/>
  <c r="Z19" i="7"/>
  <c r="C23" i="13"/>
  <c r="AB18" i="7"/>
  <c r="AA18" i="7"/>
  <c r="Z18" i="7"/>
  <c r="C22" i="13"/>
  <c r="AB17" i="7"/>
  <c r="AA17" i="7"/>
  <c r="Z17" i="7"/>
  <c r="C21" i="13"/>
  <c r="AB16" i="7"/>
  <c r="AA16" i="7"/>
  <c r="Z16" i="7"/>
  <c r="C20" i="13"/>
  <c r="AB15" i="7"/>
  <c r="AA15" i="7"/>
  <c r="Z15" i="7"/>
  <c r="C19" i="13"/>
  <c r="F12" i="13"/>
  <c r="AD10" i="13"/>
  <c r="AY8" i="13" s="1"/>
  <c r="F10" i="13"/>
  <c r="F9" i="13"/>
  <c r="F7" i="13"/>
  <c r="F6" i="13"/>
  <c r="E63" i="12"/>
  <c r="BJ59" i="12"/>
  <c r="BI59" i="12"/>
  <c r="BH59" i="12"/>
  <c r="BG59" i="12"/>
  <c r="C59" i="12"/>
  <c r="BJ58" i="12"/>
  <c r="BI58" i="12"/>
  <c r="BH58" i="12"/>
  <c r="BG58" i="12"/>
  <c r="BK58" i="12" s="1"/>
  <c r="C58" i="12"/>
  <c r="BJ57" i="12"/>
  <c r="BI57" i="12"/>
  <c r="BH57" i="12"/>
  <c r="BG57" i="12"/>
  <c r="C57" i="12"/>
  <c r="BJ56" i="12"/>
  <c r="BI56" i="12"/>
  <c r="BH56" i="12"/>
  <c r="BG56" i="12"/>
  <c r="C56" i="12"/>
  <c r="BJ55" i="12"/>
  <c r="BI55" i="12"/>
  <c r="BH55" i="12"/>
  <c r="BG55" i="12"/>
  <c r="C55" i="12"/>
  <c r="BJ54" i="12"/>
  <c r="BI54" i="12"/>
  <c r="BH54" i="12"/>
  <c r="BG54" i="12"/>
  <c r="C54" i="12"/>
  <c r="BJ53" i="12"/>
  <c r="BI53" i="12"/>
  <c r="BH53" i="12"/>
  <c r="BG53" i="12"/>
  <c r="C53" i="12"/>
  <c r="BJ52" i="12"/>
  <c r="BI52" i="12"/>
  <c r="BH52" i="12"/>
  <c r="BG52" i="12"/>
  <c r="C52" i="12"/>
  <c r="BJ51" i="12"/>
  <c r="BI51" i="12"/>
  <c r="BH51" i="12"/>
  <c r="BG51" i="12"/>
  <c r="C51" i="12"/>
  <c r="BJ50" i="12"/>
  <c r="BI50" i="12"/>
  <c r="BH50" i="12"/>
  <c r="BG50" i="12"/>
  <c r="C50" i="12"/>
  <c r="BJ49" i="12"/>
  <c r="BI49" i="12"/>
  <c r="BH49" i="12"/>
  <c r="BG49" i="12"/>
  <c r="C49" i="12"/>
  <c r="BJ48" i="12"/>
  <c r="BI48" i="12"/>
  <c r="BH48" i="12"/>
  <c r="BG48" i="12"/>
  <c r="C48" i="12"/>
  <c r="BJ47" i="12"/>
  <c r="BI47" i="12"/>
  <c r="BH47" i="12"/>
  <c r="BG47" i="12"/>
  <c r="C47" i="12"/>
  <c r="BJ46" i="12"/>
  <c r="BI46" i="12"/>
  <c r="BH46" i="12"/>
  <c r="BG46" i="12"/>
  <c r="C46" i="12"/>
  <c r="BJ45" i="12"/>
  <c r="BI45" i="12"/>
  <c r="BH45" i="12"/>
  <c r="BG45" i="12"/>
  <c r="C45" i="12"/>
  <c r="BJ44" i="12"/>
  <c r="BI44" i="12"/>
  <c r="BH44" i="12"/>
  <c r="BG44" i="12"/>
  <c r="C44" i="12"/>
  <c r="BJ43" i="12"/>
  <c r="BI43" i="12"/>
  <c r="BH43" i="12"/>
  <c r="BG43" i="12"/>
  <c r="C43" i="12"/>
  <c r="BJ42" i="12"/>
  <c r="BI42" i="12"/>
  <c r="BH42" i="12"/>
  <c r="BG42" i="12"/>
  <c r="C42" i="12"/>
  <c r="BJ41" i="12"/>
  <c r="BI41" i="12"/>
  <c r="BH41" i="12"/>
  <c r="BG41" i="12"/>
  <c r="C41" i="12"/>
  <c r="BJ40" i="12"/>
  <c r="BI40" i="12"/>
  <c r="BH40" i="12"/>
  <c r="BG40" i="12"/>
  <c r="C40" i="12"/>
  <c r="BJ39" i="12"/>
  <c r="BI39" i="12"/>
  <c r="BH39" i="12"/>
  <c r="BG39" i="12"/>
  <c r="C39" i="12"/>
  <c r="BJ38" i="12"/>
  <c r="BI38" i="12"/>
  <c r="BH38" i="12"/>
  <c r="BG38" i="12"/>
  <c r="C38" i="12"/>
  <c r="BJ37" i="12"/>
  <c r="BI37" i="12"/>
  <c r="BH37" i="12"/>
  <c r="BG37" i="12"/>
  <c r="C37" i="12"/>
  <c r="BJ36" i="12"/>
  <c r="BI36" i="12"/>
  <c r="BH36" i="12"/>
  <c r="BG36" i="12"/>
  <c r="C36" i="12"/>
  <c r="BJ35" i="12"/>
  <c r="BI35" i="12"/>
  <c r="BH35" i="12"/>
  <c r="BG35" i="12"/>
  <c r="C35" i="12"/>
  <c r="BJ34" i="12"/>
  <c r="BI34" i="12"/>
  <c r="BH34" i="12"/>
  <c r="BG34" i="12"/>
  <c r="C34" i="12"/>
  <c r="BJ33" i="12"/>
  <c r="BI33" i="12"/>
  <c r="BH33" i="12"/>
  <c r="BG33" i="12"/>
  <c r="C33" i="12"/>
  <c r="BJ32" i="12"/>
  <c r="BI32" i="12"/>
  <c r="BH32" i="12"/>
  <c r="BG32" i="12"/>
  <c r="C32" i="12"/>
  <c r="BJ31" i="12"/>
  <c r="BI31" i="12"/>
  <c r="BH31" i="12"/>
  <c r="BG31" i="12"/>
  <c r="C31" i="12"/>
  <c r="BJ30" i="12"/>
  <c r="BI30" i="12"/>
  <c r="BH30" i="12"/>
  <c r="BG30" i="12"/>
  <c r="C30" i="12"/>
  <c r="BJ29" i="12"/>
  <c r="BI29" i="12"/>
  <c r="BH29" i="12"/>
  <c r="BG29" i="12"/>
  <c r="C29" i="12"/>
  <c r="BJ28" i="12"/>
  <c r="BI28" i="12"/>
  <c r="BH28" i="12"/>
  <c r="BG28" i="12"/>
  <c r="C28" i="12"/>
  <c r="BJ27" i="12"/>
  <c r="BI27" i="12"/>
  <c r="BH27" i="12"/>
  <c r="BG27" i="12"/>
  <c r="C27" i="12"/>
  <c r="BJ26" i="12"/>
  <c r="BI26" i="12"/>
  <c r="BH26" i="12"/>
  <c r="BG26" i="12"/>
  <c r="C26" i="12"/>
  <c r="BJ25" i="12"/>
  <c r="BI25" i="12"/>
  <c r="BH25" i="12"/>
  <c r="BG25" i="12"/>
  <c r="C25" i="12"/>
  <c r="BJ24" i="12"/>
  <c r="BI24" i="12"/>
  <c r="BH24" i="12"/>
  <c r="BG24" i="12"/>
  <c r="C24" i="12"/>
  <c r="BJ23" i="12"/>
  <c r="BI23" i="12"/>
  <c r="BH23" i="12"/>
  <c r="BG23" i="12"/>
  <c r="C23" i="12"/>
  <c r="BJ22" i="12"/>
  <c r="BI22" i="12"/>
  <c r="BH22" i="12"/>
  <c r="BG22" i="12"/>
  <c r="C22" i="12"/>
  <c r="BJ21" i="12"/>
  <c r="BI21" i="12"/>
  <c r="BH21" i="12"/>
  <c r="BG21" i="12"/>
  <c r="C21" i="12"/>
  <c r="BJ20" i="12"/>
  <c r="BI20" i="12"/>
  <c r="BH20" i="12"/>
  <c r="BG20" i="12"/>
  <c r="C20" i="12"/>
  <c r="BJ19" i="12"/>
  <c r="BI19" i="12"/>
  <c r="BH19" i="12"/>
  <c r="BG19" i="12"/>
  <c r="C19" i="12"/>
  <c r="BJ18" i="12"/>
  <c r="BI18" i="12"/>
  <c r="BH18" i="12"/>
  <c r="BG18" i="12"/>
  <c r="C18" i="12"/>
  <c r="BJ17" i="12"/>
  <c r="BI17" i="12"/>
  <c r="BH17" i="12"/>
  <c r="BG17" i="12"/>
  <c r="C17" i="12"/>
  <c r="BJ16" i="12"/>
  <c r="BI16" i="12"/>
  <c r="BH16" i="12"/>
  <c r="BG16" i="12"/>
  <c r="C16" i="12"/>
  <c r="BJ15" i="12"/>
  <c r="BI15" i="12"/>
  <c r="BK15" i="12" s="1"/>
  <c r="C15" i="12"/>
  <c r="E11" i="12"/>
  <c r="E9" i="12"/>
  <c r="E8" i="12"/>
  <c r="E6" i="12"/>
  <c r="E5" i="12"/>
  <c r="AE68" i="11"/>
  <c r="I68" i="11"/>
  <c r="C63" i="11"/>
  <c r="U58" i="7"/>
  <c r="T58" i="7"/>
  <c r="R58" i="7"/>
  <c r="C62" i="11"/>
  <c r="U57" i="7"/>
  <c r="T57" i="7"/>
  <c r="C61" i="11"/>
  <c r="U56" i="7"/>
  <c r="T56" i="7"/>
  <c r="S56" i="7"/>
  <c r="C60" i="11"/>
  <c r="U55" i="7"/>
  <c r="T55" i="7"/>
  <c r="S55" i="7"/>
  <c r="C59" i="11"/>
  <c r="U54" i="7"/>
  <c r="T54" i="7"/>
  <c r="S54" i="7"/>
  <c r="C58" i="11"/>
  <c r="U53" i="7"/>
  <c r="T53" i="7"/>
  <c r="S53" i="7"/>
  <c r="C57" i="11"/>
  <c r="U52" i="7"/>
  <c r="T52" i="7"/>
  <c r="S52" i="7"/>
  <c r="C56" i="11"/>
  <c r="U51" i="7"/>
  <c r="T51" i="7"/>
  <c r="S51" i="7"/>
  <c r="C55" i="11"/>
  <c r="U50" i="7"/>
  <c r="T50" i="7"/>
  <c r="S50" i="7"/>
  <c r="C54" i="11"/>
  <c r="U49" i="7"/>
  <c r="T49" i="7"/>
  <c r="S49" i="7"/>
  <c r="C53" i="11"/>
  <c r="U48" i="7"/>
  <c r="T48" i="7"/>
  <c r="S48" i="7"/>
  <c r="C52" i="11"/>
  <c r="U47" i="7"/>
  <c r="T47" i="7"/>
  <c r="S47" i="7"/>
  <c r="C51" i="11"/>
  <c r="U46" i="7"/>
  <c r="T46" i="7"/>
  <c r="S46" i="7"/>
  <c r="C50" i="11"/>
  <c r="U45" i="7"/>
  <c r="T45" i="7"/>
  <c r="S45" i="7"/>
  <c r="C49" i="11"/>
  <c r="U44" i="7"/>
  <c r="T44" i="7"/>
  <c r="S44" i="7"/>
  <c r="C48" i="11"/>
  <c r="U43" i="7"/>
  <c r="T43" i="7"/>
  <c r="S43" i="7"/>
  <c r="C47" i="11"/>
  <c r="U42" i="7"/>
  <c r="T42" i="7"/>
  <c r="S42" i="7"/>
  <c r="C46" i="11"/>
  <c r="U41" i="7"/>
  <c r="T41" i="7"/>
  <c r="S41" i="7"/>
  <c r="C45" i="11"/>
  <c r="U40" i="7"/>
  <c r="T40" i="7"/>
  <c r="S40" i="7"/>
  <c r="C44" i="11"/>
  <c r="U39" i="7"/>
  <c r="T39" i="7"/>
  <c r="S39" i="7"/>
  <c r="C43" i="11"/>
  <c r="U38" i="7"/>
  <c r="T38" i="7"/>
  <c r="S38" i="7"/>
  <c r="C42" i="11"/>
  <c r="U37" i="7"/>
  <c r="T37" i="7"/>
  <c r="S37" i="7"/>
  <c r="C41" i="11"/>
  <c r="U36" i="7"/>
  <c r="T36" i="7"/>
  <c r="S36" i="7"/>
  <c r="C40" i="11"/>
  <c r="U35" i="7"/>
  <c r="T35" i="7"/>
  <c r="S35" i="7"/>
  <c r="C39" i="11"/>
  <c r="U34" i="7"/>
  <c r="T34" i="7"/>
  <c r="S34" i="7"/>
  <c r="C38" i="11"/>
  <c r="U33" i="7"/>
  <c r="T33" i="7"/>
  <c r="S33" i="7"/>
  <c r="C37" i="11"/>
  <c r="U32" i="7"/>
  <c r="T32" i="7"/>
  <c r="S32" i="7"/>
  <c r="C36" i="11"/>
  <c r="U31" i="7"/>
  <c r="T31" i="7"/>
  <c r="S31" i="7"/>
  <c r="C35" i="11"/>
  <c r="U30" i="7"/>
  <c r="T30" i="7"/>
  <c r="S30" i="7"/>
  <c r="C34" i="11"/>
  <c r="U29" i="7"/>
  <c r="T29" i="7"/>
  <c r="S29" i="7"/>
  <c r="C33" i="11"/>
  <c r="U28" i="7"/>
  <c r="T28" i="7"/>
  <c r="S28" i="7"/>
  <c r="C32" i="11"/>
  <c r="U27" i="7"/>
  <c r="T27" i="7"/>
  <c r="S27" i="7"/>
  <c r="C31" i="11"/>
  <c r="U26" i="7"/>
  <c r="T26" i="7"/>
  <c r="C30" i="11"/>
  <c r="U25" i="7"/>
  <c r="T25" i="7"/>
  <c r="C29" i="11"/>
  <c r="U24" i="7"/>
  <c r="T24" i="7"/>
  <c r="C28" i="11"/>
  <c r="U23" i="7"/>
  <c r="T23" i="7"/>
  <c r="S23" i="7"/>
  <c r="C27" i="11"/>
  <c r="U22" i="7"/>
  <c r="T22" i="7"/>
  <c r="C26" i="11"/>
  <c r="U21" i="7"/>
  <c r="T21" i="7"/>
  <c r="S21" i="7"/>
  <c r="C25" i="11"/>
  <c r="U20" i="7"/>
  <c r="T20" i="7"/>
  <c r="C24" i="11"/>
  <c r="U19" i="7"/>
  <c r="T19" i="7"/>
  <c r="C23" i="11"/>
  <c r="U18" i="7"/>
  <c r="T18" i="7"/>
  <c r="S18" i="7"/>
  <c r="C22" i="11"/>
  <c r="U17" i="7"/>
  <c r="T17" i="7"/>
  <c r="S17" i="7"/>
  <c r="C21" i="11"/>
  <c r="U16" i="7"/>
  <c r="T16" i="7"/>
  <c r="S16" i="7"/>
  <c r="C20" i="11"/>
  <c r="U15" i="7"/>
  <c r="T15" i="7"/>
  <c r="S15" i="7"/>
  <c r="C19" i="11"/>
  <c r="F12" i="11"/>
  <c r="AD10" i="11"/>
  <c r="AY8" i="11" s="1"/>
  <c r="F10" i="11"/>
  <c r="F9" i="11"/>
  <c r="F7" i="11"/>
  <c r="F6" i="11"/>
  <c r="E63" i="10"/>
  <c r="BJ59" i="10"/>
  <c r="BI59" i="10"/>
  <c r="BH59" i="10"/>
  <c r="BG59" i="10"/>
  <c r="C59" i="10"/>
  <c r="BJ58" i="10"/>
  <c r="BI58" i="10"/>
  <c r="BH58" i="10"/>
  <c r="BG58" i="10"/>
  <c r="BK58" i="10" s="1"/>
  <c r="C58" i="10"/>
  <c r="BJ57" i="10"/>
  <c r="BI57" i="10"/>
  <c r="BH57" i="10"/>
  <c r="BG57" i="10"/>
  <c r="C57" i="10"/>
  <c r="BJ56" i="10"/>
  <c r="BI56" i="10"/>
  <c r="BH56" i="10"/>
  <c r="BG56" i="10"/>
  <c r="C56" i="10"/>
  <c r="BJ55" i="10"/>
  <c r="BI55" i="10"/>
  <c r="BH55" i="10"/>
  <c r="BG55" i="10"/>
  <c r="C55" i="10"/>
  <c r="BJ54" i="10"/>
  <c r="BI54" i="10"/>
  <c r="BH54" i="10"/>
  <c r="BG54" i="10"/>
  <c r="BK54" i="10" s="1"/>
  <c r="C54" i="10"/>
  <c r="BJ53" i="10"/>
  <c r="BI53" i="10"/>
  <c r="BH53" i="10"/>
  <c r="BG53" i="10"/>
  <c r="C53" i="10"/>
  <c r="BJ52" i="10"/>
  <c r="BI52" i="10"/>
  <c r="BH52" i="10"/>
  <c r="BG52" i="10"/>
  <c r="C52" i="10"/>
  <c r="BJ51" i="10"/>
  <c r="BI51" i="10"/>
  <c r="BH51" i="10"/>
  <c r="BG51" i="10"/>
  <c r="C51" i="10"/>
  <c r="BJ50" i="10"/>
  <c r="BI50" i="10"/>
  <c r="BH50" i="10"/>
  <c r="BG50" i="10"/>
  <c r="C50" i="10"/>
  <c r="BJ49" i="10"/>
  <c r="BI49" i="10"/>
  <c r="BH49" i="10"/>
  <c r="BG49" i="10"/>
  <c r="C49" i="10"/>
  <c r="BJ48" i="10"/>
  <c r="BI48" i="10"/>
  <c r="BK48" i="10" s="1"/>
  <c r="BH48" i="10"/>
  <c r="BG48" i="10"/>
  <c r="C48" i="10"/>
  <c r="BJ47" i="10"/>
  <c r="BI47" i="10"/>
  <c r="BH47" i="10"/>
  <c r="BG47" i="10"/>
  <c r="C47" i="10"/>
  <c r="BJ46" i="10"/>
  <c r="BI46" i="10"/>
  <c r="BH46" i="10"/>
  <c r="BG46" i="10"/>
  <c r="BK46" i="10" s="1"/>
  <c r="C46" i="10"/>
  <c r="BJ45" i="10"/>
  <c r="BI45" i="10"/>
  <c r="BH45" i="10"/>
  <c r="BG45" i="10"/>
  <c r="C45" i="10"/>
  <c r="BJ44" i="10"/>
  <c r="BI44" i="10"/>
  <c r="BH44" i="10"/>
  <c r="BG44" i="10"/>
  <c r="C44" i="10"/>
  <c r="BJ43" i="10"/>
  <c r="BI43" i="10"/>
  <c r="BH43" i="10"/>
  <c r="BG43" i="10"/>
  <c r="C43" i="10"/>
  <c r="BJ42" i="10"/>
  <c r="BI42" i="10"/>
  <c r="BH42" i="10"/>
  <c r="BG42" i="10"/>
  <c r="C42" i="10"/>
  <c r="BJ41" i="10"/>
  <c r="BI41" i="10"/>
  <c r="BH41" i="10"/>
  <c r="BG41" i="10"/>
  <c r="C41" i="10"/>
  <c r="BJ40" i="10"/>
  <c r="BI40" i="10"/>
  <c r="BH40" i="10"/>
  <c r="BG40" i="10"/>
  <c r="C40" i="10"/>
  <c r="BJ39" i="10"/>
  <c r="BI39" i="10"/>
  <c r="BH39" i="10"/>
  <c r="BG39" i="10"/>
  <c r="C39" i="10"/>
  <c r="BJ38" i="10"/>
  <c r="BI38" i="10"/>
  <c r="BH38" i="10"/>
  <c r="BG38" i="10"/>
  <c r="BK38" i="10" s="1"/>
  <c r="C38" i="10"/>
  <c r="BJ37" i="10"/>
  <c r="BI37" i="10"/>
  <c r="BH37" i="10"/>
  <c r="BG37" i="10"/>
  <c r="C37" i="10"/>
  <c r="BJ36" i="10"/>
  <c r="BI36" i="10"/>
  <c r="BH36" i="10"/>
  <c r="BG36" i="10"/>
  <c r="C36" i="10"/>
  <c r="BJ35" i="10"/>
  <c r="BI35" i="10"/>
  <c r="BH35" i="10"/>
  <c r="BG35" i="10"/>
  <c r="C35" i="10"/>
  <c r="BJ34" i="10"/>
  <c r="BI34" i="10"/>
  <c r="BH34" i="10"/>
  <c r="BG34" i="10"/>
  <c r="BK34" i="10" s="1"/>
  <c r="C34" i="10"/>
  <c r="BJ33" i="10"/>
  <c r="BI33" i="10"/>
  <c r="BH33" i="10"/>
  <c r="BG33" i="10"/>
  <c r="C33" i="10"/>
  <c r="BJ32" i="10"/>
  <c r="BI32" i="10"/>
  <c r="BH32" i="10"/>
  <c r="BG32" i="10"/>
  <c r="C32" i="10"/>
  <c r="BJ31" i="10"/>
  <c r="BI31" i="10"/>
  <c r="BH31" i="10"/>
  <c r="BG31" i="10"/>
  <c r="C31" i="10"/>
  <c r="BJ30" i="10"/>
  <c r="BI30" i="10"/>
  <c r="BH30" i="10"/>
  <c r="BG30" i="10"/>
  <c r="C30" i="10"/>
  <c r="BJ29" i="10"/>
  <c r="BI29" i="10"/>
  <c r="BH29" i="10"/>
  <c r="BG29" i="10"/>
  <c r="C29" i="10"/>
  <c r="BJ28" i="10"/>
  <c r="BI28" i="10"/>
  <c r="BH28" i="10"/>
  <c r="BG28" i="10"/>
  <c r="C28" i="10"/>
  <c r="BJ27" i="10"/>
  <c r="BI27" i="10"/>
  <c r="BH27" i="10"/>
  <c r="BG27" i="10"/>
  <c r="C27" i="10"/>
  <c r="BJ26" i="10"/>
  <c r="BI26" i="10"/>
  <c r="BH26" i="10"/>
  <c r="BG26" i="10"/>
  <c r="BK26" i="10" s="1"/>
  <c r="C26" i="10"/>
  <c r="BJ25" i="10"/>
  <c r="BI25" i="10"/>
  <c r="BH25" i="10"/>
  <c r="BG25" i="10"/>
  <c r="C25" i="10"/>
  <c r="BJ24" i="10"/>
  <c r="BI24" i="10"/>
  <c r="BH24" i="10"/>
  <c r="BG24" i="10"/>
  <c r="C24" i="10"/>
  <c r="BJ23" i="10"/>
  <c r="BI23" i="10"/>
  <c r="BH23" i="10"/>
  <c r="BG23" i="10"/>
  <c r="C23" i="10"/>
  <c r="BJ22" i="10"/>
  <c r="BI22" i="10"/>
  <c r="BH22" i="10"/>
  <c r="BG22" i="10"/>
  <c r="C22" i="10"/>
  <c r="BJ21" i="10"/>
  <c r="BI21" i="10"/>
  <c r="BH21" i="10"/>
  <c r="BG21" i="10"/>
  <c r="C21" i="10"/>
  <c r="BJ20" i="10"/>
  <c r="BI20" i="10"/>
  <c r="BH20" i="10"/>
  <c r="BG20" i="10"/>
  <c r="C20" i="10"/>
  <c r="BJ19" i="10"/>
  <c r="BI19" i="10"/>
  <c r="BH19" i="10"/>
  <c r="BG19" i="10"/>
  <c r="C19" i="10"/>
  <c r="BJ18" i="10"/>
  <c r="BI18" i="10"/>
  <c r="BH18" i="10"/>
  <c r="BG18" i="10"/>
  <c r="C18" i="10"/>
  <c r="BJ17" i="10"/>
  <c r="BI17" i="10"/>
  <c r="BH17" i="10"/>
  <c r="BG17" i="10"/>
  <c r="C17" i="10"/>
  <c r="BJ16" i="10"/>
  <c r="BI16" i="10"/>
  <c r="BH16" i="10"/>
  <c r="BG16" i="10"/>
  <c r="C16" i="10"/>
  <c r="BJ15" i="10"/>
  <c r="BI15" i="10"/>
  <c r="BH15" i="10"/>
  <c r="BG15" i="10"/>
  <c r="C15" i="10"/>
  <c r="E11" i="10"/>
  <c r="E9" i="10"/>
  <c r="E8" i="10"/>
  <c r="E6" i="10"/>
  <c r="E5" i="10"/>
  <c r="Z56" i="7"/>
  <c r="Z57" i="7"/>
  <c r="Z54" i="7"/>
  <c r="Y54" i="7"/>
  <c r="Z58" i="7"/>
  <c r="Y58" i="7"/>
  <c r="Z55" i="7"/>
  <c r="Y55" i="7"/>
  <c r="Y17" i="7"/>
  <c r="Y21" i="7"/>
  <c r="Y25" i="7"/>
  <c r="Y29" i="7"/>
  <c r="Y33" i="7"/>
  <c r="Y37" i="7"/>
  <c r="Y41" i="7"/>
  <c r="Y49" i="7"/>
  <c r="Y53" i="7"/>
  <c r="Y22" i="7"/>
  <c r="Y15" i="7"/>
  <c r="Y19" i="7"/>
  <c r="Y23" i="7"/>
  <c r="Y35" i="7"/>
  <c r="Y16" i="7"/>
  <c r="Y18" i="7"/>
  <c r="Y20" i="7"/>
  <c r="Y24" i="7"/>
  <c r="Y27" i="7"/>
  <c r="Y28" i="7"/>
  <c r="Y30" i="7"/>
  <c r="Y31" i="7"/>
  <c r="Y32" i="7"/>
  <c r="Y34" i="7"/>
  <c r="Y36" i="7"/>
  <c r="Y38" i="7"/>
  <c r="Y39" i="7"/>
  <c r="Y40" i="7"/>
  <c r="Y42" i="7"/>
  <c r="Y43" i="7"/>
  <c r="Y44" i="7"/>
  <c r="Y46" i="7"/>
  <c r="Y47" i="7"/>
  <c r="Y48" i="7"/>
  <c r="Y50" i="7"/>
  <c r="Y51" i="7"/>
  <c r="Y52" i="7"/>
  <c r="S57" i="7"/>
  <c r="R57" i="7"/>
  <c r="S58" i="7"/>
  <c r="R24" i="7"/>
  <c r="R17" i="7"/>
  <c r="R21" i="7"/>
  <c r="R18" i="7"/>
  <c r="R22" i="7"/>
  <c r="R26" i="7"/>
  <c r="R30" i="7"/>
  <c r="R34" i="7"/>
  <c r="R38" i="7"/>
  <c r="R42" i="7"/>
  <c r="R46" i="7"/>
  <c r="R50" i="7"/>
  <c r="R15" i="7"/>
  <c r="R19" i="7"/>
  <c r="R20" i="7"/>
  <c r="R23" i="7"/>
  <c r="R25" i="7"/>
  <c r="R27" i="7"/>
  <c r="R28" i="7"/>
  <c r="R31" i="7"/>
  <c r="R32" i="7"/>
  <c r="R33" i="7"/>
  <c r="R35" i="7"/>
  <c r="R36" i="7"/>
  <c r="R37" i="7"/>
  <c r="R39" i="7"/>
  <c r="R40" i="7"/>
  <c r="R41" i="7"/>
  <c r="R43" i="7"/>
  <c r="R44" i="7"/>
  <c r="R45" i="7"/>
  <c r="R47" i="7"/>
  <c r="R48" i="7"/>
  <c r="R49" i="7"/>
  <c r="R51" i="7"/>
  <c r="R52" i="7"/>
  <c r="R53" i="7"/>
  <c r="R54" i="7"/>
  <c r="R55" i="7"/>
  <c r="R56" i="7"/>
  <c r="BK19" i="12"/>
  <c r="BK23" i="12"/>
  <c r="BK27" i="12"/>
  <c r="BK31" i="12"/>
  <c r="BK35" i="12"/>
  <c r="BK39" i="12"/>
  <c r="BK47" i="12"/>
  <c r="BK51" i="12"/>
  <c r="BK55" i="12"/>
  <c r="BK59" i="12"/>
  <c r="BK25" i="10"/>
  <c r="BK45" i="10"/>
  <c r="BK53" i="10"/>
  <c r="BK57" i="10"/>
  <c r="BK20" i="12"/>
  <c r="BK24" i="12"/>
  <c r="BK28" i="12"/>
  <c r="BK32" i="12"/>
  <c r="BK36" i="12"/>
  <c r="BK40" i="12"/>
  <c r="BK44" i="12"/>
  <c r="BK48" i="12"/>
  <c r="BK52" i="12"/>
  <c r="BK18" i="12"/>
  <c r="BK22" i="12"/>
  <c r="BK26" i="12"/>
  <c r="BK30" i="12"/>
  <c r="BK34" i="12"/>
  <c r="BK38" i="12"/>
  <c r="BK46" i="12"/>
  <c r="BK50" i="12"/>
  <c r="BK54" i="12"/>
  <c r="BK56" i="12"/>
  <c r="BK21" i="12"/>
  <c r="BK25" i="12"/>
  <c r="BK29" i="12"/>
  <c r="BK33" i="12"/>
  <c r="BK37" i="12"/>
  <c r="BK41" i="12"/>
  <c r="BK45" i="12"/>
  <c r="BK49" i="12"/>
  <c r="BK53" i="12"/>
  <c r="BK57" i="12"/>
  <c r="BK27" i="10"/>
  <c r="BK47" i="10"/>
  <c r="BK51" i="10"/>
  <c r="BK59" i="10"/>
  <c r="BK36" i="10"/>
  <c r="BK56" i="10"/>
  <c r="BK16" i="12"/>
  <c r="BK17" i="12"/>
  <c r="BK42" i="12"/>
  <c r="BK43" i="12"/>
  <c r="BK42" i="10"/>
  <c r="AE68" i="9"/>
  <c r="I68" i="9"/>
  <c r="C63" i="9"/>
  <c r="C62" i="9"/>
  <c r="C61" i="9"/>
  <c r="N56" i="7"/>
  <c r="M56" i="7"/>
  <c r="K56" i="7"/>
  <c r="C60" i="9"/>
  <c r="N55" i="7"/>
  <c r="M55" i="7"/>
  <c r="L55" i="7"/>
  <c r="C59" i="9"/>
  <c r="N54" i="7"/>
  <c r="M54" i="7"/>
  <c r="L54" i="7"/>
  <c r="C58" i="9"/>
  <c r="N53" i="7"/>
  <c r="M53" i="7"/>
  <c r="L53" i="7"/>
  <c r="C57" i="9"/>
  <c r="N52" i="7"/>
  <c r="M52" i="7"/>
  <c r="L52" i="7"/>
  <c r="C56" i="9"/>
  <c r="N51" i="7"/>
  <c r="M51" i="7"/>
  <c r="L51" i="7"/>
  <c r="C55" i="9"/>
  <c r="N50" i="7"/>
  <c r="M50" i="7"/>
  <c r="L50" i="7"/>
  <c r="C54" i="9"/>
  <c r="N49" i="7"/>
  <c r="M49" i="7"/>
  <c r="L49" i="7"/>
  <c r="C53" i="9"/>
  <c r="N48" i="7"/>
  <c r="M48" i="7"/>
  <c r="L48" i="7"/>
  <c r="C52" i="9"/>
  <c r="N47" i="7"/>
  <c r="M47" i="7"/>
  <c r="L47" i="7"/>
  <c r="C51" i="9"/>
  <c r="N46" i="7"/>
  <c r="M46" i="7"/>
  <c r="L46" i="7"/>
  <c r="C50" i="9"/>
  <c r="N45" i="7"/>
  <c r="M45" i="7"/>
  <c r="C49" i="9"/>
  <c r="N44" i="7"/>
  <c r="M44" i="7"/>
  <c r="L44" i="7"/>
  <c r="C48" i="9"/>
  <c r="N43" i="7"/>
  <c r="M43" i="7"/>
  <c r="L43" i="7"/>
  <c r="C47" i="9"/>
  <c r="N42" i="7"/>
  <c r="M42" i="7"/>
  <c r="L42" i="7"/>
  <c r="C46" i="9"/>
  <c r="N41" i="7"/>
  <c r="M41" i="7"/>
  <c r="L41" i="7"/>
  <c r="C45" i="9"/>
  <c r="N40" i="7"/>
  <c r="M40" i="7"/>
  <c r="L40" i="7"/>
  <c r="C44" i="9"/>
  <c r="N39" i="7"/>
  <c r="M39" i="7"/>
  <c r="L39" i="7"/>
  <c r="C43" i="9"/>
  <c r="N38" i="7"/>
  <c r="M38" i="7"/>
  <c r="L38" i="7"/>
  <c r="C42" i="9"/>
  <c r="N37" i="7"/>
  <c r="M37" i="7"/>
  <c r="L37" i="7"/>
  <c r="C41" i="9"/>
  <c r="N36" i="7"/>
  <c r="M36" i="7"/>
  <c r="L36" i="7"/>
  <c r="C40" i="9"/>
  <c r="N35" i="7"/>
  <c r="M35" i="7"/>
  <c r="L35" i="7"/>
  <c r="C39" i="9"/>
  <c r="N34" i="7"/>
  <c r="M34" i="7"/>
  <c r="L34" i="7"/>
  <c r="C38" i="9"/>
  <c r="N33" i="7"/>
  <c r="M33" i="7"/>
  <c r="L33" i="7"/>
  <c r="C37" i="9"/>
  <c r="N32" i="7"/>
  <c r="M32" i="7"/>
  <c r="L32" i="7"/>
  <c r="C36" i="9"/>
  <c r="N31" i="7"/>
  <c r="M31" i="7"/>
  <c r="L31" i="7"/>
  <c r="C35" i="9"/>
  <c r="N30" i="7"/>
  <c r="M30" i="7"/>
  <c r="L30" i="7"/>
  <c r="C34" i="9"/>
  <c r="N29" i="7"/>
  <c r="M29" i="7"/>
  <c r="C33" i="9"/>
  <c r="N28" i="7"/>
  <c r="M28" i="7"/>
  <c r="L28" i="7"/>
  <c r="C32" i="9"/>
  <c r="N27" i="7"/>
  <c r="M27" i="7"/>
  <c r="L27" i="7"/>
  <c r="C31" i="9"/>
  <c r="N26" i="7"/>
  <c r="M26" i="7"/>
  <c r="L26" i="7"/>
  <c r="C30" i="9"/>
  <c r="N25" i="7"/>
  <c r="M25" i="7"/>
  <c r="L25" i="7"/>
  <c r="C29" i="9"/>
  <c r="N24" i="7"/>
  <c r="M24" i="7"/>
  <c r="L24" i="7"/>
  <c r="C28" i="9"/>
  <c r="N23" i="7"/>
  <c r="M23" i="7"/>
  <c r="L23" i="7"/>
  <c r="C27" i="9"/>
  <c r="N22" i="7"/>
  <c r="M22" i="7"/>
  <c r="L22" i="7"/>
  <c r="C26" i="9"/>
  <c r="N21" i="7"/>
  <c r="M21" i="7"/>
  <c r="L21" i="7"/>
  <c r="C25" i="9"/>
  <c r="N20" i="7"/>
  <c r="M20" i="7"/>
  <c r="L20" i="7"/>
  <c r="C24" i="9"/>
  <c r="N19" i="7"/>
  <c r="M19" i="7"/>
  <c r="L19" i="7"/>
  <c r="C23" i="9"/>
  <c r="N18" i="7"/>
  <c r="M18" i="7"/>
  <c r="L18" i="7"/>
  <c r="C22" i="9"/>
  <c r="N17" i="7"/>
  <c r="M17" i="7"/>
  <c r="L17" i="7"/>
  <c r="C21" i="9"/>
  <c r="N16" i="7"/>
  <c r="L16" i="7"/>
  <c r="C20" i="9"/>
  <c r="N15" i="7"/>
  <c r="M15" i="7"/>
  <c r="C19" i="9"/>
  <c r="F12" i="9"/>
  <c r="AD10" i="9"/>
  <c r="AY8" i="9" s="1"/>
  <c r="F10" i="9"/>
  <c r="F9" i="9"/>
  <c r="F7" i="9"/>
  <c r="F6" i="9"/>
  <c r="AX63" i="8"/>
  <c r="E63" i="8"/>
  <c r="BJ59" i="8"/>
  <c r="BI59" i="8"/>
  <c r="BH59" i="8"/>
  <c r="BG59" i="8"/>
  <c r="C59" i="8"/>
  <c r="BJ58" i="8"/>
  <c r="BI58" i="8"/>
  <c r="BH58" i="8"/>
  <c r="BG58" i="8"/>
  <c r="C58" i="8"/>
  <c r="BJ57" i="8"/>
  <c r="BI57" i="8"/>
  <c r="BH57" i="8"/>
  <c r="BG57" i="8"/>
  <c r="C57" i="8"/>
  <c r="BJ56" i="8"/>
  <c r="BI56" i="8"/>
  <c r="BH56" i="8"/>
  <c r="BG56" i="8"/>
  <c r="C56" i="8"/>
  <c r="BJ55" i="8"/>
  <c r="BI55" i="8"/>
  <c r="BH55" i="8"/>
  <c r="BG55" i="8"/>
  <c r="C55" i="8"/>
  <c r="BJ54" i="8"/>
  <c r="BI54" i="8"/>
  <c r="BH54" i="8"/>
  <c r="BG54" i="8"/>
  <c r="C54" i="8"/>
  <c r="BJ53" i="8"/>
  <c r="BI53" i="8"/>
  <c r="BH53" i="8"/>
  <c r="BG53" i="8"/>
  <c r="C53" i="8"/>
  <c r="BJ52" i="8"/>
  <c r="BI52" i="8"/>
  <c r="BH52" i="8"/>
  <c r="BG52" i="8"/>
  <c r="C52" i="8"/>
  <c r="BJ51" i="8"/>
  <c r="BI51" i="8"/>
  <c r="BH51" i="8"/>
  <c r="BG51" i="8"/>
  <c r="C51" i="8"/>
  <c r="BJ50" i="8"/>
  <c r="BI50" i="8"/>
  <c r="BH50" i="8"/>
  <c r="BG50" i="8"/>
  <c r="C50" i="8"/>
  <c r="BJ49" i="8"/>
  <c r="BI49" i="8"/>
  <c r="BH49" i="8"/>
  <c r="BG49" i="8"/>
  <c r="C49" i="8"/>
  <c r="BJ48" i="8"/>
  <c r="BI48" i="8"/>
  <c r="BH48" i="8"/>
  <c r="BG48" i="8"/>
  <c r="C48" i="8"/>
  <c r="BJ47" i="8"/>
  <c r="BI47" i="8"/>
  <c r="BH47" i="8"/>
  <c r="BG47" i="8"/>
  <c r="C47" i="8"/>
  <c r="BJ46" i="8"/>
  <c r="BI46" i="8"/>
  <c r="BH46" i="8"/>
  <c r="BG46" i="8"/>
  <c r="C46" i="8"/>
  <c r="BJ45" i="8"/>
  <c r="BI45" i="8"/>
  <c r="BH45" i="8"/>
  <c r="BG45" i="8"/>
  <c r="C45" i="8"/>
  <c r="BJ44" i="8"/>
  <c r="BI44" i="8"/>
  <c r="BH44" i="8"/>
  <c r="BG44" i="8"/>
  <c r="C44" i="8"/>
  <c r="BJ43" i="8"/>
  <c r="BI43" i="8"/>
  <c r="BH43" i="8"/>
  <c r="BG43" i="8"/>
  <c r="C43" i="8"/>
  <c r="BJ42" i="8"/>
  <c r="BI42" i="8"/>
  <c r="BH42" i="8"/>
  <c r="BG42" i="8"/>
  <c r="C42" i="8"/>
  <c r="BJ41" i="8"/>
  <c r="BI41" i="8"/>
  <c r="BH41" i="8"/>
  <c r="BG41" i="8"/>
  <c r="C41" i="8"/>
  <c r="BJ40" i="8"/>
  <c r="BI40" i="8"/>
  <c r="BH40" i="8"/>
  <c r="BG40" i="8"/>
  <c r="C40" i="8"/>
  <c r="BJ39" i="8"/>
  <c r="BI39" i="8"/>
  <c r="BH39" i="8"/>
  <c r="BG39" i="8"/>
  <c r="C39" i="8"/>
  <c r="BJ38" i="8"/>
  <c r="BI38" i="8"/>
  <c r="BH38" i="8"/>
  <c r="BG38" i="8"/>
  <c r="C38" i="8"/>
  <c r="BJ37" i="8"/>
  <c r="BI37" i="8"/>
  <c r="BH37" i="8"/>
  <c r="BG37" i="8"/>
  <c r="C37" i="8"/>
  <c r="BJ36" i="8"/>
  <c r="BI36" i="8"/>
  <c r="BH36" i="8"/>
  <c r="BG36" i="8"/>
  <c r="C36" i="8"/>
  <c r="BJ35" i="8"/>
  <c r="BI35" i="8"/>
  <c r="BH35" i="8"/>
  <c r="BG35" i="8"/>
  <c r="C35" i="8"/>
  <c r="BJ34" i="8"/>
  <c r="BI34" i="8"/>
  <c r="BH34" i="8"/>
  <c r="BG34" i="8"/>
  <c r="C34" i="8"/>
  <c r="BJ33" i="8"/>
  <c r="BI33" i="8"/>
  <c r="BH33" i="8"/>
  <c r="BG33" i="8"/>
  <c r="C33" i="8"/>
  <c r="BJ32" i="8"/>
  <c r="BI32" i="8"/>
  <c r="BK32" i="8" s="1"/>
  <c r="BH32" i="8"/>
  <c r="BG32" i="8"/>
  <c r="C32" i="8"/>
  <c r="BJ31" i="8"/>
  <c r="BI31" i="8"/>
  <c r="BH31" i="8"/>
  <c r="BG31" i="8"/>
  <c r="C31" i="8"/>
  <c r="BJ30" i="8"/>
  <c r="BI30" i="8"/>
  <c r="BH30" i="8"/>
  <c r="BG30" i="8"/>
  <c r="BK30" i="8" s="1"/>
  <c r="C30" i="8"/>
  <c r="BJ29" i="8"/>
  <c r="BI29" i="8"/>
  <c r="BH29" i="8"/>
  <c r="BG29" i="8"/>
  <c r="C29" i="8"/>
  <c r="BJ28" i="8"/>
  <c r="BI28" i="8"/>
  <c r="BH28" i="8"/>
  <c r="BG28" i="8"/>
  <c r="C28" i="8"/>
  <c r="BJ27" i="8"/>
  <c r="BI27" i="8"/>
  <c r="BH27" i="8"/>
  <c r="BG27" i="8"/>
  <c r="C27" i="8"/>
  <c r="BJ26" i="8"/>
  <c r="BI26" i="8"/>
  <c r="BH26" i="8"/>
  <c r="BG26" i="8"/>
  <c r="BK26" i="8" s="1"/>
  <c r="C26" i="8"/>
  <c r="BJ25" i="8"/>
  <c r="BI25" i="8"/>
  <c r="BH25" i="8"/>
  <c r="BG25" i="8"/>
  <c r="C25" i="8"/>
  <c r="BJ24" i="8"/>
  <c r="BI24" i="8"/>
  <c r="BK24" i="8" s="1"/>
  <c r="BH24" i="8"/>
  <c r="BG24" i="8"/>
  <c r="C24" i="8"/>
  <c r="BJ23" i="8"/>
  <c r="BI23" i="8"/>
  <c r="BH23" i="8"/>
  <c r="BG23" i="8"/>
  <c r="C23" i="8"/>
  <c r="BJ22" i="8"/>
  <c r="BI22" i="8"/>
  <c r="BH22" i="8"/>
  <c r="BG22" i="8"/>
  <c r="BK22" i="8" s="1"/>
  <c r="C22" i="8"/>
  <c r="BJ21" i="8"/>
  <c r="BI21" i="8"/>
  <c r="BH21" i="8"/>
  <c r="BG21" i="8"/>
  <c r="C21" i="8"/>
  <c r="BJ20" i="8"/>
  <c r="BI20" i="8"/>
  <c r="BH20" i="8"/>
  <c r="BG20" i="8"/>
  <c r="C20" i="8"/>
  <c r="BJ19" i="8"/>
  <c r="BI19" i="8"/>
  <c r="BH19" i="8"/>
  <c r="BG19" i="8"/>
  <c r="C19" i="8"/>
  <c r="BJ18" i="8"/>
  <c r="BI18" i="8"/>
  <c r="BH18" i="8"/>
  <c r="BG18" i="8"/>
  <c r="C18" i="8"/>
  <c r="BJ17" i="8"/>
  <c r="BI17" i="8"/>
  <c r="BH17" i="8"/>
  <c r="BG17" i="8"/>
  <c r="C17" i="8"/>
  <c r="BJ16" i="8"/>
  <c r="BI16" i="8"/>
  <c r="BK16" i="8" s="1"/>
  <c r="BH16" i="8"/>
  <c r="BG16" i="8"/>
  <c r="C16" i="8"/>
  <c r="BJ15" i="8"/>
  <c r="BI15" i="8"/>
  <c r="BH15" i="8"/>
  <c r="BG15" i="8"/>
  <c r="C15" i="8"/>
  <c r="E11" i="8"/>
  <c r="E9" i="8"/>
  <c r="E8" i="8"/>
  <c r="E6" i="8"/>
  <c r="E5" i="8"/>
  <c r="H16" i="7"/>
  <c r="I16" i="7"/>
  <c r="H17" i="7"/>
  <c r="I17" i="7"/>
  <c r="H18" i="7"/>
  <c r="I18" i="7"/>
  <c r="H19" i="7"/>
  <c r="I19" i="7"/>
  <c r="H20" i="7"/>
  <c r="I20" i="7"/>
  <c r="H21" i="7"/>
  <c r="I21" i="7"/>
  <c r="H22" i="7"/>
  <c r="I22" i="7"/>
  <c r="H23" i="7"/>
  <c r="I23" i="7"/>
  <c r="H24" i="7"/>
  <c r="I24" i="7"/>
  <c r="H25" i="7"/>
  <c r="I25" i="7"/>
  <c r="H26" i="7"/>
  <c r="I26" i="7"/>
  <c r="H27" i="7"/>
  <c r="I27" i="7"/>
  <c r="H28" i="7"/>
  <c r="I28" i="7"/>
  <c r="H29" i="7"/>
  <c r="I29" i="7"/>
  <c r="H30" i="7"/>
  <c r="I30" i="7"/>
  <c r="H31" i="7"/>
  <c r="I31" i="7"/>
  <c r="H32" i="7"/>
  <c r="I32" i="7"/>
  <c r="H33" i="7"/>
  <c r="I33" i="7"/>
  <c r="H34" i="7"/>
  <c r="I34" i="7"/>
  <c r="H35" i="7"/>
  <c r="I35" i="7"/>
  <c r="H36" i="7"/>
  <c r="I36" i="7"/>
  <c r="H37" i="7"/>
  <c r="I37" i="7"/>
  <c r="H38" i="7"/>
  <c r="I38" i="7"/>
  <c r="H39" i="7"/>
  <c r="I39" i="7"/>
  <c r="H40" i="7"/>
  <c r="I40" i="7"/>
  <c r="H41" i="7"/>
  <c r="I41" i="7"/>
  <c r="H42" i="7"/>
  <c r="I42" i="7"/>
  <c r="H43" i="7"/>
  <c r="I43" i="7"/>
  <c r="H44" i="7"/>
  <c r="I44" i="7"/>
  <c r="H45" i="7"/>
  <c r="I45" i="7"/>
  <c r="H46" i="7"/>
  <c r="I46" i="7"/>
  <c r="H47" i="7"/>
  <c r="I47" i="7"/>
  <c r="H48" i="7"/>
  <c r="I48" i="7"/>
  <c r="H49" i="7"/>
  <c r="I49" i="7"/>
  <c r="H50" i="7"/>
  <c r="I50" i="7"/>
  <c r="H51" i="7"/>
  <c r="I51" i="7"/>
  <c r="H52" i="7"/>
  <c r="I52" i="7"/>
  <c r="H53" i="7"/>
  <c r="I53" i="7"/>
  <c r="H54" i="7"/>
  <c r="I54" i="7"/>
  <c r="H55" i="7"/>
  <c r="I55" i="7"/>
  <c r="H56" i="7"/>
  <c r="I56" i="7"/>
  <c r="H57" i="7"/>
  <c r="I57" i="7"/>
  <c r="H58" i="7"/>
  <c r="I58" i="7"/>
  <c r="H59" i="7"/>
  <c r="I59" i="7"/>
  <c r="I15" i="7"/>
  <c r="H15" i="7"/>
  <c r="E10" i="7"/>
  <c r="E9" i="7"/>
  <c r="E8" i="7"/>
  <c r="E7" i="7"/>
  <c r="E5" i="7"/>
  <c r="E4" i="7"/>
  <c r="C16" i="7"/>
  <c r="C17" i="7"/>
  <c r="C18" i="7"/>
  <c r="C19" i="7"/>
  <c r="C20" i="7"/>
  <c r="C21" i="7"/>
  <c r="C22" i="7"/>
  <c r="C23" i="7"/>
  <c r="C24" i="7"/>
  <c r="C25" i="7"/>
  <c r="C26" i="7"/>
  <c r="C27" i="7"/>
  <c r="C28" i="7"/>
  <c r="C29" i="7"/>
  <c r="C30" i="7"/>
  <c r="C31" i="7"/>
  <c r="C32" i="7"/>
  <c r="C33" i="7"/>
  <c r="C34" i="7"/>
  <c r="C35" i="7"/>
  <c r="C36" i="7"/>
  <c r="C37" i="7"/>
  <c r="C38" i="7"/>
  <c r="C39" i="7"/>
  <c r="C40" i="7"/>
  <c r="C41" i="7"/>
  <c r="C42" i="7"/>
  <c r="C43" i="7"/>
  <c r="C44" i="7"/>
  <c r="C45" i="7"/>
  <c r="C46" i="7"/>
  <c r="C47" i="7"/>
  <c r="C48" i="7"/>
  <c r="C49" i="7"/>
  <c r="C50" i="7"/>
  <c r="C51" i="7"/>
  <c r="C52" i="7"/>
  <c r="C53" i="7"/>
  <c r="C54" i="7"/>
  <c r="C55" i="7"/>
  <c r="C56" i="7"/>
  <c r="C57" i="7"/>
  <c r="C58" i="7"/>
  <c r="C59" i="7"/>
  <c r="C15" i="7"/>
  <c r="L56" i="7"/>
  <c r="K17" i="7"/>
  <c r="K21" i="7"/>
  <c r="K18" i="7"/>
  <c r="K22" i="7"/>
  <c r="K19" i="7"/>
  <c r="K23" i="7"/>
  <c r="K16" i="7"/>
  <c r="K20" i="7"/>
  <c r="K15" i="7"/>
  <c r="K24" i="7"/>
  <c r="K25" i="7"/>
  <c r="K26" i="7"/>
  <c r="K27" i="7"/>
  <c r="K28" i="7"/>
  <c r="K29" i="7"/>
  <c r="K30" i="7"/>
  <c r="K31" i="7"/>
  <c r="K32" i="7"/>
  <c r="K33" i="7"/>
  <c r="K34" i="7"/>
  <c r="K35" i="7"/>
  <c r="K36" i="7"/>
  <c r="K37" i="7"/>
  <c r="K38" i="7"/>
  <c r="K39" i="7"/>
  <c r="K40" i="7"/>
  <c r="K41" i="7"/>
  <c r="K42" i="7"/>
  <c r="K43" i="7"/>
  <c r="K44" i="7"/>
  <c r="K45" i="7"/>
  <c r="K46" i="7"/>
  <c r="K47" i="7"/>
  <c r="K48" i="7"/>
  <c r="K49" i="7"/>
  <c r="K50" i="7"/>
  <c r="K51" i="7"/>
  <c r="K52" i="7"/>
  <c r="K53" i="7"/>
  <c r="K54" i="7"/>
  <c r="K55" i="7"/>
  <c r="BK53" i="8"/>
  <c r="BK57" i="8"/>
  <c r="BK18" i="8"/>
  <c r="BK34" i="8"/>
  <c r="BK38" i="8"/>
  <c r="BK42" i="8"/>
  <c r="BK46" i="8"/>
  <c r="BK50" i="8"/>
  <c r="BK54" i="8"/>
  <c r="BK58" i="8"/>
  <c r="BK56" i="8"/>
  <c r="BK19" i="8"/>
  <c r="BK23" i="8"/>
  <c r="BK27" i="8"/>
  <c r="BK31" i="8"/>
  <c r="BK35" i="8"/>
  <c r="BK39" i="8"/>
  <c r="BK47" i="8"/>
  <c r="BK55" i="8"/>
  <c r="BK59" i="8"/>
  <c r="BK49" i="8"/>
  <c r="BK51" i="8"/>
  <c r="BK28" i="8"/>
  <c r="BK36" i="8"/>
  <c r="BK40" i="8"/>
  <c r="BK48" i="8"/>
  <c r="BK52" i="8"/>
  <c r="BK29" i="8"/>
  <c r="BK33" i="8"/>
  <c r="BK37" i="8"/>
  <c r="BK41" i="8"/>
  <c r="BK45" i="8"/>
  <c r="BK25" i="8"/>
  <c r="BK20" i="8"/>
  <c r="BK21" i="8"/>
  <c r="BK17" i="8"/>
  <c r="BK44" i="8"/>
  <c r="BK43" i="8"/>
  <c r="N6" i="2"/>
  <c r="O6" i="2"/>
  <c r="E5" i="5"/>
  <c r="F5" i="5"/>
  <c r="G5" i="5" s="1"/>
  <c r="H5" i="5" s="1"/>
  <c r="I5" i="5" s="1"/>
  <c r="J5" i="5" s="1"/>
  <c r="K5" i="5" s="1"/>
  <c r="AD10" i="4"/>
  <c r="AY8" i="4" s="1"/>
  <c r="AE68" i="4"/>
  <c r="I68" i="4"/>
  <c r="C20" i="4"/>
  <c r="C21" i="4"/>
  <c r="C22" i="4"/>
  <c r="C23" i="4"/>
  <c r="C24" i="4"/>
  <c r="C25" i="4"/>
  <c r="C26" i="4"/>
  <c r="C27" i="4"/>
  <c r="C28" i="4"/>
  <c r="C29" i="4"/>
  <c r="C30" i="4"/>
  <c r="C31" i="4"/>
  <c r="C32" i="4"/>
  <c r="C33" i="4"/>
  <c r="C34" i="4"/>
  <c r="C35" i="4"/>
  <c r="C36" i="4"/>
  <c r="C37" i="4"/>
  <c r="C38" i="4"/>
  <c r="C39" i="4"/>
  <c r="C40" i="4"/>
  <c r="C41" i="4"/>
  <c r="C42" i="4"/>
  <c r="C43" i="4"/>
  <c r="C44" i="4"/>
  <c r="C45" i="4"/>
  <c r="C46" i="4"/>
  <c r="C47" i="4"/>
  <c r="C48" i="4"/>
  <c r="C49" i="4"/>
  <c r="C50" i="4"/>
  <c r="C51" i="4"/>
  <c r="C52" i="4"/>
  <c r="C53" i="4"/>
  <c r="C54" i="4"/>
  <c r="C55" i="4"/>
  <c r="C56" i="4"/>
  <c r="C57" i="4"/>
  <c r="C58" i="4"/>
  <c r="C59" i="4"/>
  <c r="C60" i="4"/>
  <c r="C61" i="4"/>
  <c r="C62" i="4"/>
  <c r="C63" i="4"/>
  <c r="G16" i="7"/>
  <c r="G17" i="7"/>
  <c r="G18" i="7"/>
  <c r="G19" i="7"/>
  <c r="G20" i="7"/>
  <c r="G21" i="7"/>
  <c r="G23" i="7"/>
  <c r="G24" i="7"/>
  <c r="G25" i="7"/>
  <c r="G26" i="7"/>
  <c r="G27" i="7"/>
  <c r="G28" i="7"/>
  <c r="G29" i="7"/>
  <c r="G30" i="7"/>
  <c r="G31" i="7"/>
  <c r="G32" i="7"/>
  <c r="G33" i="7"/>
  <c r="G34" i="7"/>
  <c r="G35" i="7"/>
  <c r="G36" i="7"/>
  <c r="G37" i="7"/>
  <c r="G38" i="7"/>
  <c r="G39" i="7"/>
  <c r="G40" i="7"/>
  <c r="G41" i="7"/>
  <c r="G42" i="7"/>
  <c r="G43" i="7"/>
  <c r="G45" i="7"/>
  <c r="G47" i="7"/>
  <c r="G48" i="7"/>
  <c r="G49" i="7"/>
  <c r="G50" i="7"/>
  <c r="G51" i="7"/>
  <c r="G52" i="7"/>
  <c r="G53" i="7"/>
  <c r="G54" i="7"/>
  <c r="G55" i="7"/>
  <c r="G56" i="7"/>
  <c r="G57" i="7"/>
  <c r="G58" i="7"/>
  <c r="G59" i="7"/>
  <c r="F16" i="7"/>
  <c r="F17" i="7"/>
  <c r="F18" i="7"/>
  <c r="F19" i="7"/>
  <c r="F20" i="7"/>
  <c r="F21" i="7"/>
  <c r="F22" i="7"/>
  <c r="F23" i="7"/>
  <c r="F24" i="7"/>
  <c r="F25" i="7"/>
  <c r="F26" i="7"/>
  <c r="F27" i="7"/>
  <c r="F28" i="7"/>
  <c r="F29" i="7"/>
  <c r="F30" i="7"/>
  <c r="F31" i="7"/>
  <c r="F32" i="7"/>
  <c r="F33" i="7"/>
  <c r="F34" i="7"/>
  <c r="F35" i="7"/>
  <c r="F36" i="7"/>
  <c r="F37" i="7"/>
  <c r="F38" i="7"/>
  <c r="F39" i="7"/>
  <c r="F40" i="7"/>
  <c r="F41" i="7"/>
  <c r="F42" i="7"/>
  <c r="F43" i="7"/>
  <c r="F44" i="7"/>
  <c r="F45" i="7"/>
  <c r="F46" i="7"/>
  <c r="F47" i="7"/>
  <c r="F48" i="7"/>
  <c r="F49" i="7"/>
  <c r="F50" i="7"/>
  <c r="F51" i="7"/>
  <c r="F52" i="7"/>
  <c r="F53" i="7"/>
  <c r="F54" i="7"/>
  <c r="F55" i="7"/>
  <c r="F56" i="7"/>
  <c r="F57" i="7"/>
  <c r="F58" i="7"/>
  <c r="F59" i="7"/>
  <c r="E16" i="7"/>
  <c r="E17" i="7"/>
  <c r="E19" i="7"/>
  <c r="E20" i="7"/>
  <c r="E21" i="7"/>
  <c r="E22" i="7"/>
  <c r="E23" i="7"/>
  <c r="E24" i="7"/>
  <c r="E25" i="7"/>
  <c r="E26" i="7"/>
  <c r="E27" i="7"/>
  <c r="E28" i="7"/>
  <c r="E29" i="7"/>
  <c r="E30" i="7"/>
  <c r="E31" i="7"/>
  <c r="E32" i="7"/>
  <c r="E33" i="7"/>
  <c r="E34" i="7"/>
  <c r="E35" i="7"/>
  <c r="E36" i="7"/>
  <c r="E37" i="7"/>
  <c r="E38" i="7"/>
  <c r="E39" i="7"/>
  <c r="E40" i="7"/>
  <c r="E41" i="7"/>
  <c r="E42" i="7"/>
  <c r="E43" i="7"/>
  <c r="E44" i="7"/>
  <c r="E45" i="7"/>
  <c r="E46" i="7"/>
  <c r="E47" i="7"/>
  <c r="E48" i="7"/>
  <c r="E49" i="7"/>
  <c r="E50" i="7"/>
  <c r="E51" i="7"/>
  <c r="E52" i="7"/>
  <c r="E53" i="7"/>
  <c r="E54" i="7"/>
  <c r="E55" i="7"/>
  <c r="E58" i="7"/>
  <c r="E59" i="7"/>
  <c r="D15" i="7"/>
  <c r="D16" i="7"/>
  <c r="D21" i="7"/>
  <c r="D25" i="7"/>
  <c r="D26" i="7"/>
  <c r="D33" i="7"/>
  <c r="D34" i="7"/>
  <c r="D41" i="7"/>
  <c r="D42" i="7"/>
  <c r="D44" i="7"/>
  <c r="D52" i="7"/>
  <c r="D56" i="7"/>
  <c r="D17" i="7"/>
  <c r="D18" i="7"/>
  <c r="E18" i="7"/>
  <c r="D19" i="7"/>
  <c r="D22" i="7"/>
  <c r="G22" i="7"/>
  <c r="D24" i="7"/>
  <c r="D27" i="7"/>
  <c r="D29" i="7"/>
  <c r="D30" i="7"/>
  <c r="D32" i="7"/>
  <c r="D35" i="7"/>
  <c r="D37" i="7"/>
  <c r="D38" i="7"/>
  <c r="D40" i="7"/>
  <c r="D43" i="7"/>
  <c r="G44" i="7"/>
  <c r="D45" i="7"/>
  <c r="D46" i="7"/>
  <c r="D47" i="7"/>
  <c r="D49" i="7"/>
  <c r="D50" i="7"/>
  <c r="D51" i="7"/>
  <c r="D53" i="7"/>
  <c r="D54" i="7"/>
  <c r="D55" i="7"/>
  <c r="E56" i="7"/>
  <c r="D57" i="7"/>
  <c r="E57" i="7"/>
  <c r="D58" i="7"/>
  <c r="D59" i="7"/>
  <c r="C19" i="4"/>
  <c r="F6" i="4"/>
  <c r="AV63" i="3"/>
  <c r="E63" i="3"/>
  <c r="C16" i="3"/>
  <c r="C17" i="3"/>
  <c r="C18" i="3"/>
  <c r="C19" i="3"/>
  <c r="C20" i="3"/>
  <c r="C21" i="3"/>
  <c r="C22" i="3"/>
  <c r="C23" i="3"/>
  <c r="C24" i="3"/>
  <c r="C25" i="3"/>
  <c r="C26" i="3"/>
  <c r="C27" i="3"/>
  <c r="C28" i="3"/>
  <c r="C29" i="3"/>
  <c r="C30" i="3"/>
  <c r="C31" i="3"/>
  <c r="C32" i="3"/>
  <c r="C33" i="3"/>
  <c r="C34" i="3"/>
  <c r="C35" i="3"/>
  <c r="C36" i="3"/>
  <c r="C37" i="3"/>
  <c r="C38" i="3"/>
  <c r="C39" i="3"/>
  <c r="C40" i="3"/>
  <c r="C41" i="3"/>
  <c r="C42" i="3"/>
  <c r="C43" i="3"/>
  <c r="C44" i="3"/>
  <c r="C45" i="3"/>
  <c r="C46" i="3"/>
  <c r="C47" i="3"/>
  <c r="C48" i="3"/>
  <c r="C49" i="3"/>
  <c r="C50" i="3"/>
  <c r="C51" i="3"/>
  <c r="C52" i="3"/>
  <c r="C53" i="3"/>
  <c r="C54" i="3"/>
  <c r="C55" i="3"/>
  <c r="C56" i="3"/>
  <c r="C57" i="3"/>
  <c r="C58" i="3"/>
  <c r="C59" i="3"/>
  <c r="C15" i="3"/>
  <c r="E11" i="3"/>
  <c r="E9" i="3"/>
  <c r="E8" i="3"/>
  <c r="E6" i="3"/>
  <c r="E5" i="3"/>
  <c r="BH59" i="3"/>
  <c r="BG59" i="3"/>
  <c r="BF59" i="3"/>
  <c r="BE59" i="3"/>
  <c r="BH58" i="3"/>
  <c r="BG58" i="3"/>
  <c r="BF58" i="3"/>
  <c r="BE58" i="3"/>
  <c r="BH57" i="3"/>
  <c r="BG57" i="3"/>
  <c r="BF57" i="3"/>
  <c r="BE57" i="3"/>
  <c r="BH56" i="3"/>
  <c r="BG56" i="3"/>
  <c r="BF56" i="3"/>
  <c r="BE56" i="3"/>
  <c r="BH55" i="3"/>
  <c r="BG55" i="3"/>
  <c r="BF55" i="3"/>
  <c r="BE55" i="3"/>
  <c r="BH54" i="3"/>
  <c r="BG54" i="3"/>
  <c r="BF54" i="3"/>
  <c r="BE54" i="3"/>
  <c r="BH53" i="3"/>
  <c r="BG53" i="3"/>
  <c r="BF53" i="3"/>
  <c r="BE53" i="3"/>
  <c r="BH52" i="3"/>
  <c r="BG52" i="3"/>
  <c r="BF52" i="3"/>
  <c r="BE52" i="3"/>
  <c r="BH51" i="3"/>
  <c r="BG51" i="3"/>
  <c r="BF51" i="3"/>
  <c r="BE51" i="3"/>
  <c r="BH50" i="3"/>
  <c r="BG50" i="3"/>
  <c r="BF50" i="3"/>
  <c r="BE50" i="3"/>
  <c r="BH49" i="3"/>
  <c r="BG49" i="3"/>
  <c r="BF49" i="3"/>
  <c r="BE49" i="3"/>
  <c r="BH48" i="3"/>
  <c r="BG48" i="3"/>
  <c r="BF48" i="3"/>
  <c r="BE48" i="3"/>
  <c r="BH47" i="3"/>
  <c r="BG47" i="3"/>
  <c r="BF47" i="3"/>
  <c r="BE47" i="3"/>
  <c r="BH46" i="3"/>
  <c r="BG46" i="3"/>
  <c r="BF46" i="3"/>
  <c r="BE46" i="3"/>
  <c r="BH45" i="3"/>
  <c r="BG45" i="3"/>
  <c r="BF45" i="3"/>
  <c r="BE45" i="3"/>
  <c r="BH44" i="3"/>
  <c r="BG44" i="3"/>
  <c r="BF44" i="3"/>
  <c r="BE44" i="3"/>
  <c r="BH43" i="3"/>
  <c r="BG43" i="3"/>
  <c r="BF43" i="3"/>
  <c r="BE43" i="3"/>
  <c r="BH42" i="3"/>
  <c r="BG42" i="3"/>
  <c r="BF42" i="3"/>
  <c r="BE42" i="3"/>
  <c r="BH41" i="3"/>
  <c r="BG41" i="3"/>
  <c r="BF41" i="3"/>
  <c r="BE41" i="3"/>
  <c r="BH40" i="3"/>
  <c r="BG40" i="3"/>
  <c r="BF40" i="3"/>
  <c r="BE40" i="3"/>
  <c r="BH39" i="3"/>
  <c r="BG39" i="3"/>
  <c r="BF39" i="3"/>
  <c r="BE39" i="3"/>
  <c r="BH38" i="3"/>
  <c r="BG38" i="3"/>
  <c r="BF38" i="3"/>
  <c r="BE38" i="3"/>
  <c r="BH37" i="3"/>
  <c r="BG37" i="3"/>
  <c r="BF37" i="3"/>
  <c r="BE37" i="3"/>
  <c r="BI37" i="3" s="1"/>
  <c r="BH36" i="3"/>
  <c r="BG36" i="3"/>
  <c r="BF36" i="3"/>
  <c r="BE36" i="3"/>
  <c r="BI36" i="3" s="1"/>
  <c r="BH35" i="3"/>
  <c r="BG35" i="3"/>
  <c r="BF35" i="3"/>
  <c r="BE35" i="3"/>
  <c r="BH34" i="3"/>
  <c r="BG34" i="3"/>
  <c r="BF34" i="3"/>
  <c r="BE34" i="3"/>
  <c r="BH33" i="3"/>
  <c r="BG33" i="3"/>
  <c r="BF33" i="3"/>
  <c r="BE33" i="3"/>
  <c r="BH32" i="3"/>
  <c r="BG32" i="3"/>
  <c r="BF32" i="3"/>
  <c r="BE32" i="3"/>
  <c r="BH31" i="3"/>
  <c r="BG31" i="3"/>
  <c r="BF31" i="3"/>
  <c r="BE31" i="3"/>
  <c r="BH30" i="3"/>
  <c r="BG30" i="3"/>
  <c r="BF30" i="3"/>
  <c r="BE30" i="3"/>
  <c r="BH29" i="3"/>
  <c r="BG29" i="3"/>
  <c r="BF29" i="3"/>
  <c r="BE29" i="3"/>
  <c r="BH28" i="3"/>
  <c r="BG28" i="3"/>
  <c r="BF28" i="3"/>
  <c r="BE28" i="3"/>
  <c r="BH27" i="3"/>
  <c r="BG27" i="3"/>
  <c r="BF27" i="3"/>
  <c r="BE27" i="3"/>
  <c r="BH26" i="3"/>
  <c r="BG26" i="3"/>
  <c r="BF26" i="3"/>
  <c r="BE26" i="3"/>
  <c r="BI26" i="3" s="1"/>
  <c r="BH25" i="3"/>
  <c r="BG25" i="3"/>
  <c r="BF25" i="3"/>
  <c r="BE25" i="3"/>
  <c r="BH24" i="3"/>
  <c r="BG24" i="3"/>
  <c r="BF24" i="3"/>
  <c r="BE24" i="3"/>
  <c r="BH23" i="3"/>
  <c r="BG23" i="3"/>
  <c r="BF23" i="3"/>
  <c r="BE23" i="3"/>
  <c r="BH22" i="3"/>
  <c r="BG22" i="3"/>
  <c r="BF22" i="3"/>
  <c r="BE22" i="3"/>
  <c r="BH21" i="3"/>
  <c r="BG21" i="3"/>
  <c r="BF21" i="3"/>
  <c r="BE21" i="3"/>
  <c r="BH20" i="3"/>
  <c r="BG20" i="3"/>
  <c r="BF20" i="3"/>
  <c r="BE20" i="3"/>
  <c r="BH19" i="3"/>
  <c r="BG19" i="3"/>
  <c r="BF19" i="3"/>
  <c r="BE19" i="3"/>
  <c r="BH18" i="3"/>
  <c r="BG18" i="3"/>
  <c r="BF18" i="3"/>
  <c r="BE18" i="3"/>
  <c r="BH17" i="3"/>
  <c r="BG17" i="3"/>
  <c r="BF17" i="3"/>
  <c r="BE17" i="3"/>
  <c r="BH16" i="3"/>
  <c r="BG16" i="3"/>
  <c r="BF16" i="3"/>
  <c r="BE16" i="3"/>
  <c r="BH15" i="3"/>
  <c r="BG15" i="3"/>
  <c r="BF15" i="3"/>
  <c r="BE15" i="3"/>
  <c r="BI35" i="3"/>
  <c r="BI39" i="3"/>
  <c r="BI40" i="3"/>
  <c r="BI43" i="3"/>
  <c r="BI44" i="3"/>
  <c r="BI47" i="3"/>
  <c r="BI48" i="3"/>
  <c r="BI51" i="3"/>
  <c r="BI52" i="3"/>
  <c r="BI54" i="3"/>
  <c r="BI55" i="3"/>
  <c r="BI58" i="3"/>
  <c r="BI59" i="3"/>
  <c r="BI29" i="3"/>
  <c r="BI33" i="3"/>
  <c r="BI41" i="3"/>
  <c r="BI45" i="3"/>
  <c r="BI49" i="3"/>
  <c r="BI53" i="3"/>
  <c r="BI57" i="3"/>
  <c r="BI22" i="3"/>
  <c r="BI38" i="3"/>
  <c r="BI42" i="3"/>
  <c r="BI46" i="3"/>
  <c r="BI50" i="3"/>
  <c r="BI56" i="3"/>
  <c r="J62" i="2"/>
  <c r="E62" i="2"/>
  <c r="I15" i="2"/>
  <c r="I14" i="2"/>
  <c r="I16" i="2"/>
  <c r="I17" i="2"/>
  <c r="I18" i="2"/>
  <c r="I19" i="2"/>
  <c r="I20" i="2"/>
  <c r="I21" i="2"/>
  <c r="I22" i="2"/>
  <c r="I23" i="2"/>
  <c r="I24" i="2"/>
  <c r="I25" i="2"/>
  <c r="I26" i="2"/>
  <c r="I27" i="2"/>
  <c r="I28" i="2"/>
  <c r="I29" i="2"/>
  <c r="I30" i="2"/>
  <c r="I31" i="2"/>
  <c r="I32" i="2"/>
  <c r="I33" i="2"/>
  <c r="I34" i="2"/>
  <c r="I35" i="2"/>
  <c r="I36" i="2"/>
  <c r="I37" i="2"/>
  <c r="I38" i="2"/>
  <c r="I39" i="2"/>
  <c r="I40" i="2"/>
  <c r="I41" i="2"/>
  <c r="I42" i="2"/>
  <c r="I43" i="2"/>
  <c r="I44" i="2"/>
  <c r="I45" i="2"/>
  <c r="I46" i="2"/>
  <c r="I47" i="2"/>
  <c r="I48" i="2"/>
  <c r="I49" i="2"/>
  <c r="I50" i="2"/>
  <c r="I51" i="2"/>
  <c r="I52" i="2"/>
  <c r="I53" i="2"/>
  <c r="I54" i="2"/>
  <c r="I55" i="2"/>
  <c r="I56" i="2"/>
  <c r="I57" i="2"/>
  <c r="I58" i="2"/>
  <c r="E11" i="2"/>
  <c r="E10" i="2"/>
  <c r="E9" i="2"/>
  <c r="E8" i="2"/>
  <c r="E6" i="2"/>
  <c r="E5" i="2"/>
  <c r="L5" i="2"/>
  <c r="D10" i="19" l="1"/>
  <c r="D14" i="19"/>
  <c r="D27" i="19"/>
  <c r="K7" i="19"/>
  <c r="BK15" i="8"/>
  <c r="BI16" i="3"/>
  <c r="BI17" i="3"/>
  <c r="BI18" i="3"/>
  <c r="BI19" i="3"/>
  <c r="BI20" i="3"/>
  <c r="BI21" i="3"/>
  <c r="BI23" i="3"/>
  <c r="BI24" i="3"/>
  <c r="BI15" i="3"/>
  <c r="D18" i="19"/>
  <c r="D28" i="19"/>
  <c r="D7" i="19"/>
  <c r="D8" i="19"/>
  <c r="D13" i="19"/>
  <c r="BK15" i="10"/>
  <c r="BK17" i="10"/>
  <c r="BK19" i="10"/>
  <c r="BK31" i="10"/>
  <c r="BK33" i="10"/>
  <c r="BK35" i="10"/>
  <c r="BK37" i="10"/>
  <c r="BK41" i="10"/>
  <c r="BK43" i="10"/>
  <c r="BK55" i="10"/>
  <c r="D19" i="19"/>
  <c r="D23" i="19"/>
  <c r="D26" i="19"/>
  <c r="D15" i="19"/>
  <c r="BI25" i="3"/>
  <c r="BI27" i="3"/>
  <c r="BI28" i="3"/>
  <c r="BI30" i="3"/>
  <c r="BI31" i="3"/>
  <c r="BI32" i="3"/>
  <c r="BI34" i="3"/>
  <c r="BK16" i="10"/>
  <c r="BK20" i="10"/>
  <c r="D12" i="19"/>
  <c r="D16" i="19"/>
  <c r="D20" i="19"/>
  <c r="D24" i="19"/>
  <c r="D25" i="19"/>
  <c r="D17" i="19"/>
  <c r="BK23" i="10"/>
  <c r="BK28" i="10"/>
  <c r="BK30" i="10"/>
  <c r="BK32" i="10"/>
  <c r="BK18" i="10"/>
  <c r="BK22" i="10"/>
  <c r="BK24" i="10"/>
  <c r="BK29" i="10"/>
  <c r="BK39" i="10"/>
  <c r="BK50" i="10"/>
  <c r="BK52" i="10"/>
  <c r="BK21" i="10"/>
  <c r="BK40" i="10"/>
  <c r="BK44" i="10"/>
  <c r="BK49" i="10"/>
  <c r="D9" i="19"/>
  <c r="D20" i="7"/>
  <c r="D48" i="7"/>
  <c r="D39" i="7"/>
  <c r="D31" i="7"/>
  <c r="D23" i="7"/>
  <c r="L29" i="7"/>
  <c r="L45" i="7"/>
  <c r="R16" i="7"/>
  <c r="S20" i="7"/>
  <c r="S22" i="7"/>
  <c r="S24" i="7"/>
  <c r="S26" i="7"/>
  <c r="D36" i="7"/>
  <c r="D28" i="7"/>
  <c r="G46" i="7"/>
  <c r="S19" i="7"/>
  <c r="S25" i="7"/>
  <c r="L58" i="7"/>
  <c r="AA59" i="7"/>
  <c r="R29" i="7"/>
  <c r="Q9" i="2"/>
  <c r="D16" i="5" s="1"/>
  <c r="S59" i="7"/>
  <c r="Y26" i="7"/>
  <c r="K59" i="7"/>
  <c r="K57" i="7"/>
  <c r="M16" i="7"/>
  <c r="D11" i="19"/>
  <c r="BB60" i="6"/>
  <c r="BS60" i="6"/>
  <c r="AK60" i="6"/>
  <c r="T60" i="6"/>
  <c r="G6" i="5"/>
  <c r="E7" i="5"/>
  <c r="G9" i="14"/>
  <c r="I6" i="5"/>
  <c r="K7" i="5"/>
  <c r="K6" i="5"/>
  <c r="F6" i="5"/>
  <c r="H6" i="5"/>
  <c r="J6" i="5"/>
  <c r="E6" i="5"/>
  <c r="F7" i="5"/>
  <c r="H7" i="5"/>
  <c r="J7" i="5"/>
  <c r="D6" i="5"/>
  <c r="D7" i="5"/>
  <c r="G7" i="5"/>
  <c r="I7" i="5"/>
  <c r="Y9" i="7" l="1"/>
  <c r="A11" i="11"/>
  <c r="A11" i="13"/>
  <c r="W9" i="7"/>
  <c r="A11" i="4"/>
  <c r="U9" i="7"/>
  <c r="A11" i="9"/>
  <c r="S9" i="7"/>
  <c r="E8" i="5"/>
  <c r="I8" i="5"/>
  <c r="G8" i="5"/>
  <c r="K8" i="5"/>
  <c r="L7" i="5"/>
  <c r="F8" i="5"/>
  <c r="D8" i="5"/>
  <c r="L6" i="5"/>
  <c r="J8" i="5"/>
  <c r="H8" i="5"/>
  <c r="AG10" i="7" l="1"/>
  <c r="L8" i="5"/>
</calcChain>
</file>

<file path=xl/comments1.xml><?xml version="1.0" encoding="utf-8"?>
<comments xmlns="http://schemas.openxmlformats.org/spreadsheetml/2006/main">
  <authors>
    <author>Miguel Angel Atto Menchacca</author>
  </authors>
  <commentList>
    <comment ref="P8" authorId="0">
      <text>
        <r>
          <rPr>
            <b/>
            <sz val="10"/>
            <color indexed="81"/>
            <rFont val="Arial"/>
            <family val="2"/>
          </rPr>
          <t xml:space="preserve">Introduzca la fecha de inicio de bimestre según el calendario escolar y realice modificación en la fecha según corresponda.  dd/mm/aa </t>
        </r>
        <r>
          <rPr>
            <sz val="10"/>
            <color indexed="81"/>
            <rFont val="Arial"/>
            <family val="2"/>
          </rPr>
          <t xml:space="preserve">
</t>
        </r>
      </text>
    </comment>
    <comment ref="R8" authorId="0">
      <text>
        <r>
          <rPr>
            <b/>
            <sz val="10"/>
            <color indexed="81"/>
            <rFont val="Arial"/>
            <family val="2"/>
          </rPr>
          <t>Introduzca la fecha de fin de bimestre según el calendario escolar y realice modificación en la fecha según corresponda.   dd/mm/aa</t>
        </r>
      </text>
    </comment>
  </commentList>
</comments>
</file>

<file path=xl/comments2.xml><?xml version="1.0" encoding="utf-8"?>
<comments xmlns="http://schemas.openxmlformats.org/spreadsheetml/2006/main">
  <authors>
    <author>USUARIO</author>
  </authors>
  <commentList>
    <comment ref="BI15" authorId="0">
      <text>
        <r>
          <rPr>
            <b/>
            <sz val="9"/>
            <color indexed="81"/>
            <rFont val="Tahoma"/>
            <family val="2"/>
          </rPr>
          <t>DOCENTE:</t>
        </r>
        <r>
          <rPr>
            <sz val="9"/>
            <color indexed="81"/>
            <rFont val="Tahoma"/>
            <family val="2"/>
          </rPr>
          <t xml:space="preserve"> LOS DIAS TRBAJADOS SE ENCUENTRA CALCULADO EN FUCIÓN DE LA ASISTENCIA Y RETRASOS.
</t>
        </r>
      </text>
    </comment>
  </commentList>
</comments>
</file>

<file path=xl/comments3.xml><?xml version="1.0" encoding="utf-8"?>
<comments xmlns="http://schemas.openxmlformats.org/spreadsheetml/2006/main">
  <authors>
    <author>USUARIO</author>
  </authors>
  <commentList>
    <comment ref="BK15" authorId="0">
      <text>
        <r>
          <rPr>
            <b/>
            <sz val="9"/>
            <color indexed="81"/>
            <rFont val="Tahoma"/>
            <family val="2"/>
          </rPr>
          <t>DOCENTE:</t>
        </r>
        <r>
          <rPr>
            <sz val="9"/>
            <color indexed="81"/>
            <rFont val="Tahoma"/>
            <family val="2"/>
          </rPr>
          <t xml:space="preserve"> LOS DIAS TRBAJADOS SE ENCUENTRA CALCULADO EN FUCIÓN DE LA ASISTENCIA Y RETRASOS.
</t>
        </r>
      </text>
    </comment>
  </commentList>
</comments>
</file>

<file path=xl/comments4.xml><?xml version="1.0" encoding="utf-8"?>
<comments xmlns="http://schemas.openxmlformats.org/spreadsheetml/2006/main">
  <authors>
    <author>USUARIO</author>
  </authors>
  <commentList>
    <comment ref="BK15" authorId="0">
      <text>
        <r>
          <rPr>
            <b/>
            <sz val="9"/>
            <color indexed="81"/>
            <rFont val="Tahoma"/>
            <family val="2"/>
          </rPr>
          <t>DOCENTE:</t>
        </r>
        <r>
          <rPr>
            <sz val="9"/>
            <color indexed="81"/>
            <rFont val="Tahoma"/>
            <family val="2"/>
          </rPr>
          <t xml:space="preserve"> LOS DIAS TRBAJADOS SE ENCUENTRA CALCULADO EN FUCIÓN DE LA ASISTENCIA Y RETRASOS.
</t>
        </r>
      </text>
    </comment>
  </commentList>
</comments>
</file>

<file path=xl/comments5.xml><?xml version="1.0" encoding="utf-8"?>
<comments xmlns="http://schemas.openxmlformats.org/spreadsheetml/2006/main">
  <authors>
    <author>USUARIO</author>
  </authors>
  <commentList>
    <comment ref="BK15" authorId="0">
      <text>
        <r>
          <rPr>
            <b/>
            <sz val="9"/>
            <color indexed="81"/>
            <rFont val="Tahoma"/>
            <family val="2"/>
          </rPr>
          <t>DOCENTE:</t>
        </r>
        <r>
          <rPr>
            <sz val="9"/>
            <color indexed="81"/>
            <rFont val="Tahoma"/>
            <family val="2"/>
          </rPr>
          <t xml:space="preserve"> LOS DIAS TRBAJADOS SE ENCUENTRA CALCULADO EN FUCIÓN DE LA ASISTENCIA Y RETRASOS.
</t>
        </r>
      </text>
    </comment>
  </commentList>
</comments>
</file>

<file path=xl/comments6.xml><?xml version="1.0" encoding="utf-8"?>
<comments xmlns="http://schemas.openxmlformats.org/spreadsheetml/2006/main">
  <authors>
    <author>USUARIO</author>
  </authors>
  <commentList>
    <comment ref="L8" authorId="0">
      <text>
        <r>
          <rPr>
            <b/>
            <sz val="9"/>
            <color indexed="81"/>
            <rFont val="Tahoma"/>
            <family val="2"/>
          </rPr>
          <t xml:space="preserve">DOCENTE: 
OJO QUE ESTE ES EL TOTAL DE ESTUDIANTES INSCRITOS Y NO EL TOTAL DE ESTUDIANTES EFECTIVOS. 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7.xml><?xml version="1.0" encoding="utf-8"?>
<comments xmlns="http://schemas.openxmlformats.org/spreadsheetml/2006/main">
  <authors>
    <author>Miguel Angel Atto Menchacca</author>
  </authors>
  <commentList>
    <comment ref="C19" authorId="0">
      <text>
        <r>
          <rPr>
            <b/>
            <sz val="12"/>
            <color indexed="81"/>
            <rFont val="Tahoma"/>
            <family val="2"/>
          </rPr>
          <t xml:space="preserve">Este boletín no remplaza a la libreta escolar electrónica, únicamente es un instrumento de seguimiento a las y los estudiantes por parte del maestro. 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<sst xmlns="http://schemas.openxmlformats.org/spreadsheetml/2006/main" count="967" uniqueCount="430">
  <si>
    <t xml:space="preserve">DISTRITO EDUCATIVO </t>
  </si>
  <si>
    <t xml:space="preserve">UNIDAD EDUCATIVA </t>
  </si>
  <si>
    <t xml:space="preserve">NIVEL </t>
  </si>
  <si>
    <t xml:space="preserve">CAMPO </t>
  </si>
  <si>
    <t xml:space="preserve">ÁREA </t>
  </si>
  <si>
    <t xml:space="preserve">GESTIÓN </t>
  </si>
  <si>
    <t>:</t>
  </si>
  <si>
    <t xml:space="preserve">PRIMERO </t>
  </si>
  <si>
    <t xml:space="preserve">SEGUNDO </t>
  </si>
  <si>
    <t xml:space="preserve">TERCERO </t>
  </si>
  <si>
    <t xml:space="preserve">CUARTO </t>
  </si>
  <si>
    <t xml:space="preserve">QUINTO </t>
  </si>
  <si>
    <t xml:space="preserve">SEXTO </t>
  </si>
  <si>
    <t xml:space="preserve">COMUNIDAD Y SOCIEDAD </t>
  </si>
  <si>
    <t xml:space="preserve">VIDA TIERRA Y TERRITORIO </t>
  </si>
  <si>
    <t xml:space="preserve">COSMOS Y PENSAMIENTO </t>
  </si>
  <si>
    <t>LENGUA EXTRANJERA</t>
  </si>
  <si>
    <t xml:space="preserve">CIENCIAS SOCIALES </t>
  </si>
  <si>
    <t xml:space="preserve">ARTES PLÁSTICAS Y VISUALES </t>
  </si>
  <si>
    <t>MATEMÁTICA</t>
  </si>
  <si>
    <t>EDUCACIÓN MUSICAL</t>
  </si>
  <si>
    <t>ÁREA</t>
  </si>
  <si>
    <t>N°</t>
  </si>
  <si>
    <t xml:space="preserve">APELLIDOS Y NOMBRES </t>
  </si>
  <si>
    <t>FECHA NACIMIENTO</t>
  </si>
  <si>
    <t>EDAD</t>
  </si>
  <si>
    <t>LUGAR DE NAC.</t>
  </si>
  <si>
    <t>RUDE</t>
  </si>
  <si>
    <t xml:space="preserve">CI </t>
  </si>
  <si>
    <t xml:space="preserve">MASCULINO </t>
  </si>
  <si>
    <t>FEMENINO</t>
  </si>
  <si>
    <t>LP</t>
  </si>
  <si>
    <t>SC</t>
  </si>
  <si>
    <t>CB</t>
  </si>
  <si>
    <t>TR</t>
  </si>
  <si>
    <t>PT</t>
  </si>
  <si>
    <t>BN</t>
  </si>
  <si>
    <t>PN</t>
  </si>
  <si>
    <t>OR</t>
  </si>
  <si>
    <t>SCR</t>
  </si>
  <si>
    <t xml:space="preserve">REGISTRO DE ASISTENCIA 1⁰ BIMESTRE </t>
  </si>
  <si>
    <t>N</t>
  </si>
  <si>
    <t xml:space="preserve">TOTALES </t>
  </si>
  <si>
    <t>F</t>
  </si>
  <si>
    <t xml:space="preserve">INICIO DE BIMESTRE </t>
  </si>
  <si>
    <t xml:space="preserve">FIN DE BIMESTRE </t>
  </si>
  <si>
    <t xml:space="preserve">INSCRITO </t>
  </si>
  <si>
    <t>NO INCORPORADO</t>
  </si>
  <si>
    <t>RETIRO O ABANDONO</t>
  </si>
  <si>
    <t>EFECTIVO</t>
  </si>
  <si>
    <r>
      <t>ASISTENCIAS (</t>
    </r>
    <r>
      <rPr>
        <b/>
        <sz val="10"/>
        <color rgb="FFFF0000"/>
        <rFont val="Calibri"/>
        <family val="2"/>
        <scheme val="minor"/>
      </rPr>
      <t>A</t>
    </r>
    <r>
      <rPr>
        <b/>
        <sz val="10"/>
        <color theme="1"/>
        <rFont val="Calibri"/>
        <family val="2"/>
        <scheme val="minor"/>
      </rPr>
      <t>)</t>
    </r>
  </si>
  <si>
    <r>
      <t>FALTAS (</t>
    </r>
    <r>
      <rPr>
        <b/>
        <sz val="10"/>
        <color rgb="FFFF0000"/>
        <rFont val="Calibri"/>
        <family val="2"/>
        <scheme val="minor"/>
      </rPr>
      <t>F</t>
    </r>
    <r>
      <rPr>
        <b/>
        <sz val="10"/>
        <color theme="1"/>
        <rFont val="Calibri"/>
        <family val="2"/>
        <scheme val="minor"/>
      </rPr>
      <t>)</t>
    </r>
  </si>
  <si>
    <r>
      <t>RETRASOS (</t>
    </r>
    <r>
      <rPr>
        <b/>
        <sz val="10"/>
        <color rgb="FFFF0000"/>
        <rFont val="Calibri"/>
        <family val="2"/>
        <scheme val="minor"/>
      </rPr>
      <t>R</t>
    </r>
    <r>
      <rPr>
        <b/>
        <sz val="10"/>
        <color theme="1"/>
        <rFont val="Calibri"/>
        <family val="2"/>
        <scheme val="minor"/>
      </rPr>
      <t>)</t>
    </r>
  </si>
  <si>
    <r>
      <t>LICENCIAS (</t>
    </r>
    <r>
      <rPr>
        <b/>
        <sz val="10"/>
        <color rgb="FFFF0000"/>
        <rFont val="Calibri"/>
        <family val="2"/>
        <scheme val="minor"/>
      </rPr>
      <t>L</t>
    </r>
    <r>
      <rPr>
        <b/>
        <sz val="10"/>
        <color theme="1"/>
        <rFont val="Calibri"/>
        <family val="2"/>
        <scheme val="minor"/>
      </rPr>
      <t>)</t>
    </r>
  </si>
  <si>
    <t xml:space="preserve">N </t>
  </si>
  <si>
    <t xml:space="preserve">DIMENSIONES </t>
  </si>
  <si>
    <t>VALORACIÓN 10 PUN.</t>
  </si>
  <si>
    <t>VALORACIÓN 35 PUN.</t>
  </si>
  <si>
    <t>SABER - 35</t>
  </si>
  <si>
    <t>SER -10</t>
  </si>
  <si>
    <t xml:space="preserve">DECIDIR - 10 </t>
  </si>
  <si>
    <t>HACER - 35</t>
  </si>
  <si>
    <t>SER - 5</t>
  </si>
  <si>
    <t>DECIDIR - 5</t>
  </si>
  <si>
    <t>ACTIVIDADES</t>
  </si>
  <si>
    <t xml:space="preserve">NOMBRES Y APELLIDOS </t>
  </si>
  <si>
    <t>FECHA ACTUAL</t>
  </si>
  <si>
    <t>SITUACIÓN BIMESTRAL</t>
  </si>
  <si>
    <t xml:space="preserve">DÍAS RESTANTES PARA FIN DE BIMESTRE </t>
  </si>
  <si>
    <t xml:space="preserve">NOMBRE DE TUTOR </t>
  </si>
  <si>
    <t>TELF/CEL</t>
  </si>
  <si>
    <t>PARENTESCO</t>
  </si>
  <si>
    <t>DIRECCIÓN ACTUAL</t>
  </si>
  <si>
    <t>M</t>
  </si>
  <si>
    <t xml:space="preserve">NOMBRE </t>
  </si>
  <si>
    <t>SER</t>
  </si>
  <si>
    <t xml:space="preserve">SABER </t>
  </si>
  <si>
    <t>DECIDIR</t>
  </si>
  <si>
    <t xml:space="preserve">HACER </t>
  </si>
  <si>
    <t>2⁰ BIMESTRE</t>
  </si>
  <si>
    <t>3⁰ BIMESTRE</t>
  </si>
  <si>
    <t>4⁰ BIMESTRE</t>
  </si>
  <si>
    <t>1⁰ BIMESTRE</t>
  </si>
  <si>
    <t xml:space="preserve">REGISTRO DE ASISTENCIA 2⁰ BIMESTRE </t>
  </si>
  <si>
    <t xml:space="preserve">2° BIMESTRE </t>
  </si>
  <si>
    <t xml:space="preserve">1° BIMESTRE </t>
  </si>
  <si>
    <t xml:space="preserve">3° BIMESTRE </t>
  </si>
  <si>
    <t xml:space="preserve">4° BIMESTRE </t>
  </si>
  <si>
    <t>SUMA TOTAL</t>
  </si>
  <si>
    <t xml:space="preserve">SUMA TOTAL </t>
  </si>
  <si>
    <t xml:space="preserve">PROMEDIO FINAL </t>
  </si>
  <si>
    <r>
      <t>1</t>
    </r>
    <r>
      <rPr>
        <sz val="11"/>
        <color theme="1"/>
        <rFont val="Calibri"/>
        <family val="2"/>
      </rPr>
      <t xml:space="preserve">⁰ BIMESTRE </t>
    </r>
  </si>
  <si>
    <t xml:space="preserve">2⁰ BIMESTRE </t>
  </si>
  <si>
    <t xml:space="preserve">3⁰ BIMESTRE </t>
  </si>
  <si>
    <t xml:space="preserve">4⁰ BIMESTRE </t>
  </si>
  <si>
    <t xml:space="preserve">MATEMÁTICA </t>
  </si>
  <si>
    <t>TOTAL REPROBADOS POR BIMESTRE</t>
  </si>
  <si>
    <t>EDUCACIÓN FÍSICA Y DEPORTES</t>
  </si>
  <si>
    <t xml:space="preserve">AÑO DE ESCOLARIDAD </t>
  </si>
  <si>
    <t>AÑO DE ESCOLARIDAD</t>
  </si>
  <si>
    <t>A2</t>
  </si>
  <si>
    <t xml:space="preserve">RUDE </t>
  </si>
  <si>
    <t>C.I.</t>
  </si>
  <si>
    <t>NOMBRE DE TUTOR</t>
  </si>
  <si>
    <t>A1</t>
  </si>
  <si>
    <t>A3</t>
  </si>
  <si>
    <t>A4</t>
  </si>
  <si>
    <t>A5</t>
  </si>
  <si>
    <t>A6</t>
  </si>
  <si>
    <t>A7</t>
  </si>
  <si>
    <t>A8</t>
  </si>
  <si>
    <t>A9</t>
  </si>
  <si>
    <t>A10</t>
  </si>
  <si>
    <t>A11</t>
  </si>
  <si>
    <t>A12</t>
  </si>
  <si>
    <t>A13</t>
  </si>
  <si>
    <t>A14</t>
  </si>
  <si>
    <t>A15</t>
  </si>
  <si>
    <t>A16</t>
  </si>
  <si>
    <t>A17</t>
  </si>
  <si>
    <t>A18</t>
  </si>
  <si>
    <t>A19</t>
  </si>
  <si>
    <t>A20</t>
  </si>
  <si>
    <t>A21</t>
  </si>
  <si>
    <t>A22</t>
  </si>
  <si>
    <t>A23</t>
  </si>
  <si>
    <t>A24</t>
  </si>
  <si>
    <t>A25</t>
  </si>
  <si>
    <t>A26</t>
  </si>
  <si>
    <t>A27</t>
  </si>
  <si>
    <t>A28</t>
  </si>
  <si>
    <t>A29</t>
  </si>
  <si>
    <t>A30</t>
  </si>
  <si>
    <t>A31</t>
  </si>
  <si>
    <t>A32</t>
  </si>
  <si>
    <t>A33</t>
  </si>
  <si>
    <t>A34</t>
  </si>
  <si>
    <t>A35</t>
  </si>
  <si>
    <t>A36</t>
  </si>
  <si>
    <t>A37</t>
  </si>
  <si>
    <t>A38</t>
  </si>
  <si>
    <t>A39</t>
  </si>
  <si>
    <t>A40</t>
  </si>
  <si>
    <t>A41</t>
  </si>
  <si>
    <t>A42</t>
  </si>
  <si>
    <t>A43</t>
  </si>
  <si>
    <t>A44</t>
  </si>
  <si>
    <t>A45</t>
  </si>
  <si>
    <t>IMAG1</t>
  </si>
  <si>
    <t>IMAG2</t>
  </si>
  <si>
    <t>IMAG3</t>
  </si>
  <si>
    <t>IMAG4</t>
  </si>
  <si>
    <t>IMAG5</t>
  </si>
  <si>
    <t>IMAG6</t>
  </si>
  <si>
    <t>IMAG7</t>
  </si>
  <si>
    <t>IMAG8</t>
  </si>
  <si>
    <t>IMAG9</t>
  </si>
  <si>
    <t>IMAG10</t>
  </si>
  <si>
    <t>IMAG11</t>
  </si>
  <si>
    <t>IMAG12</t>
  </si>
  <si>
    <t>IMAG13</t>
  </si>
  <si>
    <t>IMAG14</t>
  </si>
  <si>
    <t>IMAG15</t>
  </si>
  <si>
    <t>IMAG16</t>
  </si>
  <si>
    <t>IMAG17</t>
  </si>
  <si>
    <t>IMAG18</t>
  </si>
  <si>
    <t>IMAG19</t>
  </si>
  <si>
    <t>IMAG20</t>
  </si>
  <si>
    <t>IMAG21</t>
  </si>
  <si>
    <t>IMAG22</t>
  </si>
  <si>
    <t>IMAG23</t>
  </si>
  <si>
    <t>IMAG24</t>
  </si>
  <si>
    <t>IMAG25</t>
  </si>
  <si>
    <t>IMAG26</t>
  </si>
  <si>
    <t>IMAG27</t>
  </si>
  <si>
    <t>IMAG28</t>
  </si>
  <si>
    <t>IMAG29</t>
  </si>
  <si>
    <t>IMAG30</t>
  </si>
  <si>
    <t>IMAG31</t>
  </si>
  <si>
    <t>IMAG32</t>
  </si>
  <si>
    <t>IMAG33</t>
  </si>
  <si>
    <t>IMAG34</t>
  </si>
  <si>
    <t>IMAG35</t>
  </si>
  <si>
    <t>IMAG36</t>
  </si>
  <si>
    <t>IMAG37</t>
  </si>
  <si>
    <t>IMAG38</t>
  </si>
  <si>
    <t>IMAG39</t>
  </si>
  <si>
    <t>IMAG40</t>
  </si>
  <si>
    <t>IMAG41</t>
  </si>
  <si>
    <t>IMAG42</t>
  </si>
  <si>
    <t>IMAG43</t>
  </si>
  <si>
    <t>IMAG44</t>
  </si>
  <si>
    <t>IMAG45</t>
  </si>
  <si>
    <t xml:space="preserve">                CENTRALIZADOR DE NOTAS </t>
  </si>
  <si>
    <t xml:space="preserve">REGISTRO DE ASISTENCIA 3⁰ BIMESTRE </t>
  </si>
  <si>
    <t xml:space="preserve">REGISTRO DE ASISTENCIA 4⁰ BIMESTRE </t>
  </si>
  <si>
    <r>
      <t>ASISTENCIAS (</t>
    </r>
    <r>
      <rPr>
        <b/>
        <sz val="9"/>
        <color rgb="FFFF0000"/>
        <rFont val="Calibri"/>
        <family val="2"/>
        <scheme val="minor"/>
      </rPr>
      <t>A</t>
    </r>
    <r>
      <rPr>
        <b/>
        <sz val="9"/>
        <color theme="1"/>
        <rFont val="Calibri"/>
        <family val="2"/>
        <scheme val="minor"/>
      </rPr>
      <t>)</t>
    </r>
  </si>
  <si>
    <r>
      <t>FALTAS (</t>
    </r>
    <r>
      <rPr>
        <b/>
        <sz val="9"/>
        <color rgb="FFFF0000"/>
        <rFont val="Calibri"/>
        <family val="2"/>
        <scheme val="minor"/>
      </rPr>
      <t>F</t>
    </r>
    <r>
      <rPr>
        <b/>
        <sz val="9"/>
        <color theme="1"/>
        <rFont val="Calibri"/>
        <family val="2"/>
        <scheme val="minor"/>
      </rPr>
      <t>)</t>
    </r>
  </si>
  <si>
    <r>
      <t>RETRASOS (</t>
    </r>
    <r>
      <rPr>
        <b/>
        <sz val="9"/>
        <color rgb="FFFF0000"/>
        <rFont val="Calibri"/>
        <family val="2"/>
        <scheme val="minor"/>
      </rPr>
      <t>R</t>
    </r>
    <r>
      <rPr>
        <b/>
        <sz val="9"/>
        <color theme="1"/>
        <rFont val="Calibri"/>
        <family val="2"/>
        <scheme val="minor"/>
      </rPr>
      <t>)</t>
    </r>
  </si>
  <si>
    <r>
      <t>LICENCIAS (</t>
    </r>
    <r>
      <rPr>
        <b/>
        <sz val="9"/>
        <color rgb="FFFF0000"/>
        <rFont val="Calibri"/>
        <family val="2"/>
        <scheme val="minor"/>
      </rPr>
      <t>L</t>
    </r>
    <r>
      <rPr>
        <b/>
        <sz val="9"/>
        <color theme="1"/>
        <rFont val="Calibri"/>
        <family val="2"/>
        <scheme val="minor"/>
      </rPr>
      <t>)</t>
    </r>
  </si>
  <si>
    <t xml:space="preserve">FECHA ACTUAL </t>
  </si>
  <si>
    <t>EV.EST.</t>
  </si>
  <si>
    <t>TOTAL FEMENINO (F)</t>
  </si>
  <si>
    <t>TOTAL MASCULINO (M)</t>
  </si>
  <si>
    <t>PROMEDIO BIMESTRAL</t>
  </si>
  <si>
    <t xml:space="preserve">CENTRALIZADOR DE NOTAS POR ÁREAS Y BIMESTRES </t>
  </si>
  <si>
    <t xml:space="preserve"> TOTAL BIMESTRAL</t>
  </si>
  <si>
    <t>TOTAL BIMESTRAL</t>
  </si>
  <si>
    <t xml:space="preserve">TOTAL ÁREAS REPROBADAS  </t>
  </si>
  <si>
    <t>DATOS DE REGISTRO</t>
  </si>
  <si>
    <t>INSCRITOS</t>
  </si>
  <si>
    <t>EFECTIVOS</t>
  </si>
  <si>
    <t>INSCRITO</t>
  </si>
  <si>
    <t>REGISTRO</t>
  </si>
  <si>
    <t>ESTADO DEL ESTUDIANTE</t>
  </si>
  <si>
    <t>CANTIDAD</t>
  </si>
  <si>
    <t xml:space="preserve">ES IMPORTANTE QUE REGISTRE EL ESTADO DEL ESTUDIANTE </t>
  </si>
  <si>
    <t xml:space="preserve">CRITERIOS DE EVALUACIÓN  </t>
  </si>
  <si>
    <t xml:space="preserve">CUADRO DE EDADES </t>
  </si>
  <si>
    <t xml:space="preserve">ESTADO ACTUAL DEL ESTUDIANTE </t>
  </si>
  <si>
    <t>PRO. ANUAL</t>
  </si>
  <si>
    <t xml:space="preserve">ÁREAS CURRICULARES </t>
  </si>
  <si>
    <t xml:space="preserve">VALORACIÓN CUANTITATIVA </t>
  </si>
  <si>
    <t xml:space="preserve">% TOTAL APROBADOS </t>
  </si>
  <si>
    <t xml:space="preserve">% TOTAL REPROBADOS </t>
  </si>
  <si>
    <t>GRÁFICO DE BARRAS SEGÚN PORCENTAJE (%) DE REPROBADOS Y APROBADOS ANUAL</t>
  </si>
  <si>
    <t xml:space="preserve">% APROBADOS </t>
  </si>
  <si>
    <t xml:space="preserve">% REPOBADOS </t>
  </si>
  <si>
    <t>N° TOTAL APROBADOS</t>
  </si>
  <si>
    <t>N° TOTAL REPROBADOS</t>
  </si>
  <si>
    <t xml:space="preserve">N° APROBADOS POR BIMESTRE </t>
  </si>
  <si>
    <t xml:space="preserve">DATOS REFERENCIALES </t>
  </si>
  <si>
    <t xml:space="preserve">DATOS DEL ESTUDIANTE </t>
  </si>
  <si>
    <t xml:space="preserve">CÓDIGO DE ESTUDIANTE </t>
  </si>
  <si>
    <t xml:space="preserve">CÓDIGO </t>
  </si>
  <si>
    <t xml:space="preserve">FOTOGRAFÍA </t>
  </si>
  <si>
    <t xml:space="preserve"> 1ER BIMESTRE</t>
  </si>
  <si>
    <t xml:space="preserve"> DÍAS TRABAJADOS </t>
  </si>
  <si>
    <t xml:space="preserve">AUTO EVALUACIÓN ESTUDIANTE </t>
  </si>
  <si>
    <t xml:space="preserve"> 2DO BIMESTRE</t>
  </si>
  <si>
    <t>EVALUACIÓN MAESTRA(O)</t>
  </si>
  <si>
    <t xml:space="preserve"> 3ER BIMESTRE</t>
  </si>
  <si>
    <t xml:space="preserve"> 4TO BIMESTRE</t>
  </si>
  <si>
    <t>A</t>
  </si>
  <si>
    <t>B</t>
  </si>
  <si>
    <t>C</t>
  </si>
  <si>
    <t>D</t>
  </si>
  <si>
    <t>CIENCIAS SOCIALES</t>
  </si>
  <si>
    <t>ARTES PLÁSTICAS Y VISUALES</t>
  </si>
  <si>
    <t>COMUNICIÓN Y LENGUAJES: L.C. Y O.</t>
  </si>
  <si>
    <t>TÉCNICA TECNOLÓGICA GENERAL</t>
  </si>
  <si>
    <t>CIENCIAS NATURALES: BIOLOGÍA-GEOGRAFÍA</t>
  </si>
  <si>
    <t>COSMOVISIONES, FILOSOFÍA Y SICOLOGÍA</t>
  </si>
  <si>
    <t>VALORES, ESPIRITUALIDAD Y RELIGIONES</t>
  </si>
  <si>
    <t>E</t>
  </si>
  <si>
    <t>TÉCNICA TECNOLÓGICA ESPECIALIZADA</t>
  </si>
  <si>
    <t>ED. SECUNDARIA COMUNITARIA PRODUCTIVA</t>
  </si>
  <si>
    <t>RED/NÚCLEO EDUCATIVO</t>
  </si>
  <si>
    <t xml:space="preserve">CIENCIA TECNOLOGÍA Y PRODUCCIÓN </t>
  </si>
  <si>
    <t>GÉNERO</t>
  </si>
  <si>
    <t>FECHA:</t>
  </si>
  <si>
    <t>REGISTRO DE VALORACIÓN 1⁰ BIMESTRE</t>
  </si>
  <si>
    <t>REGISTRO DE VALORACIÓN 2⁰ BIMESTRE</t>
  </si>
  <si>
    <t>REGISTRO DE VALORACIÓN 3⁰ BIMESTRE</t>
  </si>
  <si>
    <t>REGISTRO DE VALORACIÓN 4⁰ BIMESTRE</t>
  </si>
  <si>
    <t>APELLIDOS Y NOMBRES</t>
  </si>
  <si>
    <t xml:space="preserve">EDUCACIÓN MUSICAL </t>
  </si>
  <si>
    <t xml:space="preserve">TELÉFONO </t>
  </si>
  <si>
    <t>CIENCIAS NATURALES: BIOLOGÍA - GEOGRAFÍA</t>
  </si>
  <si>
    <t>Nº</t>
  </si>
  <si>
    <t>NOTA</t>
  </si>
  <si>
    <t>Unidad Educativa:</t>
  </si>
  <si>
    <t>Año de Escolaridad:</t>
  </si>
  <si>
    <t>Nivel:</t>
  </si>
  <si>
    <t>LUGAR</t>
  </si>
  <si>
    <t>1er lugar</t>
  </si>
  <si>
    <t>2do lugar</t>
  </si>
  <si>
    <t>3er lugar</t>
  </si>
  <si>
    <t>4to lugar</t>
  </si>
  <si>
    <t>5to lugar</t>
  </si>
  <si>
    <t>6to lugar</t>
  </si>
  <si>
    <t>7mo lugar</t>
  </si>
  <si>
    <t>8vo lugar</t>
  </si>
  <si>
    <t>9no lugar</t>
  </si>
  <si>
    <t>10mo lugar</t>
  </si>
  <si>
    <t>14to lugar</t>
  </si>
  <si>
    <t>15to lugar</t>
  </si>
  <si>
    <t>Fecha de impresión:</t>
  </si>
  <si>
    <t>ESTUDIANTES DESTACADOS 1° BIMESTRE</t>
  </si>
  <si>
    <t>ESTUDIANTES DESTACADOS ANUAL</t>
  </si>
  <si>
    <t>ESTUDIANTES DESTACADOS HASTA DEL 1° AL 2° BIMESTRE</t>
  </si>
  <si>
    <t>ESTUDIANTES DESTACADOS HASTA DEL 1° AL 3° BIMESTRE</t>
  </si>
  <si>
    <t xml:space="preserve">nombre </t>
  </si>
  <si>
    <t xml:space="preserve">promedio </t>
  </si>
  <si>
    <t>1ro lugar</t>
  </si>
  <si>
    <t>3ro lugar</t>
  </si>
  <si>
    <t>Fecha</t>
  </si>
  <si>
    <t>EV. MAESTRA/O</t>
  </si>
  <si>
    <r>
      <t xml:space="preserve">                    </t>
    </r>
    <r>
      <rPr>
        <sz val="10"/>
        <color theme="1"/>
        <rFont val="Arial"/>
        <family val="2"/>
      </rPr>
      <t xml:space="preserve"> </t>
    </r>
    <r>
      <rPr>
        <b/>
        <sz val="10"/>
        <color theme="1"/>
        <rFont val="Arial"/>
        <family val="2"/>
      </rPr>
      <t xml:space="preserve">       ÁREAS</t>
    </r>
    <r>
      <rPr>
        <sz val="10"/>
        <color theme="1"/>
        <rFont val="Aharoni"/>
        <charset val="177"/>
      </rPr>
      <t xml:space="preserve">
   APELLIDOS
          Y
   NOMBRES
</t>
    </r>
  </si>
  <si>
    <t xml:space="preserve">CIENCIAS NATURALES: QUÍMICA </t>
  </si>
  <si>
    <t xml:space="preserve">ÁREAS REPROBADAS </t>
  </si>
  <si>
    <t xml:space="preserve">PROMEDIO FINAL ANUAL </t>
  </si>
  <si>
    <t xml:space="preserve">CIENCIAS NATURALES: FÍSICA </t>
  </si>
  <si>
    <t xml:space="preserve">VALORES, ESPIRITUALIDAD Y RELIGIONES </t>
  </si>
  <si>
    <t xml:space="preserve">COMUNICACIÓN Y LENGUAJES: LENGUA CASTELLANA Y ORIGINARIA </t>
  </si>
  <si>
    <t xml:space="preserve">COSMOVISIÓNES, FILOSOFÍA Y SICOLOGÍA </t>
  </si>
  <si>
    <t xml:space="preserve">PROMEDIO BIMESTRAL Y ANUAL </t>
  </si>
  <si>
    <t xml:space="preserve">N° lista </t>
  </si>
  <si>
    <t xml:space="preserve">FECHA Y HORA </t>
  </si>
  <si>
    <t xml:space="preserve">OBSERVACIÓN </t>
  </si>
  <si>
    <t xml:space="preserve">N° LISTA </t>
  </si>
  <si>
    <t xml:space="preserve">N° Lista </t>
  </si>
  <si>
    <t>NOMBRE</t>
  </si>
  <si>
    <t>N° Lista</t>
  </si>
  <si>
    <t>FECHA Y HORA</t>
  </si>
  <si>
    <t xml:space="preserve">REGISTRO DE OBSERVACIONES 1° BIMESTRE </t>
  </si>
  <si>
    <t xml:space="preserve">REGISTRO DE OBSERVACIONES 2° BIMESTRE </t>
  </si>
  <si>
    <t>REGISTRO DE OBSERVACIONES 3° BIMESTRE</t>
  </si>
  <si>
    <t xml:space="preserve">REGISTRO DE OBSERVACIONES 4° BIMESTRE </t>
  </si>
  <si>
    <t>11mo lugar</t>
  </si>
  <si>
    <t>12mo lugar</t>
  </si>
  <si>
    <t>13ro lugar</t>
  </si>
  <si>
    <t>16to lugar</t>
  </si>
  <si>
    <t>17mo lugar</t>
  </si>
  <si>
    <t>18vo lugar</t>
  </si>
  <si>
    <t>19no lugar</t>
  </si>
  <si>
    <t>20mo lugar</t>
  </si>
  <si>
    <t>21ro lugar</t>
  </si>
  <si>
    <t>22do lugar</t>
  </si>
  <si>
    <t>23ro lugar</t>
  </si>
  <si>
    <t>24to lugar</t>
  </si>
  <si>
    <t>25to lugar</t>
  </si>
  <si>
    <t>26to lugar</t>
  </si>
  <si>
    <t>27mo lugar</t>
  </si>
  <si>
    <t>28vo lugar</t>
  </si>
  <si>
    <t>29no lugar</t>
  </si>
  <si>
    <t>30mo lugar</t>
  </si>
  <si>
    <t>31ro lugar</t>
  </si>
  <si>
    <t>32do lugar</t>
  </si>
  <si>
    <t>33ro lugar</t>
  </si>
  <si>
    <t>34to lugar</t>
  </si>
  <si>
    <t>35to lugar</t>
  </si>
  <si>
    <t>36to lugar</t>
  </si>
  <si>
    <t>37mo lugar</t>
  </si>
  <si>
    <t>38vo lugar</t>
  </si>
  <si>
    <t>39no lugar</t>
  </si>
  <si>
    <t>40mo lugar</t>
  </si>
  <si>
    <t>41ro lugar</t>
  </si>
  <si>
    <t>42do lugar</t>
  </si>
  <si>
    <t>43ro lugar</t>
  </si>
  <si>
    <t>44to lugar</t>
  </si>
  <si>
    <t>45to lugar</t>
  </si>
  <si>
    <t xml:space="preserve">pijnedo </t>
  </si>
  <si>
    <t>SSSSSSS AAAAA</t>
  </si>
  <si>
    <t>EEEEEEEEEEEEEEEEEEEEEE</t>
  </si>
  <si>
    <t>lalalalalalalalalalalala</t>
  </si>
  <si>
    <t>TÉCNICA TECNOLOGÍA GENERAL</t>
  </si>
  <si>
    <t>ESPECIALIDAD: AGROPECUARIA</t>
  </si>
  <si>
    <t>ESPECIALIDAD: AGROECOLOGÍA</t>
  </si>
  <si>
    <t>ESPECIALIDAD: VETERINARIA Y ZOOTECNIA</t>
  </si>
  <si>
    <t>ESPECIALIDAD: MECÁNICA AUTOMOTRIZ</t>
  </si>
  <si>
    <t>ESPECIALIDAD: MECÁNICA INDUSTRIAL</t>
  </si>
  <si>
    <t>ESPECIALIDAD: ELECTRÓNICA</t>
  </si>
  <si>
    <t>ESPECIALIDAD: ELECTRICIDAD</t>
  </si>
  <si>
    <t>ESPECIALIDAD: ELECTROMECÁNICA</t>
  </si>
  <si>
    <t>ESPECIALIDAD: ROBÓTICA</t>
  </si>
  <si>
    <t>ESPECIALIDAD: TURISMO Y HOTELERÍA</t>
  </si>
  <si>
    <t>ESPECIALIDAD: CONSTRUCCIÓN CIVIL</t>
  </si>
  <si>
    <t>ESPECIALIDAD: TEXTILES Y CONFECCIONES</t>
  </si>
  <si>
    <t>ESPECIALIDAD: SISTEMAS INFORMÁTICOS</t>
  </si>
  <si>
    <t>ESPECIALIDAD: ADMINISTRACIÓN</t>
  </si>
  <si>
    <t>ESPECIALIDAD: CONTABILIDAD</t>
  </si>
  <si>
    <t>ESPECIALIDAD: SECRETARIADO</t>
  </si>
  <si>
    <t>ESPECIALIDAD: ARTE Y ARTESANÍA</t>
  </si>
  <si>
    <t>ESPECIALIDAD: QUÍMICA INDUSTRIAL</t>
  </si>
  <si>
    <t>ESPECIALIDAD: COMUNICACIÓN</t>
  </si>
  <si>
    <t>ESPECIALIDAD: GASTRONOMÍA</t>
  </si>
  <si>
    <t xml:space="preserve">BTH-GENERAL /ESPECIALIZADA </t>
  </si>
  <si>
    <t xml:space="preserve">Su comentario fue registrado </t>
  </si>
  <si>
    <t>Su comentario fue registrado</t>
  </si>
  <si>
    <t xml:space="preserve">VALORACIÓN </t>
  </si>
  <si>
    <t>Maestra/o:</t>
  </si>
  <si>
    <t>DIRECTORA/OR</t>
  </si>
  <si>
    <t>MAESTRA/O</t>
  </si>
  <si>
    <t xml:space="preserve">REGISTRO Y CUADRO DE AFILIACIÓN </t>
  </si>
  <si>
    <t xml:space="preserve">COSMOVISIONES, FILOSOFÍA Y SICOLOGÍA </t>
  </si>
  <si>
    <t>ESPECIALIDAD: TRANSFORMACIÓN  DE ALIMENTOS</t>
  </si>
  <si>
    <t xml:space="preserve">ESPECIALIDAD: INSTALACIONES DE GAS DOMICILIARIO </t>
  </si>
  <si>
    <t xml:space="preserve">ESPECIALIDAD: LENGUA EXTRANJERA: INGLES </t>
  </si>
  <si>
    <t>ESPECIALIDAD: CARPINTERÍA EN MADERA</t>
  </si>
  <si>
    <t xml:space="preserve">ESPECIALIDAD: CARPINTERÍA METÁLICA </t>
  </si>
  <si>
    <t xml:space="preserve">ESPECIALIDAD: VITICULTURA Y ENOLOGÍA </t>
  </si>
  <si>
    <t xml:space="preserve">ESPECIALIDAD: DISEÑO GRÁFICO </t>
  </si>
  <si>
    <t xml:space="preserve">ESPECIALIDAD: MERCADOTECNIA </t>
  </si>
  <si>
    <t xml:space="preserve">ESPECIALIDAD: CERÁMICA Y ALFARERÍA </t>
  </si>
  <si>
    <t xml:space="preserve">ESPECIALIDAD: RESTAURACIÓN Y CONSERVACIÓN PATRIMONIAL </t>
  </si>
  <si>
    <t xml:space="preserve">ESPECIALIDAD: LENGUAS INDÍGENAS ORIGINARIA </t>
  </si>
  <si>
    <t xml:space="preserve">ESPECIALIDAD: INSTRUMENTO MUSICAL - CUERDA </t>
  </si>
  <si>
    <t xml:space="preserve">ESPECIALIDAD: INSTRUMENTO MUSICAL - PERCUSIÓN </t>
  </si>
  <si>
    <t xml:space="preserve">ESPECIALIDAD: INSTRUMENTO MUSICAL - VIENTO </t>
  </si>
  <si>
    <t>ESPECIALIDAD: TEATRO</t>
  </si>
  <si>
    <t>ESPECIALIDAD: CANTO</t>
  </si>
  <si>
    <t xml:space="preserve">ESPECIALIDAD: DANZA MODERNA </t>
  </si>
  <si>
    <t xml:space="preserve">ESPECIALIDAD: BELLEZA INTEGRAL </t>
  </si>
  <si>
    <t xml:space="preserve">ESPECIALIDAD: SALUD Y PRIMEROS AUXILIOS </t>
  </si>
  <si>
    <t xml:space="preserve">ESPECIALIDAD: TEJIDOS Y TELARES </t>
  </si>
  <si>
    <t>SUAREZ EVELIN ISELA</t>
  </si>
  <si>
    <t>AÑAZGO  VARGAS NOELIA</t>
  </si>
  <si>
    <t>AQUISE HINOJOSA YHAMIR FABIO</t>
  </si>
  <si>
    <t>ARGANI  LAREDO MARIA JESUS</t>
  </si>
  <si>
    <t>BALBOA  PAZ ANTHONY JR</t>
  </si>
  <si>
    <t>CAMACHO SALGADO LEONARDO</t>
  </si>
  <si>
    <t>CAYO CALLE JUAN PABLO</t>
  </si>
  <si>
    <t>CONDE ZARATE ASHLY OTHANY</t>
  </si>
  <si>
    <t>CORTEZ RODRIGUEZ  GONZALO AXCELL</t>
  </si>
  <si>
    <t>HILAYA  TORREZ CARLA JHULIANA</t>
  </si>
  <si>
    <t>HUANCA CALLISAYA  PATRICIA</t>
  </si>
  <si>
    <t>LIMACHI RADA GERMAN DOMINGO</t>
  </si>
  <si>
    <t>MANTILLA SANCHEZ CAROLINA VALERIA</t>
  </si>
  <si>
    <t>MULLER  ESCOBAR MARCIA BIBIANA</t>
  </si>
  <si>
    <t xml:space="preserve">POMA MAMANI ADRIAN </t>
  </si>
  <si>
    <t>PORTILLO  JALJA JHOSEP ERLAN</t>
  </si>
  <si>
    <t>PUJRO  CHAUCA DIANA MARIBEL</t>
  </si>
  <si>
    <t>SANCHEZ  MOLINA ALEXIS VHADIR</t>
  </si>
  <si>
    <t>SARAVIA SALVATIERRA JOSSE AMED</t>
  </si>
  <si>
    <t>SIERRA LUNA GABRIEL  GERMAN</t>
  </si>
  <si>
    <t>ZEWANE  MARTINEZ LINDA JHAMILETT</t>
  </si>
  <si>
    <t>AYLLON MOLLO RONNY BRUCE</t>
  </si>
  <si>
    <t>ALARCON  VARGAS JAIR ALEXIS</t>
  </si>
  <si>
    <t>CARRION MARGUAY FABIANA ALEXANDRA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</si>
</sst>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41" formatCode="_(* #,##0_);_(* \(#,##0\);_(* &quot;-&quot;_);_(@_)"/>
    <numFmt numFmtId="164" formatCode="0.000"/>
    <numFmt numFmtId="165" formatCode="0.0000"/>
    <numFmt numFmtId="166" formatCode="dd/mm/yyyy\ hh:mm\ AM/PM"/>
    <numFmt numFmtId="167" formatCode="0.0"/>
  </numFmts>
  <fonts count="12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theme="3" tint="-0.499984740745262"/>
      <name val="Calibri"/>
      <family val="2"/>
      <scheme val="minor"/>
    </font>
    <font>
      <sz val="11"/>
      <color theme="2" tint="-0.249977111117893"/>
      <name val="Calibri"/>
      <family val="2"/>
      <scheme val="minor"/>
    </font>
    <font>
      <b/>
      <sz val="22"/>
      <color rgb="FF002060"/>
      <name val="Aharoni"/>
      <charset val="177"/>
    </font>
    <font>
      <sz val="11"/>
      <color rgb="FF002060"/>
      <name val="Calibri"/>
      <family val="2"/>
      <scheme val="minor"/>
    </font>
    <font>
      <b/>
      <sz val="11"/>
      <color theme="3" tint="-0.499984740745262"/>
      <name val="Arial"/>
      <family val="2"/>
    </font>
    <font>
      <b/>
      <sz val="12"/>
      <color theme="3" tint="-0.499984740745262"/>
      <name val="Arial"/>
      <family val="2"/>
    </font>
    <font>
      <b/>
      <sz val="11"/>
      <color rgb="FF002060"/>
      <name val="Arial"/>
      <family val="2"/>
    </font>
    <font>
      <sz val="11"/>
      <color rgb="FF002060"/>
      <name val="Arial"/>
      <family val="2"/>
    </font>
    <font>
      <sz val="12"/>
      <color rgb="FF002060"/>
      <name val="Arial"/>
      <family val="2"/>
    </font>
    <font>
      <b/>
      <sz val="9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22"/>
      <color theme="1"/>
      <name val="Arial Black"/>
      <family val="2"/>
    </font>
    <font>
      <sz val="22"/>
      <color theme="1"/>
      <name val="Arial Black"/>
      <family val="2"/>
    </font>
    <font>
      <sz val="11"/>
      <color theme="1"/>
      <name val="Arial"/>
      <family val="2"/>
    </font>
    <font>
      <sz val="12"/>
      <color theme="1"/>
      <name val="Arial"/>
      <family val="2"/>
    </font>
    <font>
      <b/>
      <sz val="12"/>
      <color theme="1"/>
      <name val="Arial"/>
      <family val="2"/>
    </font>
    <font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color rgb="FFFF0000"/>
      <name val="Calibri"/>
      <family val="2"/>
      <scheme val="minor"/>
    </font>
    <font>
      <sz val="22"/>
      <color theme="1"/>
      <name val="Aharoni"/>
      <charset val="177"/>
    </font>
    <font>
      <b/>
      <sz val="10"/>
      <color theme="1"/>
      <name val="Arial"/>
      <family val="2"/>
    </font>
    <font>
      <b/>
      <sz val="9"/>
      <color theme="1"/>
      <name val="Arial"/>
      <family val="2"/>
    </font>
    <font>
      <sz val="8"/>
      <color theme="1"/>
      <name val="Calibri"/>
      <family val="2"/>
      <scheme val="minor"/>
    </font>
    <font>
      <b/>
      <sz val="11"/>
      <color theme="1"/>
      <name val="Arial"/>
      <family val="2"/>
    </font>
    <font>
      <b/>
      <sz val="8"/>
      <color theme="1"/>
      <name val="Arial"/>
      <family val="2"/>
    </font>
    <font>
      <b/>
      <sz val="14"/>
      <color theme="1"/>
      <name val="Calibri"/>
      <family val="2"/>
      <scheme val="minor"/>
    </font>
    <font>
      <b/>
      <sz val="14"/>
      <color theme="1"/>
      <name val="Arial"/>
      <family val="2"/>
    </font>
    <font>
      <b/>
      <sz val="8"/>
      <color theme="1"/>
      <name val="Calibri"/>
      <family val="2"/>
      <scheme val="minor"/>
    </font>
    <font>
      <sz val="14"/>
      <color theme="1"/>
      <name val="Arial Black"/>
      <family val="2"/>
    </font>
    <font>
      <sz val="72"/>
      <color theme="1"/>
      <name val="Calibri"/>
      <family val="2"/>
      <scheme val="minor"/>
    </font>
    <font>
      <sz val="7.5"/>
      <color theme="1"/>
      <name val="Arial"/>
      <family val="2"/>
    </font>
    <font>
      <sz val="11"/>
      <name val="Calibri"/>
      <family val="2"/>
      <scheme val="minor"/>
    </font>
    <font>
      <b/>
      <sz val="12"/>
      <name val="Calibri"/>
      <family val="2"/>
      <scheme val="minor"/>
    </font>
    <font>
      <sz val="10"/>
      <color theme="1"/>
      <name val="Arial"/>
      <family val="2"/>
    </font>
    <font>
      <sz val="10"/>
      <color theme="8" tint="-0.499984740745262"/>
      <name val="Arial"/>
      <family val="2"/>
    </font>
    <font>
      <b/>
      <sz val="10"/>
      <color rgb="FF0070C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20"/>
      <color theme="1"/>
      <name val="Arial"/>
      <family val="2"/>
    </font>
    <font>
      <b/>
      <sz val="7"/>
      <color theme="1"/>
      <name val="Arial"/>
      <family val="2"/>
    </font>
    <font>
      <b/>
      <sz val="9"/>
      <color rgb="FFFF0000"/>
      <name val="Arial"/>
      <family val="2"/>
    </font>
    <font>
      <sz val="11"/>
      <color theme="1"/>
      <name val="Aharoni"/>
      <charset val="177"/>
    </font>
    <font>
      <sz val="11"/>
      <color theme="1"/>
      <name val="Calibri"/>
      <family val="2"/>
    </font>
    <font>
      <sz val="9"/>
      <color theme="1"/>
      <name val="Calibri"/>
      <family val="2"/>
      <scheme val="minor"/>
    </font>
    <font>
      <sz val="9"/>
      <color rgb="FFFF0000"/>
      <name val="Calibri"/>
      <family val="2"/>
      <scheme val="minor"/>
    </font>
    <font>
      <b/>
      <sz val="16"/>
      <color theme="1"/>
      <name val="Arial"/>
      <family val="2"/>
    </font>
    <font>
      <sz val="11"/>
      <color theme="4" tint="-0.499984740745262"/>
      <name val="Arial"/>
      <family val="2"/>
    </font>
    <font>
      <b/>
      <sz val="9"/>
      <color theme="8" tint="-0.499984740745262"/>
      <name val="Arial"/>
      <family val="2"/>
    </font>
    <font>
      <b/>
      <sz val="9"/>
      <color rgb="FF0070C0"/>
      <name val="Arial"/>
      <family val="2"/>
    </font>
    <font>
      <b/>
      <sz val="9"/>
      <color rgb="FFFF0000"/>
      <name val="Calibri"/>
      <family val="2"/>
    </font>
    <font>
      <b/>
      <sz val="11"/>
      <color theme="1"/>
      <name val="Lao UI"/>
      <family val="2"/>
    </font>
    <font>
      <b/>
      <sz val="10"/>
      <color theme="1"/>
      <name val="Lao UI"/>
      <family val="2"/>
    </font>
    <font>
      <sz val="8"/>
      <color theme="1"/>
      <name val="Arial"/>
      <family val="2"/>
    </font>
    <font>
      <b/>
      <sz val="10"/>
      <color theme="0"/>
      <name val="Arial"/>
      <family val="2"/>
    </font>
    <font>
      <sz val="9"/>
      <color theme="1"/>
      <name val="Arial"/>
      <family val="2"/>
    </font>
    <font>
      <sz val="7"/>
      <color theme="1"/>
      <name val="Arial"/>
      <family val="2"/>
    </font>
    <font>
      <sz val="22"/>
      <color theme="1"/>
      <name val="Calibri"/>
      <family val="2"/>
      <scheme val="minor"/>
    </font>
    <font>
      <b/>
      <sz val="9"/>
      <color theme="4" tint="-0.499984740745262"/>
      <name val="Arial"/>
      <family val="2"/>
    </font>
    <font>
      <sz val="11"/>
      <color theme="4" tint="-0.499984740745262"/>
      <name val="Calibri"/>
      <family val="2"/>
      <scheme val="minor"/>
    </font>
    <font>
      <b/>
      <sz val="11"/>
      <color theme="4" tint="-0.499984740745262"/>
      <name val="Arial"/>
      <family val="2"/>
    </font>
    <font>
      <b/>
      <sz val="10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1" tint="4.9989318521683403E-2"/>
      <name val="Calibri"/>
      <family val="2"/>
      <scheme val="minor"/>
    </font>
    <font>
      <b/>
      <sz val="9"/>
      <color rgb="FFFF0000"/>
      <name val="Calibri"/>
      <family val="2"/>
      <scheme val="minor"/>
    </font>
    <font>
      <b/>
      <sz val="6.55"/>
      <color theme="1"/>
      <name val="Calibri"/>
      <family val="2"/>
      <scheme val="minor"/>
    </font>
    <font>
      <b/>
      <sz val="6.5"/>
      <color theme="1"/>
      <name val="Calibri"/>
      <family val="2"/>
      <scheme val="minor"/>
    </font>
    <font>
      <b/>
      <sz val="6.5"/>
      <color theme="1"/>
      <name val="Arial"/>
      <family val="2"/>
    </font>
    <font>
      <sz val="8"/>
      <color rgb="FFFF0000"/>
      <name val="Calibri"/>
      <family val="2"/>
      <scheme val="minor"/>
    </font>
    <font>
      <b/>
      <sz val="9"/>
      <color rgb="FF0070C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8"/>
      <color theme="3" tint="-0.499984740745262"/>
      <name val="Calibri"/>
      <family val="2"/>
      <scheme val="minor"/>
    </font>
    <font>
      <sz val="9"/>
      <color theme="0"/>
      <name val="Calibri"/>
      <family val="2"/>
      <scheme val="minor"/>
    </font>
    <font>
      <sz val="7"/>
      <color theme="1"/>
      <name val="Calibri"/>
      <family val="2"/>
      <scheme val="minor"/>
    </font>
    <font>
      <b/>
      <sz val="11"/>
      <color theme="1"/>
      <name val="Aharoni"/>
      <charset val="177"/>
    </font>
    <font>
      <sz val="12"/>
      <color rgb="FFFF0000"/>
      <name val="Calibri"/>
      <family val="2"/>
      <scheme val="minor"/>
    </font>
    <font>
      <b/>
      <sz val="10"/>
      <color rgb="FF002060"/>
      <name val="Arial Black"/>
      <family val="2"/>
    </font>
    <font>
      <b/>
      <sz val="11"/>
      <color rgb="FF0070C0"/>
      <name val="Arial Rounded MT Bold"/>
      <family val="2"/>
    </font>
    <font>
      <b/>
      <sz val="11"/>
      <color rgb="FF0070C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b/>
      <sz val="11"/>
      <name val="Arial"/>
      <family val="2"/>
    </font>
    <font>
      <sz val="7"/>
      <name val="Arial"/>
      <family val="2"/>
    </font>
    <font>
      <b/>
      <sz val="14"/>
      <color rgb="FF002060"/>
      <name val="Arial"/>
      <family val="2"/>
    </font>
    <font>
      <sz val="11"/>
      <color theme="0"/>
      <name val="Arial"/>
      <family val="2"/>
    </font>
    <font>
      <sz val="10"/>
      <color rgb="FF0070C0"/>
      <name val="Arial"/>
      <family val="2"/>
    </font>
    <font>
      <sz val="14"/>
      <color rgb="FF0070C0"/>
      <name val="Arial"/>
      <family val="2"/>
    </font>
    <font>
      <sz val="11"/>
      <color theme="1"/>
      <name val="Lao UI"/>
      <family val="2"/>
    </font>
    <font>
      <sz val="10"/>
      <color theme="3" tint="-0.249977111117893"/>
      <name val="Arial"/>
      <family val="2"/>
    </font>
    <font>
      <sz val="10"/>
      <color theme="0"/>
      <name val="Arial"/>
      <family val="2"/>
    </font>
    <font>
      <b/>
      <sz val="14"/>
      <color rgb="FF0070C0"/>
      <name val="Arial Rounded MT Bold"/>
      <family val="2"/>
    </font>
    <font>
      <sz val="12"/>
      <name val="Arial"/>
      <family val="2"/>
    </font>
    <font>
      <b/>
      <sz val="12"/>
      <name val="Arial"/>
      <family val="2"/>
    </font>
    <font>
      <sz val="10"/>
      <color theme="1"/>
      <name val="Aharoni"/>
      <charset val="177"/>
    </font>
    <font>
      <b/>
      <sz val="11"/>
      <color theme="0"/>
      <name val="Calibri"/>
      <family val="2"/>
      <scheme val="minor"/>
    </font>
    <font>
      <b/>
      <sz val="11"/>
      <name val="Arial Rounded MT Bold"/>
      <family val="2"/>
    </font>
    <font>
      <b/>
      <sz val="11"/>
      <color theme="1"/>
      <name val="Calibri"/>
      <family val="2"/>
    </font>
    <font>
      <b/>
      <sz val="20"/>
      <color theme="0"/>
      <name val="Aharoni"/>
      <charset val="177"/>
    </font>
    <font>
      <b/>
      <sz val="11"/>
      <color theme="4" tint="-0.499984740745262"/>
      <name val="Calibri"/>
      <family val="2"/>
      <scheme val="minor"/>
    </font>
    <font>
      <b/>
      <sz val="11"/>
      <color theme="0" tint="-0.249977111117893"/>
      <name val="Arial"/>
      <family val="2"/>
    </font>
    <font>
      <sz val="10"/>
      <color indexed="81"/>
      <name val="Arial"/>
      <family val="2"/>
    </font>
    <font>
      <b/>
      <sz val="10"/>
      <color indexed="81"/>
      <name val="Arial"/>
      <family val="2"/>
    </font>
    <font>
      <b/>
      <sz val="11"/>
      <color theme="0"/>
      <name val="Arial"/>
      <family val="2"/>
    </font>
    <font>
      <b/>
      <sz val="16"/>
      <color theme="1"/>
      <name val="Calibri"/>
      <family val="2"/>
      <scheme val="minor"/>
    </font>
    <font>
      <b/>
      <sz val="11"/>
      <color theme="0"/>
      <name val="Lao UI"/>
      <family val="2"/>
    </font>
    <font>
      <sz val="14"/>
      <color theme="1"/>
      <name val="Lao UI"/>
      <family val="2"/>
    </font>
    <font>
      <b/>
      <sz val="14"/>
      <color theme="1"/>
      <name val="Lao UI"/>
      <family val="2"/>
    </font>
    <font>
      <sz val="10"/>
      <color theme="1"/>
      <name val="Lao UI"/>
      <family val="2"/>
    </font>
    <font>
      <sz val="12"/>
      <color theme="1"/>
      <name val="Lao UI"/>
      <family val="2"/>
    </font>
    <font>
      <sz val="10"/>
      <name val="Lao UI"/>
      <family val="2"/>
    </font>
    <font>
      <b/>
      <sz val="12"/>
      <color theme="0"/>
      <name val="Lao UI"/>
      <family val="2"/>
    </font>
    <font>
      <sz val="11"/>
      <color rgb="FFC00000"/>
      <name val="Arial"/>
      <family val="2"/>
    </font>
    <font>
      <b/>
      <sz val="12"/>
      <color indexed="81"/>
      <name val="Tahoma"/>
      <family val="2"/>
    </font>
    <font>
      <sz val="9"/>
      <name val="Arial"/>
      <family val="2"/>
    </font>
    <font>
      <sz val="9"/>
      <color rgb="FF000000"/>
      <name val="Arial"/>
      <family val="2"/>
    </font>
  </fonts>
  <fills count="34">
    <fill>
      <patternFill patternType="none"/>
    </fill>
    <fill>
      <patternFill patternType="gray125"/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4BFF9C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7" tint="0.59999389629810485"/>
        <bgColor indexed="64"/>
      </patternFill>
    </fill>
  </fills>
  <borders count="137">
    <border>
      <left/>
      <right/>
      <top/>
      <bottom/>
      <diagonal/>
    </border>
    <border>
      <left style="medium">
        <color theme="8"/>
      </left>
      <right style="medium">
        <color theme="8"/>
      </right>
      <top style="medium">
        <color theme="8"/>
      </top>
      <bottom style="medium">
        <color theme="8"/>
      </bottom>
      <diagonal/>
    </border>
    <border>
      <left/>
      <right/>
      <top style="thick">
        <color theme="1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theme="4" tint="-0.249977111117893"/>
      </left>
      <right style="thin">
        <color theme="4" tint="-0.249977111117893"/>
      </right>
      <top style="thin">
        <color theme="4" tint="-0.249977111117893"/>
      </top>
      <bottom style="thin">
        <color theme="4" tint="-0.249977111117893"/>
      </bottom>
      <diagonal/>
    </border>
    <border>
      <left/>
      <right/>
      <top/>
      <bottom style="medium">
        <color theme="4" tint="-0.249977111117893"/>
      </bottom>
      <diagonal/>
    </border>
    <border>
      <left/>
      <right/>
      <top style="medium">
        <color theme="4" tint="-0.249977111117893"/>
      </top>
      <bottom/>
      <diagonal/>
    </border>
    <border>
      <left style="thin">
        <color theme="5" tint="-0.499984740745262"/>
      </left>
      <right style="thin">
        <color theme="5" tint="-0.499984740745262"/>
      </right>
      <top style="thin">
        <color theme="5" tint="-0.499984740745262"/>
      </top>
      <bottom style="thin">
        <color theme="5" tint="-0.499984740745262"/>
      </bottom>
      <diagonal/>
    </border>
    <border>
      <left style="thin">
        <color theme="4" tint="-0.249977111117893"/>
      </left>
      <right/>
      <top style="thin">
        <color theme="4" tint="-0.249977111117893"/>
      </top>
      <bottom style="thin">
        <color theme="4" tint="-0.249977111117893"/>
      </bottom>
      <diagonal/>
    </border>
    <border>
      <left style="thin">
        <color rgb="FF7030A0"/>
      </left>
      <right style="thin">
        <color rgb="FF7030A0"/>
      </right>
      <top style="thin">
        <color rgb="FF7030A0"/>
      </top>
      <bottom style="thin">
        <color rgb="FF7030A0"/>
      </bottom>
      <diagonal/>
    </border>
    <border>
      <left style="thin">
        <color theme="5" tint="-0.499984740745262"/>
      </left>
      <right/>
      <top style="thin">
        <color theme="5" tint="-0.499984740745262"/>
      </top>
      <bottom style="thin">
        <color theme="5" tint="-0.499984740745262"/>
      </bottom>
      <diagonal/>
    </border>
    <border>
      <left style="thin">
        <color theme="4" tint="-0.249977111117893"/>
      </left>
      <right style="thin">
        <color theme="4" tint="-0.249977111117893"/>
      </right>
      <top/>
      <bottom style="thin">
        <color theme="4" tint="-0.249977111117893"/>
      </bottom>
      <diagonal/>
    </border>
    <border>
      <left style="thin">
        <color theme="5" tint="-0.499984740745262"/>
      </left>
      <right style="thin">
        <color theme="5" tint="-0.499984740745262"/>
      </right>
      <top/>
      <bottom style="thin">
        <color theme="5" tint="-0.499984740745262"/>
      </bottom>
      <diagonal/>
    </border>
    <border>
      <left style="thin">
        <color theme="5" tint="-0.499984740745262"/>
      </left>
      <right/>
      <top/>
      <bottom style="thin">
        <color theme="5" tint="-0.499984740745262"/>
      </bottom>
      <diagonal/>
    </border>
    <border>
      <left style="thin">
        <color rgb="FF7030A0"/>
      </left>
      <right style="thin">
        <color rgb="FF7030A0"/>
      </right>
      <top/>
      <bottom style="thin">
        <color rgb="FF7030A0"/>
      </bottom>
      <diagonal/>
    </border>
    <border>
      <left style="medium">
        <color rgb="FF7030A0"/>
      </left>
      <right/>
      <top style="medium">
        <color rgb="FF7030A0"/>
      </top>
      <bottom/>
      <diagonal/>
    </border>
    <border>
      <left/>
      <right/>
      <top style="medium">
        <color rgb="FF7030A0"/>
      </top>
      <bottom/>
      <diagonal/>
    </border>
    <border>
      <left/>
      <right style="medium">
        <color rgb="FF7030A0"/>
      </right>
      <top style="medium">
        <color rgb="FF7030A0"/>
      </top>
      <bottom/>
      <diagonal/>
    </border>
    <border>
      <left style="medium">
        <color rgb="FF7030A0"/>
      </left>
      <right/>
      <top/>
      <bottom/>
      <diagonal/>
    </border>
    <border>
      <left/>
      <right style="medium">
        <color rgb="FF7030A0"/>
      </right>
      <top/>
      <bottom/>
      <diagonal/>
    </border>
    <border>
      <left style="medium">
        <color rgb="FF7030A0"/>
      </left>
      <right style="thin">
        <color theme="4" tint="-0.249977111117893"/>
      </right>
      <top style="thin">
        <color theme="4" tint="-0.249977111117893"/>
      </top>
      <bottom style="thin">
        <color theme="4" tint="-0.249977111117893"/>
      </bottom>
      <diagonal/>
    </border>
    <border>
      <left style="thin">
        <color rgb="FF7030A0"/>
      </left>
      <right style="medium">
        <color rgb="FF7030A0"/>
      </right>
      <top style="thin">
        <color rgb="FF7030A0"/>
      </top>
      <bottom style="thin">
        <color rgb="FF7030A0"/>
      </bottom>
      <diagonal/>
    </border>
    <border>
      <left style="medium">
        <color rgb="FF7030A0"/>
      </left>
      <right style="thin">
        <color theme="4" tint="-0.249977111117893"/>
      </right>
      <top style="thin">
        <color theme="4" tint="-0.249977111117893"/>
      </top>
      <bottom style="medium">
        <color rgb="FF7030A0"/>
      </bottom>
      <diagonal/>
    </border>
    <border>
      <left style="thin">
        <color theme="4" tint="-0.249977111117893"/>
      </left>
      <right style="thin">
        <color theme="4" tint="-0.249977111117893"/>
      </right>
      <top style="thin">
        <color theme="4" tint="-0.249977111117893"/>
      </top>
      <bottom style="medium">
        <color rgb="FF7030A0"/>
      </bottom>
      <diagonal/>
    </border>
    <border>
      <left style="thin">
        <color theme="4" tint="-0.249977111117893"/>
      </left>
      <right/>
      <top style="thin">
        <color theme="4" tint="-0.249977111117893"/>
      </top>
      <bottom style="medium">
        <color rgb="FF7030A0"/>
      </bottom>
      <diagonal/>
    </border>
    <border>
      <left style="thin">
        <color theme="5" tint="-0.499984740745262"/>
      </left>
      <right style="thin">
        <color theme="5" tint="-0.499984740745262"/>
      </right>
      <top style="thin">
        <color theme="5" tint="-0.499984740745262"/>
      </top>
      <bottom style="medium">
        <color rgb="FF7030A0"/>
      </bottom>
      <diagonal/>
    </border>
    <border>
      <left style="thin">
        <color theme="5" tint="-0.499984740745262"/>
      </left>
      <right/>
      <top style="thin">
        <color theme="5" tint="-0.499984740745262"/>
      </top>
      <bottom style="medium">
        <color rgb="FF7030A0"/>
      </bottom>
      <diagonal/>
    </border>
    <border>
      <left style="thin">
        <color rgb="FF7030A0"/>
      </left>
      <right style="medium">
        <color rgb="FF7030A0"/>
      </right>
      <top style="thin">
        <color rgb="FF7030A0"/>
      </top>
      <bottom style="medium">
        <color rgb="FF7030A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ck">
        <color theme="3" tint="-0.499984740745262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theme="3" tint="-0.499984740745262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ck">
        <color theme="3" tint="-0.499984740745262"/>
      </right>
      <top/>
      <bottom style="thin">
        <color indexed="64"/>
      </bottom>
      <diagonal/>
    </border>
    <border>
      <left style="thin">
        <color theme="3" tint="-0.499984740745262"/>
      </left>
      <right style="thin">
        <color theme="3" tint="-0.499984740745262"/>
      </right>
      <top style="thin">
        <color theme="3" tint="-0.499984740745262"/>
      </top>
      <bottom style="thin">
        <color theme="3" tint="-0.499984740745262"/>
      </bottom>
      <diagonal/>
    </border>
    <border>
      <left style="thin">
        <color theme="3" tint="-0.499984740745262"/>
      </left>
      <right/>
      <top style="thin">
        <color theme="3" tint="-0.499984740745262"/>
      </top>
      <bottom style="thin">
        <color theme="3" tint="-0.499984740745262"/>
      </bottom>
      <diagonal/>
    </border>
    <border>
      <left style="thin">
        <color theme="3" tint="-0.499984740745262"/>
      </left>
      <right style="thin">
        <color theme="3" tint="-0.499984740745262"/>
      </right>
      <top style="thin">
        <color theme="3" tint="-0.499984740745262"/>
      </top>
      <bottom/>
      <diagonal/>
    </border>
    <border>
      <left style="thin">
        <color theme="3" tint="-0.499984740745262"/>
      </left>
      <right style="thin">
        <color theme="3" tint="-0.499984740745262"/>
      </right>
      <top/>
      <bottom/>
      <diagonal/>
    </border>
    <border>
      <left style="thin">
        <color theme="3" tint="-0.499984740745262"/>
      </left>
      <right style="thin">
        <color theme="3" tint="-0.499984740745262"/>
      </right>
      <top/>
      <bottom style="thin">
        <color theme="3" tint="-0.499984740745262"/>
      </bottom>
      <diagonal/>
    </border>
    <border>
      <left style="thin">
        <color theme="3" tint="-0.499984740745262"/>
      </left>
      <right/>
      <top/>
      <bottom/>
      <diagonal/>
    </border>
    <border>
      <left style="thin">
        <color theme="3" tint="-0.499984740745262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theme="3" tint="-0.499984740745262"/>
      </top>
      <bottom style="thin">
        <color indexed="64"/>
      </bottom>
      <diagonal/>
    </border>
    <border>
      <left/>
      <right style="thin">
        <color indexed="64"/>
      </right>
      <top style="thin">
        <color theme="3" tint="-0.499984740745262"/>
      </top>
      <bottom style="thin">
        <color indexed="64"/>
      </bottom>
      <diagonal/>
    </border>
    <border>
      <left style="thin">
        <color theme="3" tint="-0.499984740745262"/>
      </left>
      <right/>
      <top style="thin">
        <color theme="3" tint="-0.499984740745262"/>
      </top>
      <bottom/>
      <diagonal/>
    </border>
    <border>
      <left/>
      <right/>
      <top style="thin">
        <color theme="3" tint="-0.499984740745262"/>
      </top>
      <bottom/>
      <diagonal/>
    </border>
    <border>
      <left/>
      <right style="thin">
        <color theme="3" tint="-0.499984740745262"/>
      </right>
      <top style="thin">
        <color theme="3" tint="-0.499984740745262"/>
      </top>
      <bottom/>
      <diagonal/>
    </border>
    <border>
      <left/>
      <right style="thin">
        <color theme="3" tint="-0.499984740745262"/>
      </right>
      <top/>
      <bottom/>
      <diagonal/>
    </border>
    <border>
      <left style="thin">
        <color theme="3" tint="-0.499984740745262"/>
      </left>
      <right/>
      <top/>
      <bottom style="thin">
        <color theme="3" tint="-0.499984740745262"/>
      </bottom>
      <diagonal/>
    </border>
    <border>
      <left/>
      <right/>
      <top/>
      <bottom style="thin">
        <color theme="3" tint="-0.499984740745262"/>
      </bottom>
      <diagonal/>
    </border>
    <border>
      <left/>
      <right style="thin">
        <color theme="3" tint="-0.499984740745262"/>
      </right>
      <top/>
      <bottom style="thin">
        <color theme="3" tint="-0.499984740745262"/>
      </bottom>
      <diagonal/>
    </border>
    <border>
      <left/>
      <right/>
      <top/>
      <bottom style="medium">
        <color theme="3" tint="-0.499984740745262"/>
      </bottom>
      <diagonal/>
    </border>
    <border>
      <left/>
      <right/>
      <top style="medium">
        <color theme="3" tint="-0.499984740745262"/>
      </top>
      <bottom/>
      <diagonal/>
    </border>
    <border>
      <left style="thin">
        <color indexed="64"/>
      </left>
      <right style="thin">
        <color theme="3" tint="-0.499984740745262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3" tint="-0.499984740745262"/>
      </top>
      <bottom style="thin">
        <color theme="3" tint="-0.499984740745262"/>
      </bottom>
      <diagonal/>
    </border>
    <border>
      <left/>
      <right style="thin">
        <color theme="3" tint="-0.499984740745262"/>
      </right>
      <top style="thin">
        <color theme="3" tint="-0.499984740745262"/>
      </top>
      <bottom style="thin">
        <color theme="3" tint="-0.499984740745262"/>
      </bottom>
      <diagonal/>
    </border>
    <border>
      <left style="thin">
        <color indexed="64"/>
      </left>
      <right/>
      <top style="thin">
        <color theme="3" tint="-0.499984740745262"/>
      </top>
      <bottom/>
      <diagonal/>
    </border>
    <border diagonalDown="1"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 style="thin">
        <color theme="4" tint="-0.249977111117893"/>
      </right>
      <top style="thin">
        <color theme="4" tint="-0.249977111117893"/>
      </top>
      <bottom style="thin">
        <color theme="4" tint="-0.249977111117893"/>
      </bottom>
      <diagonal/>
    </border>
    <border>
      <left/>
      <right/>
      <top style="medium">
        <color auto="1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theme="4" tint="-0.249977111117893"/>
      </top>
      <bottom style="thin">
        <color theme="4" tint="-0.249977111117893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3" tint="-0.499984740745262"/>
      </left>
      <right/>
      <top style="thin">
        <color theme="3" tint="-0.499984740745262"/>
      </top>
      <bottom style="thin">
        <color indexed="64"/>
      </bottom>
      <diagonal/>
    </border>
    <border>
      <left/>
      <right/>
      <top style="thin">
        <color theme="3" tint="-0.499984740745262"/>
      </top>
      <bottom style="thin">
        <color indexed="64"/>
      </bottom>
      <diagonal/>
    </border>
    <border>
      <left style="thin">
        <color indexed="64"/>
      </left>
      <right style="thin">
        <color theme="3" tint="-0.499984740745262"/>
      </right>
      <top style="thin">
        <color theme="3" tint="-0.499984740745262"/>
      </top>
      <bottom/>
      <diagonal/>
    </border>
    <border>
      <left style="thin">
        <color indexed="64"/>
      </left>
      <right style="thin">
        <color theme="3" tint="-0.499984740745262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theme="3" tint="-0.499984740745262"/>
      </top>
      <bottom/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/>
      <bottom style="thick">
        <color theme="1"/>
      </bottom>
      <diagonal/>
    </border>
    <border>
      <left/>
      <right/>
      <top/>
      <bottom style="thick">
        <color auto="1"/>
      </bottom>
      <diagonal/>
    </border>
    <border>
      <left/>
      <right/>
      <top style="thick">
        <color auto="1"/>
      </top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 style="thick">
        <color indexed="64"/>
      </right>
      <top/>
      <bottom/>
      <diagonal/>
    </border>
    <border>
      <left style="thick">
        <color indexed="64"/>
      </left>
      <right/>
      <top/>
      <bottom/>
      <diagonal/>
    </border>
    <border>
      <left/>
      <right style="thick">
        <color theme="3" tint="-0.499984740745262"/>
      </right>
      <top/>
      <bottom/>
      <diagonal/>
    </border>
    <border>
      <left style="medium">
        <color theme="3" tint="-0.499984740745262"/>
      </left>
      <right/>
      <top style="medium">
        <color theme="3" tint="-0.499984740745262"/>
      </top>
      <bottom/>
      <diagonal/>
    </border>
    <border>
      <left/>
      <right style="medium">
        <color theme="3" tint="-0.499984740745262"/>
      </right>
      <top style="medium">
        <color theme="3" tint="-0.499984740745262"/>
      </top>
      <bottom/>
      <diagonal/>
    </border>
    <border>
      <left style="medium">
        <color theme="3" tint="-0.499984740745262"/>
      </left>
      <right/>
      <top/>
      <bottom/>
      <diagonal/>
    </border>
    <border>
      <left/>
      <right style="medium">
        <color theme="3" tint="-0.499984740745262"/>
      </right>
      <top/>
      <bottom/>
      <diagonal/>
    </border>
    <border>
      <left style="medium">
        <color theme="3" tint="-0.499984740745262"/>
      </left>
      <right/>
      <top/>
      <bottom style="medium">
        <color theme="3" tint="-0.499984740745262"/>
      </bottom>
      <diagonal/>
    </border>
    <border>
      <left/>
      <right style="medium">
        <color theme="3" tint="-0.499984740745262"/>
      </right>
      <top/>
      <bottom style="medium">
        <color theme="3" tint="-0.499984740745262"/>
      </bottom>
      <diagonal/>
    </border>
    <border>
      <left style="thick">
        <color theme="3" tint="-0.499984740745262"/>
      </left>
      <right style="thick">
        <color theme="3" tint="-0.499984740745262"/>
      </right>
      <top style="thick">
        <color theme="3" tint="-0.499984740745262"/>
      </top>
      <bottom style="thick">
        <color theme="3" tint="-0.499984740745262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/>
      <diagonal/>
    </border>
  </borders>
  <cellStyleXfs count="9">
    <xf numFmtId="0" fontId="0" fillId="0" borderId="0"/>
    <xf numFmtId="0" fontId="3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" borderId="0" applyNumberFormat="0" applyBorder="0" applyAlignment="0" applyProtection="0"/>
    <xf numFmtId="41" fontId="1" fillId="0" borderId="0" applyFont="0" applyFill="0" applyBorder="0" applyAlignment="0" applyProtection="0"/>
    <xf numFmtId="14" fontId="1" fillId="9" borderId="1" applyFill="0">
      <alignment horizontal="center" vertical="center"/>
    </xf>
    <xf numFmtId="0" fontId="1" fillId="0" borderId="0"/>
    <xf numFmtId="0" fontId="86" fillId="0" borderId="0"/>
    <xf numFmtId="0" fontId="1" fillId="0" borderId="0"/>
  </cellStyleXfs>
  <cellXfs count="829">
    <xf numFmtId="0" fontId="0" fillId="0" borderId="0" xfId="0"/>
    <xf numFmtId="0" fontId="0" fillId="6" borderId="0" xfId="0" applyFill="1"/>
    <xf numFmtId="0" fontId="0" fillId="13" borderId="0" xfId="0" applyFill="1"/>
    <xf numFmtId="0" fontId="0" fillId="0" borderId="0" xfId="0" applyFill="1"/>
    <xf numFmtId="0" fontId="0" fillId="13" borderId="0" xfId="0" applyFill="1" applyAlignment="1"/>
    <xf numFmtId="0" fontId="0" fillId="0" borderId="0" xfId="0" applyFill="1" applyAlignment="1"/>
    <xf numFmtId="0" fontId="2" fillId="0" borderId="29" xfId="0" applyFont="1" applyFill="1" applyBorder="1" applyAlignment="1">
      <alignment horizontal="center" vertical="center"/>
    </xf>
    <xf numFmtId="0" fontId="0" fillId="0" borderId="63" xfId="0" applyFont="1" applyFill="1" applyBorder="1" applyAlignment="1">
      <alignment wrapText="1"/>
    </xf>
    <xf numFmtId="0" fontId="0" fillId="0" borderId="29" xfId="0" applyFont="1" applyFill="1" applyBorder="1" applyAlignment="1">
      <alignment horizontal="center" vertical="center"/>
    </xf>
    <xf numFmtId="0" fontId="0" fillId="0" borderId="76" xfId="0" applyFill="1" applyBorder="1" applyAlignment="1">
      <alignment horizontal="center" vertical="center"/>
    </xf>
    <xf numFmtId="0" fontId="0" fillId="0" borderId="69" xfId="0" applyFill="1" applyBorder="1" applyAlignment="1">
      <alignment horizontal="center" vertical="center"/>
    </xf>
    <xf numFmtId="0" fontId="0" fillId="0" borderId="70" xfId="0" applyFill="1" applyBorder="1" applyAlignment="1">
      <alignment horizontal="center" vertical="center"/>
    </xf>
    <xf numFmtId="0" fontId="41" fillId="8" borderId="3" xfId="0" applyFont="1" applyFill="1" applyBorder="1"/>
    <xf numFmtId="0" fontId="41" fillId="8" borderId="0" xfId="0" applyFont="1" applyFill="1" applyBorder="1"/>
    <xf numFmtId="0" fontId="42" fillId="8" borderId="0" xfId="0" applyFont="1" applyFill="1" applyBorder="1" applyAlignment="1">
      <alignment vertical="center"/>
    </xf>
    <xf numFmtId="0" fontId="41" fillId="8" borderId="4" xfId="0" applyFont="1" applyFill="1" applyBorder="1"/>
    <xf numFmtId="0" fontId="41" fillId="8" borderId="0" xfId="0" applyFont="1" applyFill="1" applyBorder="1" applyAlignment="1">
      <alignment horizontal="left"/>
    </xf>
    <xf numFmtId="0" fontId="42" fillId="8" borderId="0" xfId="0" applyFont="1" applyFill="1" applyBorder="1" applyAlignment="1"/>
    <xf numFmtId="0" fontId="41" fillId="8" borderId="67" xfId="0" applyFont="1" applyFill="1" applyBorder="1"/>
    <xf numFmtId="0" fontId="43" fillId="0" borderId="77" xfId="0" applyFont="1" applyFill="1" applyBorder="1" applyAlignment="1">
      <alignment horizontal="center" vertical="center" textRotation="90"/>
    </xf>
    <xf numFmtId="0" fontId="43" fillId="0" borderId="78" xfId="0" applyFont="1" applyFill="1" applyBorder="1" applyAlignment="1">
      <alignment horizontal="center" vertical="center" textRotation="90"/>
    </xf>
    <xf numFmtId="0" fontId="43" fillId="0" borderId="79" xfId="0" applyFont="1" applyFill="1" applyBorder="1" applyAlignment="1">
      <alignment horizontal="center" vertical="center" textRotation="90"/>
    </xf>
    <xf numFmtId="0" fontId="41" fillId="8" borderId="98" xfId="0" applyFont="1" applyFill="1" applyBorder="1"/>
    <xf numFmtId="0" fontId="46" fillId="8" borderId="66" xfId="0" applyFont="1" applyFill="1" applyBorder="1" applyAlignment="1">
      <alignment vertical="center"/>
    </xf>
    <xf numFmtId="0" fontId="46" fillId="8" borderId="67" xfId="0" applyFont="1" applyFill="1" applyBorder="1" applyAlignment="1">
      <alignment vertical="center"/>
    </xf>
    <xf numFmtId="0" fontId="46" fillId="8" borderId="68" xfId="0" applyFont="1" applyFill="1" applyBorder="1" applyAlignment="1">
      <alignment vertical="center"/>
    </xf>
    <xf numFmtId="0" fontId="0" fillId="13" borderId="0" xfId="0" applyFill="1" applyAlignment="1">
      <alignment horizontal="center" vertical="center"/>
    </xf>
    <xf numFmtId="0" fontId="0" fillId="0" borderId="67" xfId="0" applyFill="1" applyBorder="1" applyAlignment="1"/>
    <xf numFmtId="0" fontId="0" fillId="18" borderId="0" xfId="0" applyFill="1" applyBorder="1"/>
    <xf numFmtId="0" fontId="0" fillId="10" borderId="0" xfId="0" applyFill="1" applyProtection="1">
      <protection locked="0"/>
    </xf>
    <xf numFmtId="0" fontId="6" fillId="10" borderId="0" xfId="0" applyFont="1" applyFill="1" applyProtection="1">
      <protection locked="0"/>
    </xf>
    <xf numFmtId="0" fontId="1" fillId="12" borderId="0" xfId="0" applyFont="1" applyFill="1" applyProtection="1">
      <protection locked="0"/>
    </xf>
    <xf numFmtId="0" fontId="1" fillId="12" borderId="0" xfId="0" applyFont="1" applyFill="1" applyBorder="1" applyProtection="1">
      <protection locked="0"/>
    </xf>
    <xf numFmtId="0" fontId="1" fillId="12" borderId="0" xfId="3" applyFont="1" applyFill="1" applyBorder="1" applyAlignment="1" applyProtection="1">
      <alignment horizontal="center" vertical="center"/>
      <protection locked="0"/>
    </xf>
    <xf numFmtId="0" fontId="1" fillId="6" borderId="0" xfId="0" applyFont="1" applyFill="1" applyProtection="1">
      <protection locked="0"/>
    </xf>
    <xf numFmtId="0" fontId="0" fillId="6" borderId="0" xfId="0" applyFill="1" applyProtection="1">
      <protection locked="0"/>
    </xf>
    <xf numFmtId="0" fontId="1" fillId="6" borderId="6" xfId="0" applyFont="1" applyFill="1" applyBorder="1" applyProtection="1">
      <protection locked="0"/>
    </xf>
    <xf numFmtId="0" fontId="2" fillId="6" borderId="0" xfId="0" applyFont="1" applyFill="1" applyAlignment="1" applyProtection="1">
      <alignment horizontal="center" vertical="center"/>
      <protection locked="0"/>
    </xf>
    <xf numFmtId="0" fontId="1" fillId="6" borderId="0" xfId="0" applyFont="1" applyFill="1" applyAlignment="1" applyProtection="1">
      <protection locked="0"/>
    </xf>
    <xf numFmtId="0" fontId="10" fillId="8" borderId="0" xfId="0" applyFont="1" applyFill="1" applyBorder="1" applyProtection="1"/>
    <xf numFmtId="0" fontId="11" fillId="8" borderId="0" xfId="0" applyFont="1" applyFill="1" applyBorder="1" applyAlignment="1" applyProtection="1">
      <alignment horizontal="center" vertical="center"/>
    </xf>
    <xf numFmtId="0" fontId="9" fillId="8" borderId="0" xfId="0" applyFont="1" applyFill="1" applyBorder="1" applyProtection="1"/>
    <xf numFmtId="14" fontId="12" fillId="8" borderId="0" xfId="0" applyNumberFormat="1" applyFont="1" applyFill="1" applyBorder="1" applyAlignment="1" applyProtection="1">
      <alignment horizontal="right"/>
    </xf>
    <xf numFmtId="14" fontId="13" fillId="8" borderId="0" xfId="0" applyNumberFormat="1" applyFont="1" applyFill="1" applyBorder="1" applyAlignment="1" applyProtection="1">
      <alignment horizontal="center" vertical="center"/>
    </xf>
    <xf numFmtId="0" fontId="9" fillId="8" borderId="4" xfId="0" applyFont="1" applyFill="1" applyBorder="1" applyProtection="1"/>
    <xf numFmtId="14" fontId="9" fillId="8" borderId="0" xfId="0" applyNumberFormat="1" applyFont="1" applyFill="1" applyBorder="1" applyProtection="1"/>
    <xf numFmtId="0" fontId="4" fillId="5" borderId="0" xfId="0" applyFont="1" applyFill="1" applyProtection="1"/>
    <xf numFmtId="0" fontId="4" fillId="7" borderId="0" xfId="0" applyFont="1" applyFill="1" applyProtection="1"/>
    <xf numFmtId="0" fontId="7" fillId="5" borderId="0" xfId="0" applyFont="1" applyFill="1" applyProtection="1"/>
    <xf numFmtId="0" fontId="9" fillId="12" borderId="39" xfId="0" applyFont="1" applyFill="1" applyBorder="1" applyProtection="1"/>
    <xf numFmtId="0" fontId="9" fillId="12" borderId="0" xfId="0" applyFont="1" applyFill="1" applyBorder="1" applyProtection="1"/>
    <xf numFmtId="0" fontId="9" fillId="12" borderId="4" xfId="0" applyFont="1" applyFill="1" applyBorder="1" applyProtection="1"/>
    <xf numFmtId="0" fontId="0" fillId="10" borderId="0" xfId="0" applyFill="1" applyBorder="1" applyProtection="1"/>
    <xf numFmtId="0" fontId="9" fillId="8" borderId="39" xfId="0" applyFont="1" applyFill="1" applyBorder="1" applyProtection="1"/>
    <xf numFmtId="0" fontId="9" fillId="12" borderId="3" xfId="0" applyFont="1" applyFill="1" applyBorder="1" applyProtection="1"/>
    <xf numFmtId="0" fontId="0" fillId="10" borderId="0" xfId="0" applyFill="1" applyProtection="1"/>
    <xf numFmtId="0" fontId="2" fillId="11" borderId="101" xfId="1" applyFont="1" applyFill="1" applyBorder="1" applyAlignment="1" applyProtection="1">
      <alignment horizontal="center" vertical="center"/>
    </xf>
    <xf numFmtId="0" fontId="5" fillId="11" borderId="64" xfId="0" applyFont="1" applyFill="1" applyBorder="1" applyAlignment="1" applyProtection="1">
      <alignment vertical="center"/>
    </xf>
    <xf numFmtId="0" fontId="5" fillId="11" borderId="5" xfId="0" applyFont="1" applyFill="1" applyBorder="1" applyAlignment="1" applyProtection="1">
      <alignment horizontal="center" vertical="center"/>
    </xf>
    <xf numFmtId="0" fontId="5" fillId="11" borderId="5" xfId="0" applyFont="1" applyFill="1" applyBorder="1" applyAlignment="1" applyProtection="1">
      <alignment horizontal="center" vertical="center" wrapText="1"/>
    </xf>
    <xf numFmtId="0" fontId="0" fillId="18" borderId="29" xfId="0" applyFill="1" applyBorder="1" applyAlignment="1" applyProtection="1">
      <alignment horizontal="center" vertical="center"/>
    </xf>
    <xf numFmtId="0" fontId="2" fillId="6" borderId="101" xfId="1" applyFont="1" applyFill="1" applyBorder="1" applyAlignment="1" applyProtection="1">
      <alignment horizontal="center" vertical="center"/>
    </xf>
    <xf numFmtId="0" fontId="6" fillId="10" borderId="0" xfId="0" applyFont="1" applyFill="1" applyProtection="1"/>
    <xf numFmtId="0" fontId="1" fillId="12" borderId="0" xfId="0" applyFont="1" applyFill="1" applyProtection="1"/>
    <xf numFmtId="0" fontId="1" fillId="6" borderId="0" xfId="0" applyFont="1" applyFill="1" applyProtection="1"/>
    <xf numFmtId="0" fontId="1" fillId="12" borderId="0" xfId="0" applyFont="1" applyFill="1" applyBorder="1" applyProtection="1"/>
    <xf numFmtId="0" fontId="0" fillId="13" borderId="0" xfId="0" applyFill="1" applyProtection="1">
      <protection locked="0"/>
    </xf>
    <xf numFmtId="0" fontId="0" fillId="12" borderId="19" xfId="0" applyFill="1" applyBorder="1" applyProtection="1">
      <protection locked="0"/>
    </xf>
    <xf numFmtId="0" fontId="0" fillId="12" borderId="0" xfId="0" applyFill="1" applyBorder="1" applyProtection="1">
      <protection locked="0"/>
    </xf>
    <xf numFmtId="0" fontId="0" fillId="12" borderId="20" xfId="0" applyFill="1" applyBorder="1" applyProtection="1">
      <protection locked="0"/>
    </xf>
    <xf numFmtId="0" fontId="0" fillId="0" borderId="0" xfId="0" applyFill="1" applyProtection="1">
      <protection locked="0"/>
    </xf>
    <xf numFmtId="0" fontId="66" fillId="13" borderId="0" xfId="0" applyFont="1" applyFill="1" applyProtection="1">
      <protection locked="0"/>
    </xf>
    <xf numFmtId="0" fontId="0" fillId="13" borderId="0" xfId="0" applyFill="1" applyProtection="1"/>
    <xf numFmtId="0" fontId="0" fillId="9" borderId="19" xfId="0" applyFill="1" applyBorder="1" applyProtection="1"/>
    <xf numFmtId="0" fontId="20" fillId="9" borderId="0" xfId="0" applyFont="1" applyFill="1" applyBorder="1" applyProtection="1"/>
    <xf numFmtId="0" fontId="22" fillId="9" borderId="0" xfId="0" applyFont="1" applyFill="1" applyBorder="1" applyAlignment="1" applyProtection="1">
      <alignment horizontal="center" vertical="center"/>
    </xf>
    <xf numFmtId="0" fontId="0" fillId="9" borderId="0" xfId="0" applyFill="1" applyBorder="1" applyProtection="1"/>
    <xf numFmtId="0" fontId="0" fillId="9" borderId="20" xfId="0" applyFill="1" applyBorder="1" applyProtection="1"/>
    <xf numFmtId="0" fontId="23" fillId="9" borderId="0" xfId="0" applyFont="1" applyFill="1" applyBorder="1" applyProtection="1"/>
    <xf numFmtId="0" fontId="25" fillId="11" borderId="26" xfId="0" applyFont="1" applyFill="1" applyBorder="1" applyAlignment="1" applyProtection="1">
      <alignment horizontal="center" textRotation="90"/>
    </xf>
    <xf numFmtId="0" fontId="25" fillId="11" borderId="27" xfId="0" applyFont="1" applyFill="1" applyBorder="1" applyAlignment="1" applyProtection="1">
      <alignment horizontal="center" textRotation="90"/>
    </xf>
    <xf numFmtId="0" fontId="0" fillId="6" borderId="12" xfId="0" applyFill="1" applyBorder="1" applyAlignment="1" applyProtection="1">
      <alignment horizontal="center" vertical="center"/>
    </xf>
    <xf numFmtId="0" fontId="0" fillId="6" borderId="5" xfId="0" applyFill="1" applyBorder="1" applyAlignment="1" applyProtection="1">
      <alignment horizontal="center" vertical="center"/>
    </xf>
    <xf numFmtId="0" fontId="0" fillId="6" borderId="0" xfId="0" applyFill="1" applyProtection="1"/>
    <xf numFmtId="0" fontId="2" fillId="6" borderId="0" xfId="0" applyFont="1" applyFill="1" applyProtection="1"/>
    <xf numFmtId="0" fontId="15" fillId="6" borderId="0" xfId="0" applyFont="1" applyFill="1" applyBorder="1" applyAlignment="1" applyProtection="1">
      <alignment horizontal="center" vertical="top"/>
    </xf>
    <xf numFmtId="0" fontId="2" fillId="6" borderId="0" xfId="0" applyFont="1" applyFill="1" applyBorder="1" applyAlignment="1" applyProtection="1">
      <alignment horizontal="center"/>
    </xf>
    <xf numFmtId="0" fontId="66" fillId="13" borderId="0" xfId="0" applyFont="1" applyFill="1" applyProtection="1"/>
    <xf numFmtId="0" fontId="0" fillId="6" borderId="0" xfId="0" applyFill="1" applyBorder="1" applyAlignment="1" applyProtection="1">
      <alignment horizontal="center" vertical="center"/>
    </xf>
    <xf numFmtId="0" fontId="40" fillId="6" borderId="3" xfId="0" applyFont="1" applyFill="1" applyBorder="1" applyAlignment="1" applyProtection="1">
      <alignment horizontal="center" vertical="center"/>
    </xf>
    <xf numFmtId="0" fontId="39" fillId="6" borderId="3" xfId="0" applyFont="1" applyFill="1" applyBorder="1" applyAlignment="1" applyProtection="1">
      <alignment vertical="center"/>
    </xf>
    <xf numFmtId="0" fontId="70" fillId="6" borderId="30" xfId="2" applyFont="1" applyFill="1" applyBorder="1" applyAlignment="1" applyProtection="1">
      <alignment vertical="center"/>
      <protection locked="0"/>
    </xf>
    <xf numFmtId="0" fontId="70" fillId="23" borderId="64" xfId="2" applyFont="1" applyFill="1" applyBorder="1" applyAlignment="1" applyProtection="1">
      <alignment horizontal="center" vertical="center"/>
      <protection locked="0"/>
    </xf>
    <xf numFmtId="0" fontId="70" fillId="23" borderId="5" xfId="3" applyFont="1" applyFill="1" applyBorder="1" applyAlignment="1" applyProtection="1">
      <alignment horizontal="center" vertical="center"/>
      <protection locked="0"/>
    </xf>
    <xf numFmtId="41" fontId="70" fillId="6" borderId="5" xfId="4" applyFont="1" applyFill="1" applyBorder="1" applyAlignment="1" applyProtection="1">
      <alignment vertical="center"/>
    </xf>
    <xf numFmtId="0" fontId="70" fillId="6" borderId="75" xfId="2" applyFont="1" applyFill="1" applyBorder="1" applyAlignment="1" applyProtection="1">
      <alignment horizontal="left" vertical="center" wrapText="1"/>
      <protection locked="0"/>
    </xf>
    <xf numFmtId="0" fontId="15" fillId="11" borderId="26" xfId="0" applyFont="1" applyFill="1" applyBorder="1" applyAlignment="1" applyProtection="1">
      <alignment horizontal="center" textRotation="90"/>
    </xf>
    <xf numFmtId="0" fontId="15" fillId="11" borderId="27" xfId="0" applyFont="1" applyFill="1" applyBorder="1" applyAlignment="1" applyProtection="1">
      <alignment horizontal="center" textRotation="90"/>
    </xf>
    <xf numFmtId="0" fontId="2" fillId="6" borderId="0" xfId="0" applyFont="1" applyFill="1" applyProtection="1">
      <protection locked="0"/>
    </xf>
    <xf numFmtId="0" fontId="15" fillId="6" borderId="0" xfId="0" applyFont="1" applyFill="1" applyBorder="1" applyAlignment="1" applyProtection="1">
      <alignment horizontal="center" vertical="top"/>
      <protection locked="0"/>
    </xf>
    <xf numFmtId="0" fontId="2" fillId="6" borderId="0" xfId="0" applyFont="1" applyFill="1" applyBorder="1" applyAlignment="1" applyProtection="1">
      <alignment horizontal="center"/>
      <protection locked="0"/>
    </xf>
    <xf numFmtId="0" fontId="3" fillId="13" borderId="0" xfId="0" applyFont="1" applyFill="1" applyProtection="1">
      <protection locked="0"/>
    </xf>
    <xf numFmtId="0" fontId="3" fillId="13" borderId="0" xfId="0" applyFont="1" applyFill="1" applyProtection="1"/>
    <xf numFmtId="0" fontId="0" fillId="13" borderId="0" xfId="0" applyFill="1" applyBorder="1" applyProtection="1">
      <protection locked="0"/>
    </xf>
    <xf numFmtId="0" fontId="20" fillId="13" borderId="0" xfId="0" applyFont="1" applyFill="1" applyBorder="1" applyProtection="1">
      <protection locked="0"/>
    </xf>
    <xf numFmtId="0" fontId="22" fillId="13" borderId="0" xfId="0" applyFont="1" applyFill="1" applyBorder="1" applyAlignment="1" applyProtection="1">
      <alignment horizontal="center" vertical="center"/>
      <protection locked="0"/>
    </xf>
    <xf numFmtId="0" fontId="20" fillId="13" borderId="0" xfId="0" applyFont="1" applyFill="1" applyBorder="1" applyAlignment="1" applyProtection="1">
      <alignment horizontal="left" vertical="center"/>
      <protection locked="0"/>
    </xf>
    <xf numFmtId="0" fontId="20" fillId="13" borderId="0" xfId="0" applyFont="1" applyFill="1" applyBorder="1" applyAlignment="1" applyProtection="1">
      <alignment vertical="center"/>
      <protection locked="0"/>
    </xf>
    <xf numFmtId="0" fontId="0" fillId="13" borderId="45" xfId="0" applyFill="1" applyBorder="1" applyProtection="1">
      <protection locked="0"/>
    </xf>
    <xf numFmtId="0" fontId="30" fillId="6" borderId="31" xfId="0" applyFont="1" applyFill="1" applyBorder="1" applyAlignment="1" applyProtection="1">
      <alignment horizontal="center" vertical="center" shrinkToFit="1"/>
      <protection locked="0"/>
    </xf>
    <xf numFmtId="0" fontId="30" fillId="6" borderId="30" xfId="0" applyFont="1" applyFill="1" applyBorder="1" applyAlignment="1" applyProtection="1">
      <alignment horizontal="center" vertical="center" shrinkToFit="1"/>
      <protection locked="0"/>
    </xf>
    <xf numFmtId="0" fontId="30" fillId="6" borderId="29" xfId="0" applyFont="1" applyFill="1" applyBorder="1" applyAlignment="1" applyProtection="1">
      <alignment horizontal="center" vertical="center" shrinkToFit="1"/>
      <protection locked="0"/>
    </xf>
    <xf numFmtId="0" fontId="0" fillId="0" borderId="0" xfId="0" applyFill="1" applyBorder="1" applyProtection="1">
      <protection locked="0"/>
    </xf>
    <xf numFmtId="0" fontId="2" fillId="0" borderId="0" xfId="0" applyFont="1" applyFill="1" applyBorder="1" applyAlignment="1" applyProtection="1">
      <protection locked="0"/>
    </xf>
    <xf numFmtId="0" fontId="2" fillId="0" borderId="0" xfId="0" applyFont="1" applyFill="1" applyProtection="1">
      <protection locked="0"/>
    </xf>
    <xf numFmtId="0" fontId="27" fillId="13" borderId="0" xfId="0" applyFont="1" applyFill="1" applyBorder="1" applyAlignment="1" applyProtection="1">
      <alignment horizontal="center" vertical="center"/>
    </xf>
    <xf numFmtId="0" fontId="0" fillId="13" borderId="34" xfId="0" applyFill="1" applyBorder="1" applyProtection="1"/>
    <xf numFmtId="0" fontId="30" fillId="9" borderId="19" xfId="0" applyFont="1" applyFill="1" applyBorder="1" applyProtection="1"/>
    <xf numFmtId="0" fontId="32" fillId="9" borderId="0" xfId="0" applyFont="1" applyFill="1" applyBorder="1" applyProtection="1"/>
    <xf numFmtId="0" fontId="32" fillId="9" borderId="0" xfId="0" applyFont="1" applyFill="1" applyBorder="1" applyAlignment="1" applyProtection="1">
      <alignment horizontal="center" vertical="center"/>
    </xf>
    <xf numFmtId="0" fontId="32" fillId="9" borderId="0" xfId="0" applyFont="1" applyFill="1" applyBorder="1" applyAlignment="1" applyProtection="1">
      <alignment vertical="center"/>
    </xf>
    <xf numFmtId="0" fontId="23" fillId="9" borderId="0" xfId="0" applyFont="1" applyFill="1" applyBorder="1" applyAlignment="1" applyProtection="1"/>
    <xf numFmtId="0" fontId="32" fillId="9" borderId="0" xfId="0" applyFont="1" applyFill="1" applyBorder="1" applyAlignment="1" applyProtection="1">
      <alignment horizontal="left" vertical="center"/>
    </xf>
    <xf numFmtId="0" fontId="35" fillId="9" borderId="0" xfId="0" applyFont="1" applyFill="1" applyBorder="1" applyAlignment="1" applyProtection="1">
      <alignment shrinkToFit="1"/>
    </xf>
    <xf numFmtId="0" fontId="35" fillId="9" borderId="0" xfId="0" applyFont="1" applyFill="1" applyBorder="1" applyProtection="1"/>
    <xf numFmtId="0" fontId="35" fillId="9" borderId="0" xfId="0" applyFont="1" applyFill="1" applyBorder="1" applyAlignment="1" applyProtection="1">
      <alignment vertical="center"/>
    </xf>
    <xf numFmtId="0" fontId="29" fillId="16" borderId="41" xfId="0" applyFont="1" applyFill="1" applyBorder="1" applyAlignment="1" applyProtection="1">
      <alignment horizontal="center" vertical="center" shrinkToFit="1"/>
    </xf>
    <xf numFmtId="0" fontId="47" fillId="8" borderId="41" xfId="0" applyFont="1" applyFill="1" applyBorder="1" applyAlignment="1" applyProtection="1">
      <alignment horizontal="center" vertical="center" textRotation="90" wrapText="1"/>
    </xf>
    <xf numFmtId="0" fontId="2" fillId="6" borderId="41" xfId="0" applyFont="1" applyFill="1" applyBorder="1" applyAlignment="1" applyProtection="1">
      <alignment horizontal="center" vertical="center"/>
    </xf>
    <xf numFmtId="0" fontId="0" fillId="0" borderId="0" xfId="0" applyFill="1" applyProtection="1"/>
    <xf numFmtId="0" fontId="0" fillId="0" borderId="0" xfId="0" applyFill="1" applyBorder="1" applyProtection="1"/>
    <xf numFmtId="0" fontId="25" fillId="6" borderId="31" xfId="0" applyFont="1" applyFill="1" applyBorder="1" applyAlignment="1" applyProtection="1">
      <alignment vertical="center"/>
    </xf>
    <xf numFmtId="0" fontId="25" fillId="6" borderId="29" xfId="0" applyFont="1" applyFill="1" applyBorder="1" applyAlignment="1" applyProtection="1">
      <alignment vertical="center"/>
    </xf>
    <xf numFmtId="0" fontId="0" fillId="6" borderId="0" xfId="0" applyFill="1" applyAlignment="1" applyProtection="1">
      <alignment shrinkToFit="1"/>
      <protection locked="0"/>
    </xf>
    <xf numFmtId="0" fontId="0" fillId="6" borderId="0" xfId="0" applyFill="1" applyAlignment="1" applyProtection="1">
      <alignment shrinkToFit="1"/>
    </xf>
    <xf numFmtId="0" fontId="2" fillId="6" borderId="0" xfId="0" applyFont="1" applyFill="1" applyAlignment="1" applyProtection="1">
      <alignment shrinkToFit="1"/>
    </xf>
    <xf numFmtId="0" fontId="15" fillId="6" borderId="0" xfId="0" applyFont="1" applyFill="1" applyBorder="1" applyAlignment="1" applyProtection="1">
      <alignment horizontal="center" vertical="top" shrinkToFit="1"/>
    </xf>
    <xf numFmtId="0" fontId="2" fillId="6" borderId="0" xfId="0" applyFont="1" applyFill="1" applyBorder="1" applyAlignment="1" applyProtection="1">
      <alignment horizontal="center" shrinkToFit="1"/>
    </xf>
    <xf numFmtId="0" fontId="30" fillId="6" borderId="37" xfId="0" applyFont="1" applyFill="1" applyBorder="1" applyAlignment="1" applyProtection="1">
      <alignment horizontal="center" vertical="center" shrinkToFit="1"/>
      <protection locked="0"/>
    </xf>
    <xf numFmtId="14" fontId="35" fillId="9" borderId="0" xfId="0" applyNumberFormat="1" applyFont="1" applyFill="1" applyBorder="1" applyAlignment="1" applyProtection="1"/>
    <xf numFmtId="0" fontId="42" fillId="8" borderId="0" xfId="0" applyFont="1" applyFill="1" applyBorder="1" applyAlignment="1">
      <alignment vertical="center" shrinkToFit="1"/>
    </xf>
    <xf numFmtId="0" fontId="43" fillId="0" borderId="82" xfId="0" applyFont="1" applyFill="1" applyBorder="1" applyAlignment="1">
      <alignment horizontal="center" vertical="center" textRotation="90"/>
    </xf>
    <xf numFmtId="0" fontId="44" fillId="0" borderId="88" xfId="0" applyFont="1" applyFill="1" applyBorder="1" applyAlignment="1">
      <alignment horizontal="center" vertical="center" textRotation="90"/>
    </xf>
    <xf numFmtId="0" fontId="44" fillId="0" borderId="102" xfId="0" applyFont="1" applyFill="1" applyBorder="1" applyAlignment="1">
      <alignment horizontal="center" vertical="center" textRotation="90"/>
    </xf>
    <xf numFmtId="0" fontId="44" fillId="0" borderId="89" xfId="0" applyFont="1" applyFill="1" applyBorder="1" applyAlignment="1">
      <alignment horizontal="center" vertical="center" textRotation="90"/>
    </xf>
    <xf numFmtId="0" fontId="44" fillId="0" borderId="80" xfId="0" applyFont="1" applyFill="1" applyBorder="1" applyAlignment="1">
      <alignment horizontal="center" vertical="center" textRotation="90"/>
    </xf>
    <xf numFmtId="0" fontId="0" fillId="0" borderId="0" xfId="0" applyFill="1" applyAlignment="1" applyProtection="1">
      <alignment horizontal="center" vertical="center"/>
      <protection locked="0"/>
    </xf>
    <xf numFmtId="0" fontId="31" fillId="24" borderId="0" xfId="0" applyFont="1" applyFill="1" applyBorder="1" applyAlignment="1" applyProtection="1">
      <alignment horizontal="center" vertical="center"/>
    </xf>
    <xf numFmtId="0" fontId="64" fillId="0" borderId="0" xfId="0" applyFont="1" applyFill="1" applyAlignment="1" applyProtection="1">
      <alignment horizontal="center" vertical="center"/>
    </xf>
    <xf numFmtId="0" fontId="66" fillId="13" borderId="0" xfId="0" applyFont="1" applyFill="1" applyAlignment="1" applyProtection="1">
      <alignment horizontal="center" vertical="center"/>
    </xf>
    <xf numFmtId="0" fontId="30" fillId="0" borderId="33" xfId="0" applyFont="1" applyFill="1" applyBorder="1" applyAlignment="1" applyProtection="1">
      <alignment horizontal="center" vertical="center" wrapText="1" shrinkToFit="1"/>
      <protection locked="0"/>
    </xf>
    <xf numFmtId="0" fontId="2" fillId="0" borderId="0" xfId="0" applyFont="1" applyFill="1" applyBorder="1" applyAlignment="1" applyProtection="1"/>
    <xf numFmtId="0" fontId="2" fillId="0" borderId="0" xfId="0" applyFont="1" applyFill="1" applyProtection="1"/>
    <xf numFmtId="0" fontId="0" fillId="0" borderId="0" xfId="0" applyFill="1" applyAlignment="1" applyProtection="1">
      <protection locked="0"/>
    </xf>
    <xf numFmtId="0" fontId="25" fillId="0" borderId="0" xfId="0" applyFont="1" applyFill="1" applyAlignment="1" applyProtection="1">
      <protection locked="0"/>
    </xf>
    <xf numFmtId="0" fontId="24" fillId="0" borderId="0" xfId="0" applyFont="1" applyFill="1" applyAlignment="1" applyProtection="1">
      <protection locked="0"/>
    </xf>
    <xf numFmtId="0" fontId="53" fillId="9" borderId="3" xfId="0" applyFont="1" applyFill="1" applyBorder="1" applyAlignment="1" applyProtection="1">
      <alignment horizontal="center" vertical="top"/>
    </xf>
    <xf numFmtId="0" fontId="53" fillId="6" borderId="0" xfId="0" applyFont="1" applyFill="1" applyBorder="1" applyAlignment="1" applyProtection="1">
      <alignment horizontal="center" vertical="top"/>
    </xf>
    <xf numFmtId="0" fontId="20" fillId="9" borderId="3" xfId="0" applyFont="1" applyFill="1" applyBorder="1" applyProtection="1"/>
    <xf numFmtId="0" fontId="54" fillId="6" borderId="0" xfId="0" applyFont="1" applyFill="1" applyBorder="1" applyAlignment="1" applyProtection="1">
      <alignment horizontal="left" vertical="center"/>
    </xf>
    <xf numFmtId="0" fontId="54" fillId="6" borderId="0" xfId="0" applyFont="1" applyFill="1" applyBorder="1" applyProtection="1"/>
    <xf numFmtId="0" fontId="20" fillId="6" borderId="0" xfId="0" applyFont="1" applyFill="1" applyBorder="1" applyProtection="1"/>
    <xf numFmtId="0" fontId="54" fillId="6" borderId="0" xfId="0" applyFont="1" applyFill="1" applyBorder="1" applyAlignment="1" applyProtection="1"/>
    <xf numFmtId="0" fontId="20" fillId="9" borderId="66" xfId="0" applyFont="1" applyFill="1" applyBorder="1" applyProtection="1"/>
    <xf numFmtId="0" fontId="54" fillId="6" borderId="67" xfId="0" applyFont="1" applyFill="1" applyBorder="1" applyAlignment="1" applyProtection="1"/>
    <xf numFmtId="0" fontId="20" fillId="6" borderId="67" xfId="0" applyFont="1" applyFill="1" applyBorder="1" applyProtection="1"/>
    <xf numFmtId="0" fontId="0" fillId="0" borderId="89" xfId="0" applyFill="1" applyBorder="1" applyProtection="1"/>
    <xf numFmtId="0" fontId="30" fillId="0" borderId="80" xfId="0" applyFont="1" applyFill="1" applyBorder="1" applyAlignment="1" applyProtection="1">
      <alignment horizontal="center" vertical="center"/>
    </xf>
    <xf numFmtId="0" fontId="52" fillId="0" borderId="0" xfId="0" applyFont="1" applyFill="1" applyBorder="1" applyAlignment="1" applyProtection="1">
      <alignment horizontal="center" vertical="center"/>
    </xf>
    <xf numFmtId="0" fontId="25" fillId="0" borderId="0" xfId="0" applyFont="1" applyFill="1" applyAlignment="1" applyProtection="1"/>
    <xf numFmtId="0" fontId="41" fillId="13" borderId="0" xfId="0" applyFont="1" applyFill="1" applyBorder="1" applyProtection="1">
      <protection locked="0"/>
    </xf>
    <xf numFmtId="0" fontId="28" fillId="6" borderId="0" xfId="0" applyFont="1" applyFill="1" applyBorder="1" applyAlignment="1" applyProtection="1">
      <alignment vertical="center"/>
      <protection locked="0"/>
    </xf>
    <xf numFmtId="0" fontId="28" fillId="6" borderId="0" xfId="0" applyFont="1" applyFill="1" applyBorder="1" applyAlignment="1" applyProtection="1">
      <alignment horizontal="center" vertical="center"/>
      <protection locked="0"/>
    </xf>
    <xf numFmtId="0" fontId="28" fillId="6" borderId="0" xfId="0" applyFont="1" applyFill="1" applyBorder="1" applyAlignment="1" applyProtection="1">
      <protection locked="0"/>
    </xf>
    <xf numFmtId="0" fontId="61" fillId="6" borderId="0" xfId="0" applyFont="1" applyFill="1" applyBorder="1" applyAlignment="1" applyProtection="1">
      <alignment vertical="center"/>
      <protection locked="0"/>
    </xf>
    <xf numFmtId="0" fontId="58" fillId="6" borderId="0" xfId="0" applyFont="1" applyFill="1" applyBorder="1" applyAlignment="1" applyProtection="1">
      <alignment vertical="center"/>
      <protection locked="0"/>
    </xf>
    <xf numFmtId="0" fontId="58" fillId="6" borderId="0" xfId="0" applyFont="1" applyFill="1" applyBorder="1" applyProtection="1">
      <protection locked="0"/>
    </xf>
    <xf numFmtId="0" fontId="59" fillId="6" borderId="0" xfId="0" applyFont="1" applyFill="1" applyBorder="1" applyAlignment="1" applyProtection="1">
      <alignment vertical="center"/>
    </xf>
    <xf numFmtId="0" fontId="58" fillId="6" borderId="0" xfId="0" applyFont="1" applyFill="1" applyBorder="1" applyProtection="1"/>
    <xf numFmtId="0" fontId="0" fillId="6" borderId="67" xfId="0" applyFill="1" applyBorder="1" applyProtection="1"/>
    <xf numFmtId="0" fontId="0" fillId="6" borderId="100" xfId="0" applyNumberFormat="1" applyFill="1" applyBorder="1" applyAlignment="1" applyProtection="1">
      <alignment horizontal="center" vertical="center"/>
    </xf>
    <xf numFmtId="0" fontId="40" fillId="6" borderId="39" xfId="0" applyFont="1" applyFill="1" applyBorder="1" applyAlignment="1" applyProtection="1">
      <alignment horizontal="center" vertical="center" wrapText="1"/>
    </xf>
    <xf numFmtId="0" fontId="39" fillId="6" borderId="39" xfId="0" applyFont="1" applyFill="1" applyBorder="1" applyAlignment="1" applyProtection="1">
      <alignment vertical="center"/>
    </xf>
    <xf numFmtId="0" fontId="39" fillId="6" borderId="35" xfId="0" applyFont="1" applyFill="1" applyBorder="1" applyAlignment="1" applyProtection="1">
      <alignment vertical="center"/>
    </xf>
    <xf numFmtId="0" fontId="78" fillId="10" borderId="0" xfId="0" applyFont="1" applyFill="1" applyProtection="1"/>
    <xf numFmtId="0" fontId="0" fillId="18" borderId="75" xfId="0" applyFill="1" applyBorder="1" applyAlignment="1" applyProtection="1">
      <alignment horizontal="center" vertical="center"/>
    </xf>
    <xf numFmtId="0" fontId="68" fillId="25" borderId="69" xfId="0" applyFont="1" applyFill="1" applyBorder="1" applyAlignment="1" applyProtection="1">
      <alignment horizontal="left" vertical="center"/>
    </xf>
    <xf numFmtId="0" fontId="77" fillId="25" borderId="93" xfId="0" applyFont="1" applyFill="1" applyBorder="1" applyAlignment="1" applyProtection="1">
      <alignment horizontal="center" vertical="center"/>
      <protection locked="0"/>
    </xf>
    <xf numFmtId="0" fontId="15" fillId="0" borderId="0" xfId="0" applyFont="1" applyFill="1" applyAlignment="1">
      <alignment vertical="center"/>
    </xf>
    <xf numFmtId="0" fontId="15" fillId="0" borderId="0" xfId="0" applyFont="1" applyFill="1" applyAlignment="1"/>
    <xf numFmtId="0" fontId="28" fillId="6" borderId="29" xfId="0" applyFont="1" applyFill="1" applyBorder="1" applyAlignment="1" applyProtection="1">
      <alignment horizontal="center" vertical="center"/>
    </xf>
    <xf numFmtId="0" fontId="74" fillId="21" borderId="41" xfId="0" applyFont="1" applyFill="1" applyBorder="1" applyAlignment="1" applyProtection="1">
      <alignment horizontal="center" vertical="center" textRotation="90" wrapText="1" shrinkToFit="1"/>
    </xf>
    <xf numFmtId="0" fontId="47" fillId="8" borderId="41" xfId="0" applyFont="1" applyFill="1" applyBorder="1" applyAlignment="1" applyProtection="1">
      <alignment horizontal="center" vertical="center" textRotation="90"/>
    </xf>
    <xf numFmtId="0" fontId="41" fillId="6" borderId="91" xfId="0" applyFont="1" applyFill="1" applyBorder="1" applyProtection="1"/>
    <xf numFmtId="0" fontId="28" fillId="6" borderId="65" xfId="0" applyFont="1" applyFill="1" applyBorder="1" applyAlignment="1" applyProtection="1">
      <alignment vertical="center"/>
    </xf>
    <xf numFmtId="0" fontId="61" fillId="6" borderId="65" xfId="0" applyFont="1" applyFill="1" applyBorder="1" applyAlignment="1" applyProtection="1">
      <alignment vertical="center"/>
    </xf>
    <xf numFmtId="0" fontId="61" fillId="6" borderId="65" xfId="0" applyFont="1" applyFill="1" applyBorder="1" applyAlignment="1" applyProtection="1">
      <alignment vertical="center"/>
      <protection locked="0"/>
    </xf>
    <xf numFmtId="0" fontId="61" fillId="6" borderId="92" xfId="0" applyFont="1" applyFill="1" applyBorder="1" applyAlignment="1" applyProtection="1">
      <alignment vertical="center"/>
      <protection locked="0"/>
    </xf>
    <xf numFmtId="0" fontId="41" fillId="6" borderId="3" xfId="0" applyFont="1" applyFill="1" applyBorder="1" applyProtection="1"/>
    <xf numFmtId="0" fontId="61" fillId="6" borderId="4" xfId="0" applyFont="1" applyFill="1" applyBorder="1" applyAlignment="1" applyProtection="1">
      <alignment vertical="center"/>
      <protection locked="0"/>
    </xf>
    <xf numFmtId="0" fontId="28" fillId="6" borderId="4" xfId="0" applyFont="1" applyFill="1" applyBorder="1" applyAlignment="1" applyProtection="1">
      <protection locked="0"/>
    </xf>
    <xf numFmtId="0" fontId="28" fillId="6" borderId="4" xfId="0" applyFont="1" applyFill="1" applyBorder="1" applyAlignment="1" applyProtection="1">
      <alignment vertical="center"/>
      <protection locked="0"/>
    </xf>
    <xf numFmtId="0" fontId="28" fillId="6" borderId="4" xfId="0" applyFont="1" applyFill="1" applyBorder="1" applyAlignment="1" applyProtection="1">
      <alignment horizontal="center" vertical="center"/>
      <protection locked="0"/>
    </xf>
    <xf numFmtId="0" fontId="0" fillId="6" borderId="3" xfId="0" applyFill="1" applyBorder="1" applyProtection="1"/>
    <xf numFmtId="0" fontId="58" fillId="6" borderId="4" xfId="0" applyFont="1" applyFill="1" applyBorder="1" applyAlignment="1" applyProtection="1">
      <alignment vertical="center"/>
      <protection locked="0"/>
    </xf>
    <xf numFmtId="0" fontId="58" fillId="6" borderId="4" xfId="0" applyFont="1" applyFill="1" applyBorder="1" applyProtection="1">
      <protection locked="0"/>
    </xf>
    <xf numFmtId="0" fontId="0" fillId="6" borderId="66" xfId="0" applyFill="1" applyBorder="1" applyProtection="1"/>
    <xf numFmtId="0" fontId="58" fillId="6" borderId="67" xfId="0" applyFont="1" applyFill="1" applyBorder="1" applyAlignment="1" applyProtection="1">
      <alignment vertical="center"/>
    </xf>
    <xf numFmtId="0" fontId="58" fillId="6" borderId="67" xfId="0" applyFont="1" applyFill="1" applyBorder="1" applyProtection="1"/>
    <xf numFmtId="0" fontId="58" fillId="6" borderId="67" xfId="0" applyFont="1" applyFill="1" applyBorder="1" applyAlignment="1" applyProtection="1">
      <alignment vertical="center"/>
      <protection locked="0"/>
    </xf>
    <xf numFmtId="0" fontId="58" fillId="6" borderId="68" xfId="0" applyFont="1" applyFill="1" applyBorder="1" applyAlignment="1" applyProtection="1">
      <alignment vertical="center"/>
      <protection locked="0"/>
    </xf>
    <xf numFmtId="0" fontId="41" fillId="11" borderId="91" xfId="0" applyFont="1" applyFill="1" applyBorder="1" applyProtection="1"/>
    <xf numFmtId="0" fontId="41" fillId="11" borderId="65" xfId="0" applyFont="1" applyFill="1" applyBorder="1" applyProtection="1"/>
    <xf numFmtId="0" fontId="41" fillId="11" borderId="92" xfId="0" applyFont="1" applyFill="1" applyBorder="1" applyProtection="1"/>
    <xf numFmtId="0" fontId="41" fillId="11" borderId="3" xfId="0" applyFont="1" applyFill="1" applyBorder="1" applyProtection="1"/>
    <xf numFmtId="0" fontId="28" fillId="11" borderId="0" xfId="0" applyFont="1" applyFill="1" applyBorder="1" applyAlignment="1" applyProtection="1">
      <alignment vertical="center"/>
      <protection locked="0"/>
    </xf>
    <xf numFmtId="0" fontId="28" fillId="11" borderId="4" xfId="0" applyFont="1" applyFill="1" applyBorder="1" applyAlignment="1" applyProtection="1">
      <alignment vertical="center"/>
      <protection locked="0"/>
    </xf>
    <xf numFmtId="0" fontId="41" fillId="11" borderId="3" xfId="0" applyFont="1" applyFill="1" applyBorder="1" applyProtection="1">
      <protection locked="0"/>
    </xf>
    <xf numFmtId="0" fontId="41" fillId="11" borderId="0" xfId="0" applyFont="1" applyFill="1" applyBorder="1" applyProtection="1">
      <protection locked="0"/>
    </xf>
    <xf numFmtId="0" fontId="41" fillId="11" borderId="0" xfId="0" applyFont="1" applyFill="1" applyBorder="1" applyProtection="1"/>
    <xf numFmtId="0" fontId="41" fillId="11" borderId="4" xfId="0" applyFont="1" applyFill="1" applyBorder="1" applyProtection="1"/>
    <xf numFmtId="0" fontId="28" fillId="11" borderId="0" xfId="0" applyFont="1" applyFill="1" applyBorder="1" applyAlignment="1" applyProtection="1">
      <alignment horizontal="center" vertical="center"/>
      <protection locked="0"/>
    </xf>
    <xf numFmtId="0" fontId="28" fillId="11" borderId="4" xfId="0" applyFont="1" applyFill="1" applyBorder="1" applyAlignment="1" applyProtection="1"/>
    <xf numFmtId="0" fontId="28" fillId="11" borderId="0" xfId="0" applyFont="1" applyFill="1" applyBorder="1" applyAlignment="1" applyProtection="1">
      <protection locked="0"/>
    </xf>
    <xf numFmtId="0" fontId="61" fillId="11" borderId="4" xfId="0" applyFont="1" applyFill="1" applyBorder="1" applyAlignment="1" applyProtection="1">
      <alignment vertical="center"/>
    </xf>
    <xf numFmtId="0" fontId="28" fillId="11" borderId="0" xfId="0" applyNumberFormat="1" applyFont="1" applyFill="1" applyBorder="1" applyAlignment="1" applyProtection="1">
      <protection locked="0"/>
    </xf>
    <xf numFmtId="14" fontId="28" fillId="11" borderId="0" xfId="0" applyNumberFormat="1" applyFont="1" applyFill="1" applyBorder="1" applyAlignment="1" applyProtection="1">
      <protection locked="0"/>
    </xf>
    <xf numFmtId="0" fontId="28" fillId="11" borderId="0" xfId="0" applyFont="1" applyFill="1" applyBorder="1" applyProtection="1">
      <protection locked="0"/>
    </xf>
    <xf numFmtId="0" fontId="62" fillId="11" borderId="86" xfId="0" applyFont="1" applyFill="1" applyBorder="1" applyAlignment="1" applyProtection="1"/>
    <xf numFmtId="0" fontId="28" fillId="11" borderId="86" xfId="0" applyFont="1" applyFill="1" applyBorder="1" applyAlignment="1" applyProtection="1"/>
    <xf numFmtId="0" fontId="41" fillId="11" borderId="66" xfId="0" applyFont="1" applyFill="1" applyBorder="1" applyProtection="1">
      <protection locked="0"/>
    </xf>
    <xf numFmtId="0" fontId="28" fillId="11" borderId="67" xfId="0" applyFont="1" applyFill="1" applyBorder="1" applyProtection="1">
      <protection locked="0"/>
    </xf>
    <xf numFmtId="0" fontId="62" fillId="11" borderId="67" xfId="0" applyFont="1" applyFill="1" applyBorder="1" applyAlignment="1" applyProtection="1">
      <protection locked="0"/>
    </xf>
    <xf numFmtId="0" fontId="28" fillId="11" borderId="67" xfId="0" applyFont="1" applyFill="1" applyBorder="1" applyAlignment="1" applyProtection="1">
      <protection locked="0"/>
    </xf>
    <xf numFmtId="0" fontId="61" fillId="11" borderId="68" xfId="0" applyFont="1" applyFill="1" applyBorder="1" applyAlignment="1" applyProtection="1">
      <alignment vertical="center"/>
      <protection locked="0"/>
    </xf>
    <xf numFmtId="0" fontId="28" fillId="26" borderId="29" xfId="0" applyFont="1" applyFill="1" applyBorder="1" applyAlignment="1" applyProtection="1">
      <alignment horizontal="center" vertical="center"/>
      <protection locked="0"/>
    </xf>
    <xf numFmtId="0" fontId="2" fillId="8" borderId="29" xfId="0" applyFont="1" applyFill="1" applyBorder="1" applyAlignment="1">
      <alignment vertical="center"/>
    </xf>
    <xf numFmtId="0" fontId="2" fillId="8" borderId="29" xfId="0" applyFont="1" applyFill="1" applyBorder="1" applyAlignment="1">
      <alignment horizontal="center" vertical="center"/>
    </xf>
    <xf numFmtId="0" fontId="70" fillId="6" borderId="5" xfId="3" applyFont="1" applyFill="1" applyBorder="1" applyAlignment="1" applyProtection="1">
      <alignment horizontal="left" vertical="center" shrinkToFit="1"/>
      <protection locked="0"/>
    </xf>
    <xf numFmtId="49" fontId="70" fillId="6" borderId="5" xfId="3" applyNumberFormat="1" applyFont="1" applyFill="1" applyBorder="1" applyAlignment="1" applyProtection="1">
      <alignment horizontal="left" vertical="center" shrinkToFit="1"/>
      <protection locked="0"/>
    </xf>
    <xf numFmtId="0" fontId="70" fillId="0" borderId="29" xfId="0" applyFont="1" applyFill="1" applyBorder="1" applyAlignment="1" applyProtection="1">
      <alignment horizontal="left" vertical="center" shrinkToFit="1"/>
      <protection locked="0"/>
    </xf>
    <xf numFmtId="0" fontId="70" fillId="23" borderId="9" xfId="3" applyFont="1" applyFill="1" applyBorder="1" applyAlignment="1" applyProtection="1">
      <alignment horizontal="center" vertical="center" shrinkToFit="1"/>
      <protection locked="0"/>
    </xf>
    <xf numFmtId="14" fontId="70" fillId="0" borderId="29" xfId="0" applyNumberFormat="1" applyFont="1" applyFill="1" applyBorder="1" applyAlignment="1" applyProtection="1">
      <alignment horizontal="left" vertical="center" shrinkToFit="1"/>
      <protection locked="0"/>
    </xf>
    <xf numFmtId="49" fontId="70" fillId="0" borderId="5" xfId="3" applyNumberFormat="1" applyFont="1" applyFill="1" applyBorder="1" applyAlignment="1" applyProtection="1">
      <alignment horizontal="left" vertical="center" shrinkToFit="1"/>
      <protection locked="0"/>
    </xf>
    <xf numFmtId="0" fontId="68" fillId="25" borderId="69" xfId="0" applyFont="1" applyFill="1" applyBorder="1" applyAlignment="1" applyProtection="1">
      <alignment horizontal="center" vertical="center"/>
    </xf>
    <xf numFmtId="0" fontId="79" fillId="25" borderId="105" xfId="0" applyFont="1" applyFill="1" applyBorder="1" applyAlignment="1" applyProtection="1">
      <alignment shrinkToFit="1"/>
      <protection locked="0"/>
    </xf>
    <xf numFmtId="0" fontId="3" fillId="10" borderId="0" xfId="0" applyFont="1" applyFill="1" applyProtection="1"/>
    <xf numFmtId="1" fontId="30" fillId="6" borderId="29" xfId="0" applyNumberFormat="1" applyFont="1" applyFill="1" applyBorder="1" applyAlignment="1" applyProtection="1">
      <alignment horizontal="center" vertical="center" shrinkToFit="1"/>
      <protection locked="0"/>
    </xf>
    <xf numFmtId="1" fontId="30" fillId="6" borderId="33" xfId="0" applyNumberFormat="1" applyFont="1" applyFill="1" applyBorder="1" applyAlignment="1" applyProtection="1">
      <alignment horizontal="center" vertical="center" shrinkToFit="1"/>
      <protection locked="0"/>
    </xf>
    <xf numFmtId="1" fontId="30" fillId="6" borderId="31" xfId="0" applyNumberFormat="1" applyFont="1" applyFill="1" applyBorder="1" applyAlignment="1" applyProtection="1">
      <alignment horizontal="center" vertical="center" shrinkToFit="1"/>
      <protection locked="0"/>
    </xf>
    <xf numFmtId="1" fontId="30" fillId="6" borderId="38" xfId="0" applyNumberFormat="1" applyFont="1" applyFill="1" applyBorder="1" applyAlignment="1" applyProtection="1">
      <alignment horizontal="center" vertical="center" shrinkToFit="1"/>
      <protection locked="0"/>
    </xf>
    <xf numFmtId="1" fontId="30" fillId="0" borderId="33" xfId="0" applyNumberFormat="1" applyFont="1" applyFill="1" applyBorder="1" applyAlignment="1" applyProtection="1">
      <alignment horizontal="center" vertical="center" shrinkToFit="1"/>
      <protection locked="0"/>
    </xf>
    <xf numFmtId="1" fontId="30" fillId="6" borderId="30" xfId="0" applyNumberFormat="1" applyFont="1" applyFill="1" applyBorder="1" applyAlignment="1" applyProtection="1">
      <alignment horizontal="center" vertical="center" shrinkToFit="1"/>
      <protection locked="0"/>
    </xf>
    <xf numFmtId="1" fontId="30" fillId="6" borderId="37" xfId="0" applyNumberFormat="1" applyFont="1" applyFill="1" applyBorder="1" applyAlignment="1" applyProtection="1">
      <alignment horizontal="center" vertical="center" shrinkToFit="1"/>
      <protection locked="0"/>
    </xf>
    <xf numFmtId="49" fontId="32" fillId="21" borderId="41" xfId="0" applyNumberFormat="1" applyFont="1" applyFill="1" applyBorder="1" applyAlignment="1" applyProtection="1">
      <alignment horizontal="center" vertical="center" textRotation="90" wrapText="1" shrinkToFit="1"/>
    </xf>
    <xf numFmtId="49" fontId="47" fillId="8" borderId="41" xfId="0" applyNumberFormat="1" applyFont="1" applyFill="1" applyBorder="1" applyAlignment="1" applyProtection="1">
      <alignment horizontal="center" vertical="center" textRotation="90" wrapText="1"/>
    </xf>
    <xf numFmtId="49" fontId="0" fillId="6" borderId="12" xfId="0" applyNumberFormat="1" applyFill="1" applyBorder="1" applyAlignment="1" applyProtection="1">
      <alignment shrinkToFit="1"/>
      <protection locked="0"/>
    </xf>
    <xf numFmtId="49" fontId="0" fillId="6" borderId="5" xfId="0" applyNumberFormat="1" applyFill="1" applyBorder="1" applyAlignment="1" applyProtection="1">
      <alignment shrinkToFit="1"/>
      <protection locked="0"/>
    </xf>
    <xf numFmtId="49" fontId="0" fillId="6" borderId="9" xfId="0" applyNumberFormat="1" applyFill="1" applyBorder="1" applyAlignment="1" applyProtection="1">
      <alignment shrinkToFit="1"/>
      <protection locked="0"/>
    </xf>
    <xf numFmtId="49" fontId="0" fillId="0" borderId="0" xfId="0" applyNumberFormat="1" applyFill="1" applyProtection="1"/>
    <xf numFmtId="14" fontId="24" fillId="11" borderId="24" xfId="0" applyNumberFormat="1" applyFont="1" applyFill="1" applyBorder="1" applyAlignment="1" applyProtection="1">
      <alignment horizontal="center" vertical="center" textRotation="90" shrinkToFit="1"/>
      <protection locked="0"/>
    </xf>
    <xf numFmtId="14" fontId="24" fillId="11" borderId="25" xfId="0" applyNumberFormat="1" applyFont="1" applyFill="1" applyBorder="1" applyAlignment="1" applyProtection="1">
      <alignment horizontal="center" vertical="center" textRotation="90" shrinkToFit="1"/>
      <protection locked="0"/>
    </xf>
    <xf numFmtId="49" fontId="0" fillId="6" borderId="5" xfId="0" applyNumberFormat="1" applyFill="1" applyBorder="1" applyProtection="1">
      <protection locked="0"/>
    </xf>
    <xf numFmtId="49" fontId="0" fillId="6" borderId="9" xfId="0" applyNumberFormat="1" applyFill="1" applyBorder="1" applyProtection="1">
      <protection locked="0"/>
    </xf>
    <xf numFmtId="14" fontId="51" fillId="11" borderId="24" xfId="0" applyNumberFormat="1" applyFont="1" applyFill="1" applyBorder="1" applyAlignment="1" applyProtection="1">
      <alignment horizontal="center" vertical="center" textRotation="90"/>
      <protection locked="0"/>
    </xf>
    <xf numFmtId="14" fontId="51" fillId="11" borderId="25" xfId="0" applyNumberFormat="1" applyFont="1" applyFill="1" applyBorder="1" applyAlignment="1" applyProtection="1">
      <alignment horizontal="center" vertical="center" textRotation="90"/>
      <protection locked="0"/>
    </xf>
    <xf numFmtId="49" fontId="0" fillId="6" borderId="12" xfId="0" applyNumberFormat="1" applyFill="1" applyBorder="1" applyProtection="1">
      <protection locked="0"/>
    </xf>
    <xf numFmtId="14" fontId="24" fillId="11" borderId="24" xfId="0" applyNumberFormat="1" applyFont="1" applyFill="1" applyBorder="1" applyAlignment="1" applyProtection="1">
      <alignment horizontal="center" vertical="center" textRotation="90" shrinkToFit="1"/>
    </xf>
    <xf numFmtId="1" fontId="30" fillId="6" borderId="31" xfId="0" applyNumberFormat="1" applyFont="1" applyFill="1" applyBorder="1" applyAlignment="1" applyProtection="1">
      <alignment horizontal="center" vertical="center"/>
      <protection locked="0"/>
    </xf>
    <xf numFmtId="1" fontId="30" fillId="6" borderId="38" xfId="0" applyNumberFormat="1" applyFont="1" applyFill="1" applyBorder="1" applyAlignment="1" applyProtection="1">
      <alignment horizontal="center" vertical="center"/>
      <protection locked="0"/>
    </xf>
    <xf numFmtId="1" fontId="30" fillId="6" borderId="33" xfId="0" applyNumberFormat="1" applyFont="1" applyFill="1" applyBorder="1" applyAlignment="1" applyProtection="1">
      <alignment horizontal="center" vertical="center"/>
      <protection locked="0"/>
    </xf>
    <xf numFmtId="1" fontId="30" fillId="0" borderId="33" xfId="0" applyNumberFormat="1" applyFont="1" applyFill="1" applyBorder="1" applyAlignment="1" applyProtection="1">
      <alignment horizontal="center" vertical="center"/>
      <protection locked="0"/>
    </xf>
    <xf numFmtId="1" fontId="30" fillId="6" borderId="29" xfId="0" applyNumberFormat="1" applyFont="1" applyFill="1" applyBorder="1" applyAlignment="1" applyProtection="1">
      <alignment horizontal="center" vertical="center"/>
      <protection locked="0"/>
    </xf>
    <xf numFmtId="1" fontId="30" fillId="6" borderId="37" xfId="0" applyNumberFormat="1" applyFont="1" applyFill="1" applyBorder="1" applyAlignment="1" applyProtection="1">
      <alignment horizontal="center" vertical="center"/>
      <protection locked="0"/>
    </xf>
    <xf numFmtId="1" fontId="30" fillId="6" borderId="30" xfId="0" applyNumberFormat="1" applyFont="1" applyFill="1" applyBorder="1" applyAlignment="1" applyProtection="1">
      <alignment horizontal="center" vertical="center"/>
      <protection locked="0"/>
    </xf>
    <xf numFmtId="0" fontId="60" fillId="6" borderId="29" xfId="0" applyFont="1" applyFill="1" applyBorder="1" applyAlignment="1" applyProtection="1">
      <alignment horizontal="center" vertical="center" shrinkToFit="1"/>
      <protection hidden="1"/>
    </xf>
    <xf numFmtId="0" fontId="32" fillId="6" borderId="29" xfId="0" applyFont="1" applyFill="1" applyBorder="1" applyAlignment="1" applyProtection="1">
      <alignment horizontal="center" vertical="center" shrinkToFit="1"/>
      <protection hidden="1"/>
    </xf>
    <xf numFmtId="14" fontId="35" fillId="9" borderId="0" xfId="0" applyNumberFormat="1" applyFont="1" applyFill="1" applyBorder="1" applyAlignment="1" applyProtection="1">
      <alignment vertical="center"/>
    </xf>
    <xf numFmtId="0" fontId="15" fillId="8" borderId="29" xfId="0" applyFont="1" applyFill="1" applyBorder="1" applyAlignment="1">
      <alignment horizontal="center" wrapText="1" shrinkToFit="1"/>
    </xf>
    <xf numFmtId="0" fontId="15" fillId="0" borderId="29" xfId="0" applyFont="1" applyFill="1" applyBorder="1" applyAlignment="1">
      <alignment shrinkToFit="1"/>
    </xf>
    <xf numFmtId="0" fontId="0" fillId="23" borderId="29" xfId="0" applyFont="1" applyFill="1" applyBorder="1" applyAlignment="1" applyProtection="1">
      <alignment horizontal="left" vertical="center" shrinkToFit="1"/>
      <protection locked="0"/>
    </xf>
    <xf numFmtId="0" fontId="39" fillId="5" borderId="0" xfId="0" applyFont="1" applyFill="1" applyProtection="1"/>
    <xf numFmtId="0" fontId="0" fillId="0" borderId="0" xfId="0" applyFill="1" applyAlignment="1" applyProtection="1">
      <alignment horizontal="left" vertical="center" wrapText="1"/>
    </xf>
    <xf numFmtId="0" fontId="13" fillId="8" borderId="0" xfId="0" applyFont="1" applyFill="1" applyBorder="1" applyAlignment="1" applyProtection="1">
      <alignment horizontal="left" vertical="center"/>
    </xf>
    <xf numFmtId="0" fontId="13" fillId="8" borderId="0" xfId="0" applyFont="1" applyFill="1" applyBorder="1" applyAlignment="1" applyProtection="1">
      <alignment horizontal="left"/>
    </xf>
    <xf numFmtId="0" fontId="14" fillId="8" borderId="0" xfId="0" applyFont="1" applyFill="1" applyBorder="1" applyAlignment="1" applyProtection="1">
      <alignment horizontal="left" vertical="center"/>
    </xf>
    <xf numFmtId="0" fontId="20" fillId="9" borderId="0" xfId="0" applyFont="1" applyFill="1" applyBorder="1" applyAlignment="1" applyProtection="1">
      <alignment horizontal="left" vertical="center"/>
    </xf>
    <xf numFmtId="0" fontId="21" fillId="9" borderId="0" xfId="0" applyFont="1" applyFill="1" applyBorder="1" applyAlignment="1" applyProtection="1">
      <alignment horizontal="left" vertical="center"/>
    </xf>
    <xf numFmtId="0" fontId="32" fillId="9" borderId="0" xfId="0" applyFont="1" applyFill="1" applyBorder="1" applyAlignment="1" applyProtection="1">
      <alignment horizontal="left" vertical="center"/>
    </xf>
    <xf numFmtId="0" fontId="13" fillId="8" borderId="0" xfId="0" applyFont="1" applyFill="1" applyBorder="1" applyAlignment="1" applyProtection="1">
      <alignment vertical="center"/>
    </xf>
    <xf numFmtId="0" fontId="14" fillId="8" borderId="0" xfId="0" applyFont="1" applyFill="1" applyBorder="1" applyAlignment="1" applyProtection="1">
      <alignment vertical="center"/>
    </xf>
    <xf numFmtId="0" fontId="13" fillId="8" borderId="0" xfId="0" applyFont="1" applyFill="1" applyBorder="1" applyAlignment="1" applyProtection="1"/>
    <xf numFmtId="0" fontId="20" fillId="9" borderId="0" xfId="0" applyFont="1" applyFill="1" applyBorder="1" applyAlignment="1" applyProtection="1">
      <alignment vertical="center"/>
    </xf>
    <xf numFmtId="0" fontId="21" fillId="9" borderId="0" xfId="0" applyFont="1" applyFill="1" applyBorder="1" applyAlignment="1" applyProtection="1">
      <alignment vertical="center"/>
    </xf>
    <xf numFmtId="0" fontId="42" fillId="8" borderId="0" xfId="0" applyFont="1" applyFill="1" applyBorder="1" applyAlignment="1">
      <alignment horizontal="left"/>
    </xf>
    <xf numFmtId="0" fontId="42" fillId="8" borderId="65" xfId="0" applyFont="1" applyFill="1" applyBorder="1" applyAlignment="1">
      <alignment horizontal="left"/>
    </xf>
    <xf numFmtId="0" fontId="23" fillId="9" borderId="0" xfId="0" applyFont="1" applyFill="1" applyBorder="1" applyAlignment="1" applyProtection="1">
      <alignment horizontal="center"/>
    </xf>
    <xf numFmtId="0" fontId="0" fillId="9" borderId="0" xfId="0" applyFill="1" applyBorder="1" applyAlignment="1" applyProtection="1">
      <alignment horizontal="center"/>
    </xf>
    <xf numFmtId="0" fontId="35" fillId="9" borderId="0" xfId="0" applyFont="1" applyFill="1" applyBorder="1" applyAlignment="1" applyProtection="1">
      <alignment horizontal="left" vertical="center"/>
    </xf>
    <xf numFmtId="0" fontId="32" fillId="9" borderId="0" xfId="0" applyFont="1" applyFill="1" applyBorder="1" applyAlignment="1" applyProtection="1">
      <alignment horizontal="left" vertical="center"/>
    </xf>
    <xf numFmtId="0" fontId="69" fillId="5" borderId="0" xfId="0" applyFont="1" applyFill="1" applyProtection="1"/>
    <xf numFmtId="14" fontId="0" fillId="9" borderId="0" xfId="0" applyNumberFormat="1" applyFill="1" applyBorder="1" applyProtection="1"/>
    <xf numFmtId="0" fontId="23" fillId="9" borderId="0" xfId="0" applyFont="1" applyFill="1" applyBorder="1" applyAlignment="1" applyProtection="1">
      <alignment horizontal="left"/>
    </xf>
    <xf numFmtId="0" fontId="35" fillId="9" borderId="0" xfId="0" applyFont="1" applyFill="1" applyBorder="1" applyAlignment="1" applyProtection="1">
      <alignment horizontal="right" vertical="center"/>
    </xf>
    <xf numFmtId="0" fontId="35" fillId="9" borderId="0" xfId="0" applyFont="1" applyFill="1" applyBorder="1" applyAlignment="1" applyProtection="1">
      <alignment horizontal="right"/>
    </xf>
    <xf numFmtId="0" fontId="35" fillId="9" borderId="0" xfId="0" applyFont="1" applyFill="1" applyBorder="1" applyAlignment="1" applyProtection="1"/>
    <xf numFmtId="0" fontId="23" fillId="9" borderId="0" xfId="0" applyFont="1" applyFill="1" applyBorder="1" applyAlignment="1" applyProtection="1">
      <alignment horizontal="left" vertical="center"/>
    </xf>
    <xf numFmtId="0" fontId="0" fillId="9" borderId="0" xfId="0" applyFill="1" applyBorder="1" applyAlignment="1" applyProtection="1">
      <alignment horizontal="left" vertical="center"/>
    </xf>
    <xf numFmtId="0" fontId="25" fillId="0" borderId="0" xfId="0" applyFont="1" applyFill="1" applyAlignment="1" applyProtection="1">
      <alignment horizontal="center"/>
    </xf>
    <xf numFmtId="0" fontId="86" fillId="0" borderId="0" xfId="7"/>
    <xf numFmtId="0" fontId="90" fillId="0" borderId="0" xfId="7" applyFont="1" applyFill="1" applyBorder="1" applyAlignment="1" applyProtection="1">
      <alignment horizontal="center" shrinkToFit="1"/>
      <protection hidden="1"/>
    </xf>
    <xf numFmtId="0" fontId="43" fillId="0" borderId="0" xfId="7" applyFont="1" applyFill="1" applyBorder="1" applyAlignment="1" applyProtection="1">
      <alignment vertical="center" shrinkToFit="1"/>
      <protection hidden="1"/>
    </xf>
    <xf numFmtId="0" fontId="86" fillId="29" borderId="0" xfId="7" applyFont="1" applyFill="1" applyAlignment="1" applyProtection="1">
      <alignment shrinkToFit="1"/>
      <protection hidden="1"/>
    </xf>
    <xf numFmtId="0" fontId="86" fillId="29" borderId="0" xfId="7" applyFont="1" applyFill="1"/>
    <xf numFmtId="0" fontId="86" fillId="0" borderId="0" xfId="7" applyFont="1" applyFill="1" applyAlignment="1" applyProtection="1">
      <alignment shrinkToFit="1"/>
      <protection hidden="1"/>
    </xf>
    <xf numFmtId="0" fontId="86" fillId="0" borderId="0" xfId="7" applyFont="1" applyFill="1"/>
    <xf numFmtId="0" fontId="86" fillId="0" borderId="0" xfId="7" applyFont="1" applyFill="1" applyBorder="1" applyAlignment="1" applyProtection="1">
      <alignment shrinkToFit="1"/>
      <protection hidden="1"/>
    </xf>
    <xf numFmtId="0" fontId="86" fillId="0" borderId="0" xfId="7" applyFont="1" applyFill="1" applyAlignment="1" applyProtection="1">
      <alignment vertical="center" shrinkToFit="1"/>
      <protection hidden="1"/>
    </xf>
    <xf numFmtId="165" fontId="86" fillId="0" borderId="0" xfId="7" applyNumberFormat="1" applyFont="1" applyFill="1" applyAlignment="1" applyProtection="1">
      <alignment vertical="center" shrinkToFit="1"/>
      <protection hidden="1"/>
    </xf>
    <xf numFmtId="14" fontId="89" fillId="0" borderId="0" xfId="8" applyNumberFormat="1" applyFont="1" applyFill="1" applyAlignment="1" applyProtection="1">
      <alignment horizontal="right" vertical="top"/>
      <protection hidden="1"/>
    </xf>
    <xf numFmtId="0" fontId="95" fillId="29" borderId="0" xfId="7" applyFont="1" applyFill="1" applyAlignment="1" applyProtection="1">
      <alignment shrinkToFit="1"/>
      <protection hidden="1"/>
    </xf>
    <xf numFmtId="0" fontId="86" fillId="0" borderId="0" xfId="7" applyProtection="1">
      <protection hidden="1"/>
    </xf>
    <xf numFmtId="0" fontId="87" fillId="0" borderId="0" xfId="7" applyFont="1" applyProtection="1">
      <protection hidden="1"/>
    </xf>
    <xf numFmtId="164" fontId="86" fillId="0" borderId="0" xfId="7" applyNumberFormat="1" applyProtection="1">
      <protection hidden="1"/>
    </xf>
    <xf numFmtId="0" fontId="86" fillId="0" borderId="32" xfId="7" applyFont="1" applyFill="1" applyBorder="1" applyAlignment="1" applyProtection="1">
      <alignment horizontal="left" vertical="center" shrinkToFit="1"/>
      <protection hidden="1"/>
    </xf>
    <xf numFmtId="0" fontId="86" fillId="0" borderId="118" xfId="7" applyFont="1" applyFill="1" applyBorder="1" applyAlignment="1" applyProtection="1">
      <alignment horizontal="left" vertical="center" shrinkToFit="1"/>
      <protection hidden="1"/>
    </xf>
    <xf numFmtId="0" fontId="86" fillId="0" borderId="78" xfId="7" applyFont="1" applyFill="1" applyBorder="1" applyAlignment="1" applyProtection="1">
      <alignment horizontal="left" vertical="center" shrinkToFit="1"/>
      <protection hidden="1"/>
    </xf>
    <xf numFmtId="0" fontId="63" fillId="8" borderId="29" xfId="0" applyFont="1" applyFill="1" applyBorder="1" applyAlignment="1" applyProtection="1">
      <alignment horizontal="center" vertical="center" textRotation="90" wrapText="1" shrinkToFit="1"/>
      <protection locked="0"/>
    </xf>
    <xf numFmtId="0" fontId="63" fillId="8" borderId="30" xfId="0" applyFont="1" applyFill="1" applyBorder="1" applyAlignment="1" applyProtection="1">
      <alignment horizontal="center" vertical="center" textRotation="90" wrapText="1" shrinkToFit="1"/>
      <protection locked="0"/>
    </xf>
    <xf numFmtId="0" fontId="63" fillId="8" borderId="37" xfId="0" applyFont="1" applyFill="1" applyBorder="1" applyAlignment="1" applyProtection="1">
      <alignment horizontal="center" vertical="center" textRotation="90" wrapText="1" shrinkToFit="1"/>
      <protection locked="0"/>
    </xf>
    <xf numFmtId="0" fontId="96" fillId="0" borderId="0" xfId="7" applyFont="1" applyFill="1" applyAlignment="1" applyProtection="1">
      <alignment shrinkToFit="1"/>
      <protection hidden="1"/>
    </xf>
    <xf numFmtId="164" fontId="86" fillId="0" borderId="0" xfId="7" applyNumberFormat="1"/>
    <xf numFmtId="165" fontId="86" fillId="0" borderId="0" xfId="7" applyNumberFormat="1"/>
    <xf numFmtId="0" fontId="41" fillId="0" borderId="0" xfId="7" applyFont="1"/>
    <xf numFmtId="165" fontId="86" fillId="0" borderId="0" xfId="7" applyNumberFormat="1" applyFont="1" applyFill="1" applyBorder="1" applyAlignment="1" applyProtection="1">
      <alignment vertical="center" shrinkToFit="1"/>
      <protection hidden="1"/>
    </xf>
    <xf numFmtId="165" fontId="86" fillId="0" borderId="0" xfId="7" applyNumberFormat="1" applyFont="1" applyFill="1" applyBorder="1" applyAlignment="1" applyProtection="1">
      <alignment horizontal="center" vertical="center" shrinkToFit="1"/>
      <protection hidden="1"/>
    </xf>
    <xf numFmtId="0" fontId="25" fillId="0" borderId="0" xfId="0" applyFont="1" applyFill="1" applyAlignment="1" applyProtection="1">
      <alignment horizontal="center"/>
    </xf>
    <xf numFmtId="0" fontId="47" fillId="16" borderId="41" xfId="0" applyFont="1" applyFill="1" applyBorder="1" applyAlignment="1" applyProtection="1">
      <alignment horizontal="center" vertical="center"/>
    </xf>
    <xf numFmtId="0" fontId="47" fillId="16" borderId="42" xfId="0" applyFont="1" applyFill="1" applyBorder="1" applyAlignment="1" applyProtection="1">
      <alignment horizontal="center" vertical="center"/>
    </xf>
    <xf numFmtId="0" fontId="60" fillId="8" borderId="30" xfId="0" applyNumberFormat="1" applyFont="1" applyFill="1" applyBorder="1" applyAlignment="1" applyProtection="1">
      <alignment horizontal="center" vertical="center" textRotation="90" wrapText="1" shrinkToFit="1"/>
      <protection locked="0"/>
    </xf>
    <xf numFmtId="0" fontId="60" fillId="8" borderId="29" xfId="0" applyNumberFormat="1" applyFont="1" applyFill="1" applyBorder="1" applyAlignment="1" applyProtection="1">
      <alignment horizontal="center" vertical="center" textRotation="90" wrapText="1" shrinkToFit="1"/>
      <protection locked="0"/>
    </xf>
    <xf numFmtId="0" fontId="60" fillId="8" borderId="37" xfId="0" applyNumberFormat="1" applyFont="1" applyFill="1" applyBorder="1" applyAlignment="1" applyProtection="1">
      <alignment horizontal="center" vertical="center" textRotation="90" wrapText="1" shrinkToFit="1"/>
      <protection locked="0"/>
    </xf>
    <xf numFmtId="0" fontId="60" fillId="8" borderId="30" xfId="0" applyFont="1" applyFill="1" applyBorder="1" applyAlignment="1" applyProtection="1">
      <alignment horizontal="center" vertical="center" textRotation="90" shrinkToFit="1"/>
      <protection locked="0"/>
    </xf>
    <xf numFmtId="0" fontId="60" fillId="8" borderId="29" xfId="0" applyFont="1" applyFill="1" applyBorder="1" applyAlignment="1" applyProtection="1">
      <alignment horizontal="center" vertical="center" textRotation="90" wrapText="1" shrinkToFit="1"/>
      <protection locked="0"/>
    </xf>
    <xf numFmtId="0" fontId="60" fillId="8" borderId="37" xfId="0" applyFont="1" applyFill="1" applyBorder="1" applyAlignment="1" applyProtection="1">
      <alignment horizontal="center" vertical="center" textRotation="90" wrapText="1" shrinkToFit="1"/>
      <protection locked="0"/>
    </xf>
    <xf numFmtId="0" fontId="60" fillId="8" borderId="30" xfId="0" applyFont="1" applyFill="1" applyBorder="1" applyAlignment="1" applyProtection="1">
      <alignment horizontal="center" vertical="center" textRotation="90" wrapText="1" shrinkToFit="1"/>
      <protection locked="0"/>
    </xf>
    <xf numFmtId="49" fontId="60" fillId="8" borderId="30" xfId="0" applyNumberFormat="1" applyFont="1" applyFill="1" applyBorder="1" applyAlignment="1" applyProtection="1">
      <alignment horizontal="center" vertical="center" textRotation="90" wrapText="1" shrinkToFit="1"/>
      <protection locked="0"/>
    </xf>
    <xf numFmtId="49" fontId="60" fillId="8" borderId="29" xfId="0" applyNumberFormat="1" applyFont="1" applyFill="1" applyBorder="1" applyAlignment="1" applyProtection="1">
      <alignment horizontal="center" vertical="center" textRotation="90" wrapText="1" shrinkToFit="1"/>
      <protection locked="0"/>
    </xf>
    <xf numFmtId="49" fontId="60" fillId="8" borderId="37" xfId="0" applyNumberFormat="1" applyFont="1" applyFill="1" applyBorder="1" applyAlignment="1" applyProtection="1">
      <alignment horizontal="center" vertical="center" textRotation="90" wrapText="1" shrinkToFit="1"/>
      <protection locked="0"/>
    </xf>
    <xf numFmtId="0" fontId="2" fillId="6" borderId="0" xfId="0" applyFont="1" applyFill="1" applyBorder="1" applyAlignment="1" applyProtection="1">
      <alignment vertical="center" shrinkToFit="1"/>
    </xf>
    <xf numFmtId="0" fontId="0" fillId="6" borderId="0" xfId="0" applyFill="1" applyBorder="1" applyAlignment="1" applyProtection="1">
      <alignment shrinkToFit="1"/>
      <protection locked="0"/>
    </xf>
    <xf numFmtId="0" fontId="0" fillId="6" borderId="0" xfId="0" applyFill="1" applyBorder="1" applyProtection="1">
      <protection locked="0"/>
    </xf>
    <xf numFmtId="0" fontId="2" fillId="6" borderId="0" xfId="0" applyFont="1" applyFill="1" applyBorder="1" applyAlignment="1" applyProtection="1">
      <alignment vertical="center" shrinkToFit="1"/>
      <protection locked="0"/>
    </xf>
    <xf numFmtId="0" fontId="76" fillId="0" borderId="80" xfId="0" applyFont="1" applyBorder="1" applyAlignment="1" applyProtection="1">
      <alignment horizontal="center" vertical="center" textRotation="90"/>
    </xf>
    <xf numFmtId="0" fontId="76" fillId="0" borderId="68" xfId="0" applyFont="1" applyBorder="1" applyAlignment="1" applyProtection="1">
      <alignment horizontal="center" vertical="center" textRotation="90"/>
    </xf>
    <xf numFmtId="0" fontId="75" fillId="0" borderId="81" xfId="0" applyFont="1" applyFill="1" applyBorder="1" applyAlignment="1" applyProtection="1">
      <alignment horizontal="center" vertical="center" textRotation="90" wrapText="1"/>
    </xf>
    <xf numFmtId="0" fontId="76" fillId="0" borderId="92" xfId="0" applyFont="1" applyBorder="1" applyAlignment="1" applyProtection="1">
      <alignment horizontal="center" vertical="center" textRotation="90"/>
    </xf>
    <xf numFmtId="0" fontId="75" fillId="0" borderId="93" xfId="0" applyFont="1" applyFill="1" applyBorder="1" applyAlignment="1" applyProtection="1">
      <alignment horizontal="center" vertical="center" textRotation="90" wrapText="1"/>
    </xf>
    <xf numFmtId="0" fontId="33" fillId="6" borderId="41" xfId="0" applyFont="1" applyFill="1" applyBorder="1" applyAlignment="1" applyProtection="1">
      <alignment horizontal="center" vertical="center" wrapText="1"/>
    </xf>
    <xf numFmtId="0" fontId="0" fillId="9" borderId="0" xfId="0" applyFont="1" applyFill="1" applyBorder="1" applyAlignment="1" applyProtection="1">
      <alignment horizontal="left" vertical="center"/>
    </xf>
    <xf numFmtId="0" fontId="47" fillId="16" borderId="42" xfId="0" applyFont="1" applyFill="1" applyBorder="1" applyAlignment="1" applyProtection="1">
      <alignment horizontal="center" vertical="center" shrinkToFit="1"/>
    </xf>
    <xf numFmtId="0" fontId="30" fillId="0" borderId="89" xfId="0" applyFont="1" applyFill="1" applyBorder="1" applyAlignment="1" applyProtection="1">
      <alignment horizontal="center" textRotation="90" wrapText="1"/>
    </xf>
    <xf numFmtId="0" fontId="30" fillId="0" borderId="89" xfId="0" quotePrefix="1" applyFont="1" applyFill="1" applyBorder="1" applyAlignment="1" applyProtection="1">
      <alignment horizontal="center" textRotation="90" wrapText="1"/>
    </xf>
    <xf numFmtId="0" fontId="30" fillId="0" borderId="0" xfId="0" applyFont="1" applyFill="1" applyBorder="1" applyAlignment="1" applyProtection="1">
      <alignment horizontal="center" textRotation="90" wrapText="1"/>
    </xf>
    <xf numFmtId="0" fontId="30" fillId="0" borderId="88" xfId="0" applyFont="1" applyFill="1" applyBorder="1" applyAlignment="1" applyProtection="1">
      <alignment horizontal="center" textRotation="90" wrapText="1"/>
    </xf>
    <xf numFmtId="164" fontId="51" fillId="0" borderId="76" xfId="0" applyNumberFormat="1" applyFont="1" applyFill="1" applyBorder="1" applyAlignment="1" applyProtection="1">
      <alignment horizontal="center" vertical="center" shrinkToFit="1"/>
      <protection locked="0"/>
    </xf>
    <xf numFmtId="164" fontId="51" fillId="0" borderId="31" xfId="0" applyNumberFormat="1" applyFont="1" applyFill="1" applyBorder="1" applyAlignment="1" applyProtection="1">
      <alignment horizontal="center" vertical="center" shrinkToFit="1"/>
      <protection locked="0"/>
    </xf>
    <xf numFmtId="164" fontId="51" fillId="0" borderId="96" xfId="0" applyNumberFormat="1" applyFont="1" applyFill="1" applyBorder="1" applyAlignment="1" applyProtection="1">
      <alignment horizontal="center" vertical="center" shrinkToFit="1"/>
      <protection locked="0"/>
    </xf>
    <xf numFmtId="164" fontId="51" fillId="0" borderId="112" xfId="0" applyNumberFormat="1" applyFont="1" applyFill="1" applyBorder="1" applyAlignment="1" applyProtection="1">
      <alignment horizontal="center" vertical="center" shrinkToFit="1"/>
      <protection locked="0"/>
    </xf>
    <xf numFmtId="164" fontId="51" fillId="0" borderId="69" xfId="0" applyNumberFormat="1" applyFont="1" applyFill="1" applyBorder="1" applyAlignment="1" applyProtection="1">
      <alignment horizontal="center" vertical="center" shrinkToFit="1"/>
      <protection locked="0"/>
    </xf>
    <xf numFmtId="164" fontId="51" fillId="0" borderId="29" xfId="0" applyNumberFormat="1" applyFont="1" applyFill="1" applyBorder="1" applyAlignment="1" applyProtection="1">
      <alignment horizontal="center" vertical="center" shrinkToFit="1"/>
      <protection locked="0"/>
    </xf>
    <xf numFmtId="164" fontId="51" fillId="0" borderId="113" xfId="0" applyNumberFormat="1" applyFont="1" applyFill="1" applyBorder="1" applyAlignment="1" applyProtection="1">
      <alignment horizontal="center" vertical="center" shrinkToFit="1"/>
      <protection locked="0"/>
    </xf>
    <xf numFmtId="164" fontId="51" fillId="0" borderId="70" xfId="0" applyNumberFormat="1" applyFont="1" applyFill="1" applyBorder="1" applyAlignment="1" applyProtection="1">
      <alignment horizontal="center" vertical="center" shrinkToFit="1"/>
      <protection locked="0"/>
    </xf>
    <xf numFmtId="164" fontId="51" fillId="0" borderId="72" xfId="0" applyNumberFormat="1" applyFont="1" applyFill="1" applyBorder="1" applyAlignment="1" applyProtection="1">
      <alignment horizontal="center" vertical="center" shrinkToFit="1"/>
      <protection locked="0"/>
    </xf>
    <xf numFmtId="164" fontId="51" fillId="0" borderId="71" xfId="0" applyNumberFormat="1" applyFont="1" applyFill="1" applyBorder="1" applyAlignment="1" applyProtection="1">
      <alignment horizontal="center" vertical="center" shrinkToFit="1"/>
      <protection locked="0"/>
    </xf>
    <xf numFmtId="164" fontId="51" fillId="0" borderId="95" xfId="0" applyNumberFormat="1" applyFont="1" applyFill="1" applyBorder="1" applyAlignment="1" applyProtection="1">
      <alignment horizontal="center" vertical="center" shrinkToFit="1"/>
      <protection locked="0"/>
    </xf>
    <xf numFmtId="0" fontId="50" fillId="25" borderId="65" xfId="0" applyFont="1" applyFill="1" applyBorder="1" applyAlignment="1" applyProtection="1">
      <alignment horizontal="center" vertical="center"/>
    </xf>
    <xf numFmtId="0" fontId="85" fillId="25" borderId="66" xfId="0" applyFont="1" applyFill="1" applyBorder="1" applyAlignment="1" applyProtection="1">
      <alignment horizontal="center" vertical="center" textRotation="90" wrapText="1"/>
    </xf>
    <xf numFmtId="0" fontId="77" fillId="25" borderId="81" xfId="0" applyFont="1" applyFill="1" applyBorder="1" applyAlignment="1" applyProtection="1">
      <alignment horizontal="center" vertical="center" textRotation="90" wrapText="1"/>
    </xf>
    <xf numFmtId="0" fontId="47" fillId="6" borderId="29" xfId="0" applyFont="1" applyFill="1" applyBorder="1" applyAlignment="1" applyProtection="1">
      <alignment horizontal="left" vertical="center"/>
    </xf>
    <xf numFmtId="0" fontId="63" fillId="6" borderId="29" xfId="0" applyFont="1" applyFill="1" applyBorder="1" applyAlignment="1" applyProtection="1">
      <alignment horizontal="left" vertical="center" wrapText="1" shrinkToFit="1"/>
      <protection hidden="1"/>
    </xf>
    <xf numFmtId="0" fontId="63" fillId="6" borderId="29" xfId="0" applyFont="1" applyFill="1" applyBorder="1" applyAlignment="1" applyProtection="1">
      <alignment horizontal="left" vertical="center" shrinkToFit="1"/>
      <protection hidden="1"/>
    </xf>
    <xf numFmtId="0" fontId="63" fillId="6" borderId="29" xfId="0" quotePrefix="1" applyFont="1" applyFill="1" applyBorder="1" applyAlignment="1" applyProtection="1">
      <alignment horizontal="left" vertical="center" shrinkToFit="1"/>
      <protection hidden="1"/>
    </xf>
    <xf numFmtId="164" fontId="28" fillId="6" borderId="29" xfId="0" applyNumberFormat="1" applyFont="1" applyFill="1" applyBorder="1" applyAlignment="1" applyProtection="1">
      <alignment horizontal="center" vertical="center"/>
      <protection hidden="1"/>
    </xf>
    <xf numFmtId="164" fontId="3" fillId="13" borderId="0" xfId="0" applyNumberFormat="1" applyFont="1" applyFill="1" applyProtection="1">
      <protection locked="0"/>
    </xf>
    <xf numFmtId="0" fontId="60" fillId="9" borderId="0" xfId="0" applyFont="1" applyFill="1" applyBorder="1" applyAlignment="1" applyProtection="1">
      <alignment horizontal="center" vertical="center"/>
    </xf>
    <xf numFmtId="0" fontId="60" fillId="9" borderId="0" xfId="0" applyFont="1" applyFill="1" applyBorder="1" applyAlignment="1" applyProtection="1">
      <alignment horizontal="left" vertical="center"/>
    </xf>
    <xf numFmtId="0" fontId="60" fillId="9" borderId="0" xfId="0" applyFont="1" applyFill="1" applyBorder="1" applyAlignment="1" applyProtection="1">
      <alignment vertical="center"/>
    </xf>
    <xf numFmtId="0" fontId="30" fillId="9" borderId="0" xfId="0" applyFont="1" applyFill="1" applyBorder="1" applyAlignment="1" applyProtection="1">
      <alignment horizontal="left"/>
    </xf>
    <xf numFmtId="0" fontId="0" fillId="9" borderId="0" xfId="0" applyFont="1" applyFill="1" applyBorder="1" applyAlignment="1" applyProtection="1">
      <alignment horizontal="left"/>
    </xf>
    <xf numFmtId="0" fontId="30" fillId="9" borderId="0" xfId="0" applyFont="1" applyFill="1" applyBorder="1" applyProtection="1"/>
    <xf numFmtId="0" fontId="0" fillId="9" borderId="0" xfId="0" applyFont="1" applyFill="1" applyBorder="1" applyProtection="1"/>
    <xf numFmtId="0" fontId="30" fillId="9" borderId="0" xfId="0" applyFont="1" applyFill="1" applyBorder="1" applyAlignment="1" applyProtection="1">
      <alignment horizontal="left" vertical="center"/>
    </xf>
    <xf numFmtId="0" fontId="4" fillId="30" borderId="0" xfId="0" applyFont="1" applyFill="1" applyProtection="1"/>
    <xf numFmtId="0" fontId="0" fillId="30" borderId="0" xfId="0" applyFont="1" applyFill="1" applyProtection="1"/>
    <xf numFmtId="0" fontId="0" fillId="30" borderId="0" xfId="0" applyFont="1" applyFill="1" applyAlignment="1" applyProtection="1">
      <alignment horizontal="left" vertical="center" shrinkToFit="1"/>
    </xf>
    <xf numFmtId="0" fontId="101" fillId="30" borderId="0" xfId="0" applyFont="1" applyFill="1" applyProtection="1"/>
    <xf numFmtId="0" fontId="3" fillId="30" borderId="0" xfId="0" applyFont="1" applyFill="1" applyProtection="1"/>
    <xf numFmtId="0" fontId="77" fillId="30" borderId="0" xfId="0" applyFont="1" applyFill="1" applyProtection="1"/>
    <xf numFmtId="14" fontId="101" fillId="30" borderId="0" xfId="0" applyNumberFormat="1" applyFont="1" applyFill="1" applyAlignment="1" applyProtection="1">
      <alignment horizontal="center" vertical="center"/>
    </xf>
    <xf numFmtId="0" fontId="61" fillId="30" borderId="0" xfId="0" applyFont="1" applyFill="1" applyAlignment="1" applyProtection="1">
      <alignment horizontal="right" vertical="center"/>
    </xf>
    <xf numFmtId="0" fontId="66" fillId="13" borderId="0" xfId="0" applyFont="1" applyFill="1" applyAlignment="1" applyProtection="1">
      <alignment horizontal="center" vertical="center"/>
      <protection locked="0"/>
    </xf>
    <xf numFmtId="1" fontId="105" fillId="13" borderId="0" xfId="0" applyNumberFormat="1" applyFont="1" applyFill="1" applyAlignment="1" applyProtection="1">
      <alignment horizontal="center" vertical="center"/>
    </xf>
    <xf numFmtId="0" fontId="66" fillId="13" borderId="0" xfId="0" applyFont="1" applyFill="1" applyAlignment="1">
      <alignment horizontal="center" vertical="center"/>
    </xf>
    <xf numFmtId="0" fontId="0" fillId="5" borderId="0" xfId="0" applyFont="1" applyFill="1" applyProtection="1"/>
    <xf numFmtId="0" fontId="4" fillId="30" borderId="3" xfId="0" applyFont="1" applyFill="1" applyBorder="1" applyProtection="1"/>
    <xf numFmtId="0" fontId="4" fillId="30" borderId="0" xfId="0" applyFont="1" applyFill="1" applyBorder="1" applyProtection="1"/>
    <xf numFmtId="0" fontId="4" fillId="30" borderId="66" xfId="0" applyFont="1" applyFill="1" applyBorder="1" applyProtection="1"/>
    <xf numFmtId="0" fontId="4" fillId="30" borderId="67" xfId="0" applyFont="1" applyFill="1" applyBorder="1" applyProtection="1"/>
    <xf numFmtId="14" fontId="31" fillId="31" borderId="0" xfId="0" applyNumberFormat="1" applyFont="1" applyFill="1" applyBorder="1" applyAlignment="1" applyProtection="1">
      <alignment horizontal="center" vertical="center"/>
      <protection locked="0"/>
    </xf>
    <xf numFmtId="0" fontId="0" fillId="9" borderId="0" xfId="0" applyFont="1" applyFill="1" applyBorder="1" applyAlignment="1" applyProtection="1">
      <alignment horizontal="left" vertical="center"/>
    </xf>
    <xf numFmtId="0" fontId="30" fillId="9" borderId="0" xfId="0" applyFont="1" applyFill="1" applyBorder="1" applyAlignment="1" applyProtection="1">
      <alignment horizontal="left" vertical="center"/>
    </xf>
    <xf numFmtId="0" fontId="32" fillId="9" borderId="0" xfId="0" applyFont="1" applyFill="1" applyBorder="1" applyAlignment="1" applyProtection="1">
      <alignment horizontal="left" vertical="center"/>
    </xf>
    <xf numFmtId="0" fontId="94" fillId="13" borderId="0" xfId="0" applyFont="1" applyFill="1" applyProtection="1">
      <protection locked="0"/>
    </xf>
    <xf numFmtId="0" fontId="112" fillId="32" borderId="127" xfId="0" applyFont="1" applyFill="1" applyBorder="1" applyAlignment="1" applyProtection="1">
      <alignment horizontal="center" vertical="center"/>
      <protection locked="0"/>
    </xf>
    <xf numFmtId="0" fontId="94" fillId="13" borderId="0" xfId="0" applyFont="1" applyFill="1" applyProtection="1"/>
    <xf numFmtId="0" fontId="114" fillId="32" borderId="0" xfId="0" applyFont="1" applyFill="1" applyBorder="1" applyAlignment="1" applyProtection="1">
      <alignment vertical="center" wrapText="1"/>
      <protection locked="0"/>
    </xf>
    <xf numFmtId="0" fontId="112" fillId="32" borderId="124" xfId="0" applyFont="1" applyFill="1" applyBorder="1" applyAlignment="1" applyProtection="1">
      <alignment horizontal="center" vertical="center"/>
      <protection locked="0"/>
    </xf>
    <xf numFmtId="0" fontId="116" fillId="0" borderId="29" xfId="0" applyFont="1" applyBorder="1" applyAlignment="1">
      <alignment horizontal="center" vertical="center"/>
    </xf>
    <xf numFmtId="0" fontId="116" fillId="0" borderId="29" xfId="0" applyNumberFormat="1" applyFont="1" applyBorder="1" applyAlignment="1">
      <alignment horizontal="center" vertical="center" wrapText="1"/>
    </xf>
    <xf numFmtId="0" fontId="114" fillId="32" borderId="0" xfId="0" applyFont="1" applyFill="1" applyAlignment="1" applyProtection="1">
      <alignment horizontal="center" vertical="center" wrapText="1"/>
      <protection locked="0"/>
    </xf>
    <xf numFmtId="0" fontId="117" fillId="13" borderId="0" xfId="0" applyFont="1" applyFill="1" applyAlignment="1" applyProtection="1">
      <alignment horizontal="center" vertical="center"/>
    </xf>
    <xf numFmtId="0" fontId="94" fillId="32" borderId="127" xfId="0" applyFont="1" applyFill="1" applyBorder="1" applyAlignment="1" applyProtection="1">
      <alignment horizontal="center" vertical="center"/>
      <protection locked="0"/>
    </xf>
    <xf numFmtId="0" fontId="115" fillId="32" borderId="127" xfId="0" applyFont="1" applyFill="1" applyBorder="1" applyAlignment="1" applyProtection="1">
      <alignment horizontal="center" vertical="center"/>
      <protection locked="0"/>
    </xf>
    <xf numFmtId="0" fontId="111" fillId="13" borderId="0" xfId="0" applyFont="1" applyFill="1" applyAlignment="1" applyProtection="1">
      <alignment horizontal="center" vertical="center"/>
    </xf>
    <xf numFmtId="0" fontId="0" fillId="18" borderId="128" xfId="0" applyFill="1" applyBorder="1"/>
    <xf numFmtId="0" fontId="0" fillId="18" borderId="58" xfId="0" applyFill="1" applyBorder="1"/>
    <xf numFmtId="0" fontId="0" fillId="18" borderId="129" xfId="0" applyFill="1" applyBorder="1"/>
    <xf numFmtId="0" fontId="0" fillId="18" borderId="130" xfId="0" applyFill="1" applyBorder="1"/>
    <xf numFmtId="0" fontId="0" fillId="18" borderId="131" xfId="0" applyFill="1" applyBorder="1"/>
    <xf numFmtId="0" fontId="0" fillId="18" borderId="132" xfId="0" applyFill="1" applyBorder="1"/>
    <xf numFmtId="0" fontId="0" fillId="18" borderId="57" xfId="0" applyFill="1" applyBorder="1"/>
    <xf numFmtId="0" fontId="0" fillId="18" borderId="133" xfId="0" applyFill="1" applyBorder="1"/>
    <xf numFmtId="0" fontId="4" fillId="30" borderId="91" xfId="0" applyFont="1" applyFill="1" applyBorder="1" applyProtection="1"/>
    <xf numFmtId="0" fontId="4" fillId="30" borderId="65" xfId="0" applyFont="1" applyFill="1" applyBorder="1" applyProtection="1"/>
    <xf numFmtId="0" fontId="4" fillId="30" borderId="92" xfId="0" applyFont="1" applyFill="1" applyBorder="1" applyProtection="1"/>
    <xf numFmtId="0" fontId="4" fillId="30" borderId="0" xfId="0" applyFont="1" applyFill="1" applyBorder="1" applyAlignment="1" applyProtection="1">
      <alignment horizontal="center"/>
    </xf>
    <xf numFmtId="0" fontId="4" fillId="30" borderId="4" xfId="0" applyFont="1" applyFill="1" applyBorder="1" applyProtection="1"/>
    <xf numFmtId="14" fontId="4" fillId="30" borderId="4" xfId="0" applyNumberFormat="1" applyFont="1" applyFill="1" applyBorder="1" applyAlignment="1" applyProtection="1">
      <alignment horizontal="center" vertical="center"/>
    </xf>
    <xf numFmtId="14" fontId="4" fillId="5" borderId="0" xfId="0" applyNumberFormat="1" applyFont="1" applyFill="1" applyAlignment="1" applyProtection="1">
      <alignment horizontal="center" vertical="center"/>
    </xf>
    <xf numFmtId="14" fontId="0" fillId="30" borderId="0" xfId="0" applyNumberFormat="1" applyFont="1" applyFill="1" applyBorder="1" applyAlignment="1" applyProtection="1">
      <alignment horizontal="center" vertical="center"/>
    </xf>
    <xf numFmtId="0" fontId="4" fillId="30" borderId="68" xfId="0" applyFont="1" applyFill="1" applyBorder="1" applyProtection="1"/>
    <xf numFmtId="0" fontId="96" fillId="13" borderId="0" xfId="0" applyFont="1" applyFill="1" applyAlignment="1" applyProtection="1">
      <alignment horizontal="center" vertical="center"/>
    </xf>
    <xf numFmtId="0" fontId="91" fillId="13" borderId="0" xfId="0" applyFont="1" applyFill="1" applyProtection="1"/>
    <xf numFmtId="166" fontId="24" fillId="13" borderId="126" xfId="0" applyNumberFormat="1" applyFont="1" applyFill="1" applyBorder="1" applyAlignment="1" applyProtection="1">
      <alignment horizontal="center" vertical="center"/>
    </xf>
    <xf numFmtId="0" fontId="94" fillId="13" borderId="0" xfId="0" applyFont="1" applyFill="1" applyBorder="1" applyProtection="1"/>
    <xf numFmtId="0" fontId="0" fillId="13" borderId="0" xfId="0" applyFill="1" applyBorder="1" applyProtection="1"/>
    <xf numFmtId="0" fontId="111" fillId="13" borderId="0" xfId="0" applyFont="1" applyFill="1" applyAlignment="1" applyProtection="1">
      <alignment vertical="center"/>
    </xf>
    <xf numFmtId="0" fontId="109" fillId="13" borderId="0" xfId="0" applyFont="1" applyFill="1" applyAlignment="1" applyProtection="1">
      <alignment vertical="center"/>
    </xf>
    <xf numFmtId="0" fontId="20" fillId="13" borderId="0" xfId="0" applyFont="1" applyFill="1" applyBorder="1" applyProtection="1"/>
    <xf numFmtId="0" fontId="22" fillId="13" borderId="0" xfId="0" applyFont="1" applyFill="1" applyBorder="1" applyAlignment="1" applyProtection="1">
      <alignment horizontal="center" vertical="center"/>
    </xf>
    <xf numFmtId="0" fontId="20" fillId="13" borderId="0" xfId="0" applyFont="1" applyFill="1" applyBorder="1" applyAlignment="1" applyProtection="1">
      <alignment horizontal="left" vertical="center"/>
    </xf>
    <xf numFmtId="0" fontId="20" fillId="13" borderId="0" xfId="0" applyFont="1" applyFill="1" applyBorder="1" applyAlignment="1" applyProtection="1">
      <alignment vertical="center"/>
    </xf>
    <xf numFmtId="0" fontId="0" fillId="13" borderId="45" xfId="0" applyFill="1" applyBorder="1" applyProtection="1"/>
    <xf numFmtId="0" fontId="94" fillId="13" borderId="0" xfId="0" applyFont="1" applyFill="1" applyBorder="1" applyAlignment="1" applyProtection="1">
      <alignment vertical="center" wrapText="1"/>
    </xf>
    <xf numFmtId="0" fontId="20" fillId="13" borderId="0" xfId="0" applyFont="1" applyFill="1" applyBorder="1" applyAlignment="1" applyProtection="1">
      <alignment vertical="center" wrapText="1"/>
    </xf>
    <xf numFmtId="0" fontId="111" fillId="13" borderId="0" xfId="0" applyFont="1" applyFill="1" applyBorder="1" applyAlignment="1" applyProtection="1">
      <alignment horizontal="center" vertical="center"/>
    </xf>
    <xf numFmtId="0" fontId="74" fillId="21" borderId="41" xfId="0" applyFont="1" applyFill="1" applyBorder="1" applyAlignment="1" applyProtection="1">
      <alignment horizontal="right" vertical="center" textRotation="90" wrapText="1"/>
    </xf>
    <xf numFmtId="0" fontId="25" fillId="6" borderId="49" xfId="0" applyFont="1" applyFill="1" applyBorder="1" applyAlignment="1" applyProtection="1">
      <alignment horizontal="left" vertical="center" wrapText="1"/>
    </xf>
    <xf numFmtId="167" fontId="66" fillId="13" borderId="0" xfId="0" applyNumberFormat="1" applyFont="1" applyFill="1" applyProtection="1"/>
    <xf numFmtId="0" fontId="88" fillId="0" borderId="134" xfId="7" applyFont="1" applyFill="1" applyBorder="1" applyAlignment="1" applyProtection="1">
      <alignment horizontal="center" vertical="center" shrinkToFit="1"/>
      <protection hidden="1"/>
    </xf>
    <xf numFmtId="165" fontId="88" fillId="0" borderId="134" xfId="7" applyNumberFormat="1" applyFont="1" applyFill="1" applyBorder="1" applyAlignment="1" applyProtection="1">
      <alignment horizontal="center" vertical="center" shrinkToFit="1"/>
      <protection hidden="1"/>
    </xf>
    <xf numFmtId="0" fontId="86" fillId="0" borderId="134" xfId="7" applyFont="1" applyFill="1" applyBorder="1" applyAlignment="1" applyProtection="1">
      <alignment vertical="center" shrinkToFit="1"/>
      <protection hidden="1"/>
    </xf>
    <xf numFmtId="165" fontId="98" fillId="0" borderId="134" xfId="7" applyNumberFormat="1" applyFont="1" applyFill="1" applyBorder="1" applyAlignment="1" applyProtection="1">
      <alignment vertical="center" shrinkToFit="1"/>
      <protection hidden="1"/>
    </xf>
    <xf numFmtId="0" fontId="41" fillId="0" borderId="0" xfId="0" applyFont="1" applyAlignment="1" applyProtection="1">
      <alignment horizontal="center" vertical="center"/>
    </xf>
    <xf numFmtId="166" fontId="41" fillId="0" borderId="0" xfId="0" applyNumberFormat="1" applyFont="1" applyAlignment="1" applyProtection="1">
      <alignment horizontal="center" vertical="center"/>
    </xf>
    <xf numFmtId="0" fontId="41" fillId="0" borderId="0" xfId="0" applyFont="1" applyAlignment="1" applyProtection="1">
      <alignment horizontal="center" vertical="center" wrapText="1"/>
    </xf>
    <xf numFmtId="0" fontId="41" fillId="0" borderId="29" xfId="0" applyFont="1" applyFill="1" applyBorder="1" applyAlignment="1" applyProtection="1">
      <alignment horizontal="center" vertical="center"/>
    </xf>
    <xf numFmtId="0" fontId="41" fillId="0" borderId="29" xfId="0" applyFont="1" applyFill="1" applyBorder="1" applyAlignment="1" applyProtection="1">
      <alignment horizontal="center" vertical="center" wrapText="1"/>
    </xf>
    <xf numFmtId="166" fontId="41" fillId="0" borderId="29" xfId="0" applyNumberFormat="1" applyFont="1" applyFill="1" applyBorder="1" applyAlignment="1" applyProtection="1">
      <alignment horizontal="center" vertical="center"/>
    </xf>
    <xf numFmtId="166" fontId="41" fillId="0" borderId="29" xfId="0" applyNumberFormat="1" applyFont="1" applyFill="1" applyBorder="1" applyAlignment="1" applyProtection="1">
      <alignment horizontal="center" vertical="center" wrapText="1"/>
    </xf>
    <xf numFmtId="166" fontId="41" fillId="0" borderId="0" xfId="0" applyNumberFormat="1" applyFont="1" applyAlignment="1" applyProtection="1">
      <alignment horizontal="center" vertical="center"/>
    </xf>
    <xf numFmtId="0" fontId="41" fillId="0" borderId="29" xfId="0" applyFont="1" applyFill="1" applyBorder="1" applyAlignment="1" applyProtection="1">
      <alignment horizontal="left" vertical="center" wrapText="1"/>
    </xf>
    <xf numFmtId="0" fontId="94" fillId="6" borderId="67" xfId="0" applyFont="1" applyFill="1" applyBorder="1" applyAlignment="1" applyProtection="1">
      <alignment horizontal="center" vertical="center"/>
    </xf>
    <xf numFmtId="0" fontId="28" fillId="0" borderId="29" xfId="0" applyFont="1" applyFill="1" applyBorder="1" applyAlignment="1">
      <alignment horizontal="center" vertical="center"/>
    </xf>
    <xf numFmtId="0" fontId="28" fillId="0" borderId="29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39" fillId="0" borderId="0" xfId="0" applyNumberFormat="1" applyFont="1" applyAlignment="1">
      <alignment horizontal="center" vertical="center" wrapText="1"/>
    </xf>
    <xf numFmtId="0" fontId="39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166" fontId="28" fillId="0" borderId="29" xfId="0" applyNumberFormat="1" applyFont="1" applyFill="1" applyBorder="1" applyAlignment="1">
      <alignment horizontal="center" vertical="center"/>
    </xf>
    <xf numFmtId="166" fontId="116" fillId="0" borderId="29" xfId="0" applyNumberFormat="1" applyFont="1" applyBorder="1" applyAlignment="1">
      <alignment horizontal="center" vertical="center"/>
    </xf>
    <xf numFmtId="166" fontId="0" fillId="0" borderId="0" xfId="0" applyNumberFormat="1" applyAlignment="1">
      <alignment horizontal="center" vertical="center"/>
    </xf>
    <xf numFmtId="0" fontId="41" fillId="0" borderId="29" xfId="0" applyFont="1" applyFill="1" applyBorder="1" applyAlignment="1">
      <alignment horizontal="center" vertical="center"/>
    </xf>
    <xf numFmtId="166" fontId="41" fillId="0" borderId="29" xfId="0" applyNumberFormat="1" applyFont="1" applyFill="1" applyBorder="1" applyAlignment="1">
      <alignment horizontal="center" vertical="center"/>
    </xf>
    <xf numFmtId="0" fontId="41" fillId="0" borderId="29" xfId="0" applyFont="1" applyFill="1" applyBorder="1" applyAlignment="1">
      <alignment horizontal="center" vertical="center" wrapText="1"/>
    </xf>
    <xf numFmtId="0" fontId="20" fillId="9" borderId="0" xfId="0" applyFont="1" applyFill="1" applyBorder="1" applyAlignment="1" applyProtection="1">
      <alignment horizontal="left" vertical="center"/>
      <protection hidden="1"/>
    </xf>
    <xf numFmtId="1" fontId="0" fillId="6" borderId="13" xfId="0" applyNumberFormat="1" applyFill="1" applyBorder="1" applyAlignment="1" applyProtection="1">
      <alignment horizontal="center" vertical="center"/>
      <protection hidden="1"/>
    </xf>
    <xf numFmtId="1" fontId="0" fillId="6" borderId="14" xfId="0" applyNumberFormat="1" applyFill="1" applyBorder="1" applyAlignment="1" applyProtection="1">
      <alignment horizontal="center" vertical="center"/>
      <protection hidden="1"/>
    </xf>
    <xf numFmtId="1" fontId="0" fillId="6" borderId="15" xfId="0" applyNumberFormat="1" applyFill="1" applyBorder="1" applyAlignment="1" applyProtection="1">
      <alignment horizontal="center" vertical="center"/>
      <protection hidden="1"/>
    </xf>
    <xf numFmtId="1" fontId="0" fillId="6" borderId="8" xfId="0" applyNumberFormat="1" applyFill="1" applyBorder="1" applyAlignment="1" applyProtection="1">
      <alignment horizontal="center" vertical="center"/>
      <protection hidden="1"/>
    </xf>
    <xf numFmtId="1" fontId="0" fillId="6" borderId="11" xfId="0" applyNumberFormat="1" applyFill="1" applyBorder="1" applyAlignment="1" applyProtection="1">
      <alignment horizontal="center" vertical="center"/>
      <protection hidden="1"/>
    </xf>
    <xf numFmtId="1" fontId="0" fillId="6" borderId="10" xfId="0" applyNumberFormat="1" applyFill="1" applyBorder="1" applyAlignment="1" applyProtection="1">
      <alignment horizontal="center" vertical="center"/>
      <protection hidden="1"/>
    </xf>
    <xf numFmtId="0" fontId="112" fillId="32" borderId="125" xfId="0" applyFont="1" applyFill="1" applyBorder="1" applyAlignment="1" applyProtection="1">
      <alignment horizontal="center" vertical="center"/>
      <protection locked="0" hidden="1"/>
    </xf>
    <xf numFmtId="0" fontId="3" fillId="13" borderId="0" xfId="0" applyFont="1" applyFill="1" applyProtection="1">
      <protection hidden="1"/>
    </xf>
    <xf numFmtId="0" fontId="60" fillId="9" borderId="0" xfId="0" applyFont="1" applyFill="1" applyBorder="1" applyAlignment="1" applyProtection="1">
      <alignment horizontal="left" vertical="center"/>
      <protection hidden="1"/>
    </xf>
    <xf numFmtId="166" fontId="113" fillId="32" borderId="0" xfId="0" applyNumberFormat="1" applyFont="1" applyFill="1" applyBorder="1" applyAlignment="1" applyProtection="1">
      <alignment horizontal="center" vertical="center" wrapText="1"/>
      <protection hidden="1"/>
    </xf>
    <xf numFmtId="164" fontId="25" fillId="9" borderId="33" xfId="0" applyNumberFormat="1" applyFont="1" applyFill="1" applyBorder="1" applyAlignment="1" applyProtection="1">
      <alignment horizontal="center" vertical="center"/>
      <protection hidden="1"/>
    </xf>
    <xf numFmtId="0" fontId="38" fillId="0" borderId="59" xfId="0" applyFont="1" applyFill="1" applyBorder="1" applyAlignment="1" applyProtection="1">
      <alignment vertical="center"/>
      <protection hidden="1"/>
    </xf>
    <xf numFmtId="0" fontId="25" fillId="6" borderId="48" xfId="0" applyFont="1" applyFill="1" applyBorder="1" applyAlignment="1" applyProtection="1">
      <alignment horizontal="left" vertical="center" shrinkToFit="1"/>
      <protection hidden="1"/>
    </xf>
    <xf numFmtId="164" fontId="30" fillId="17" borderId="29" xfId="0" applyNumberFormat="1" applyFont="1" applyFill="1" applyBorder="1" applyAlignment="1" applyProtection="1">
      <alignment horizontal="center" vertical="center" shrinkToFit="1"/>
      <protection hidden="1"/>
    </xf>
    <xf numFmtId="164" fontId="30" fillId="15" borderId="29" xfId="0" applyNumberFormat="1" applyFont="1" applyFill="1" applyBorder="1" applyAlignment="1" applyProtection="1">
      <alignment horizontal="center" vertical="center" shrinkToFit="1"/>
      <protection hidden="1"/>
    </xf>
    <xf numFmtId="164" fontId="30" fillId="14" borderId="29" xfId="0" applyNumberFormat="1" applyFont="1" applyFill="1" applyBorder="1" applyAlignment="1" applyProtection="1">
      <alignment horizontal="center" vertical="center" shrinkToFit="1"/>
      <protection hidden="1"/>
    </xf>
    <xf numFmtId="164" fontId="30" fillId="18" borderId="29" xfId="0" applyNumberFormat="1" applyFont="1" applyFill="1" applyBorder="1" applyAlignment="1" applyProtection="1">
      <alignment horizontal="center" vertical="center" shrinkToFit="1"/>
      <protection hidden="1"/>
    </xf>
    <xf numFmtId="0" fontId="21" fillId="9" borderId="0" xfId="0" applyFont="1" applyFill="1" applyBorder="1" applyAlignment="1" applyProtection="1">
      <alignment horizontal="left" vertical="center"/>
      <protection hidden="1"/>
    </xf>
    <xf numFmtId="0" fontId="112" fillId="32" borderId="0" xfId="0" applyFont="1" applyFill="1" applyAlignment="1" applyProtection="1">
      <alignment horizontal="center" vertical="center"/>
      <protection locked="0" hidden="1"/>
    </xf>
    <xf numFmtId="166" fontId="113" fillId="32" borderId="0" xfId="0" applyNumberFormat="1" applyFont="1" applyFill="1" applyAlignment="1" applyProtection="1">
      <alignment horizontal="center" vertical="center"/>
      <protection hidden="1"/>
    </xf>
    <xf numFmtId="164" fontId="25" fillId="9" borderId="33" xfId="0" applyNumberFormat="1" applyFont="1" applyFill="1" applyBorder="1" applyAlignment="1" applyProtection="1">
      <alignment horizontal="center" vertical="center" shrinkToFit="1"/>
      <protection hidden="1"/>
    </xf>
    <xf numFmtId="1" fontId="0" fillId="6" borderId="13" xfId="0" applyNumberFormat="1" applyFill="1" applyBorder="1" applyAlignment="1" applyProtection="1">
      <alignment horizontal="center" vertical="center" shrinkToFit="1"/>
      <protection hidden="1"/>
    </xf>
    <xf numFmtId="1" fontId="0" fillId="6" borderId="14" xfId="0" applyNumberFormat="1" applyFill="1" applyBorder="1" applyAlignment="1" applyProtection="1">
      <alignment horizontal="center" vertical="center" shrinkToFit="1"/>
      <protection hidden="1"/>
    </xf>
    <xf numFmtId="1" fontId="0" fillId="6" borderId="15" xfId="0" applyNumberFormat="1" applyFill="1" applyBorder="1" applyAlignment="1" applyProtection="1">
      <alignment horizontal="center" vertical="center" shrinkToFit="1"/>
      <protection hidden="1"/>
    </xf>
    <xf numFmtId="1" fontId="0" fillId="6" borderId="8" xfId="0" applyNumberFormat="1" applyFill="1" applyBorder="1" applyAlignment="1" applyProtection="1">
      <alignment horizontal="center" vertical="center" shrinkToFit="1"/>
      <protection hidden="1"/>
    </xf>
    <xf numFmtId="1" fontId="0" fillId="6" borderId="11" xfId="0" applyNumberFormat="1" applyFill="1" applyBorder="1" applyAlignment="1" applyProtection="1">
      <alignment horizontal="center" vertical="center" shrinkToFit="1"/>
      <protection hidden="1"/>
    </xf>
    <xf numFmtId="1" fontId="0" fillId="6" borderId="10" xfId="0" applyNumberFormat="1" applyFill="1" applyBorder="1" applyAlignment="1" applyProtection="1">
      <alignment horizontal="center" vertical="center" shrinkToFit="1"/>
      <protection hidden="1"/>
    </xf>
    <xf numFmtId="0" fontId="115" fillId="32" borderId="0" xfId="0" applyFont="1" applyFill="1" applyAlignment="1" applyProtection="1">
      <alignment horizontal="center" vertical="center"/>
      <protection locked="0" hidden="1"/>
    </xf>
    <xf numFmtId="166" fontId="110" fillId="32" borderId="0" xfId="0" applyNumberFormat="1" applyFont="1" applyFill="1" applyAlignment="1" applyProtection="1">
      <alignment horizontal="center" vertical="center"/>
      <protection hidden="1"/>
    </xf>
    <xf numFmtId="164" fontId="30" fillId="17" borderId="29" xfId="0" applyNumberFormat="1" applyFont="1" applyFill="1" applyBorder="1" applyAlignment="1" applyProtection="1">
      <alignment horizontal="center" vertical="center"/>
      <protection hidden="1"/>
    </xf>
    <xf numFmtId="164" fontId="30" fillId="15" borderId="29" xfId="0" applyNumberFormat="1" applyFont="1" applyFill="1" applyBorder="1" applyAlignment="1" applyProtection="1">
      <alignment horizontal="center" vertical="center"/>
      <protection hidden="1"/>
    </xf>
    <xf numFmtId="164" fontId="30" fillId="14" borderId="29" xfId="0" applyNumberFormat="1" applyFont="1" applyFill="1" applyBorder="1" applyAlignment="1" applyProtection="1">
      <alignment horizontal="center" vertical="center"/>
      <protection hidden="1"/>
    </xf>
    <xf numFmtId="164" fontId="30" fillId="18" borderId="29" xfId="0" applyNumberFormat="1" applyFont="1" applyFill="1" applyBorder="1" applyAlignment="1" applyProtection="1">
      <alignment horizontal="center" vertical="center"/>
      <protection hidden="1"/>
    </xf>
    <xf numFmtId="0" fontId="42" fillId="8" borderId="65" xfId="0" applyFont="1" applyFill="1" applyBorder="1" applyAlignment="1" applyProtection="1">
      <alignment horizontal="left"/>
      <protection hidden="1"/>
    </xf>
    <xf numFmtId="0" fontId="42" fillId="8" borderId="0" xfId="0" applyFont="1" applyFill="1" applyBorder="1" applyAlignment="1" applyProtection="1">
      <alignment horizontal="left"/>
      <protection hidden="1"/>
    </xf>
    <xf numFmtId="0" fontId="43" fillId="8" borderId="29" xfId="0" applyFont="1" applyFill="1" applyBorder="1" applyAlignment="1" applyProtection="1">
      <alignment horizontal="left" vertical="center"/>
      <protection hidden="1"/>
    </xf>
    <xf numFmtId="0" fontId="45" fillId="8" borderId="29" xfId="0" applyFont="1" applyFill="1" applyBorder="1" applyAlignment="1" applyProtection="1">
      <alignment horizontal="left" vertical="center"/>
      <protection hidden="1"/>
    </xf>
    <xf numFmtId="0" fontId="80" fillId="0" borderId="74" xfId="0" applyFont="1" applyFill="1" applyBorder="1" applyAlignment="1" applyProtection="1">
      <alignment horizontal="left" vertical="center" shrinkToFit="1"/>
      <protection hidden="1"/>
    </xf>
    <xf numFmtId="1" fontId="0" fillId="0" borderId="76" xfId="0" applyNumberFormat="1" applyFill="1" applyBorder="1" applyAlignment="1" applyProtection="1">
      <alignment horizontal="center" vertical="center" shrinkToFit="1"/>
      <protection hidden="1"/>
    </xf>
    <xf numFmtId="1" fontId="0" fillId="0" borderId="31" xfId="0" applyNumberFormat="1" applyFill="1" applyBorder="1" applyAlignment="1" applyProtection="1">
      <alignment horizontal="center" vertical="center" shrinkToFit="1"/>
      <protection hidden="1"/>
    </xf>
    <xf numFmtId="1" fontId="0" fillId="0" borderId="35" xfId="0" applyNumberFormat="1" applyFill="1" applyBorder="1" applyAlignment="1" applyProtection="1">
      <alignment horizontal="center" vertical="center" shrinkToFit="1"/>
      <protection hidden="1"/>
    </xf>
    <xf numFmtId="164" fontId="5" fillId="0" borderId="94" xfId="0" applyNumberFormat="1" applyFont="1" applyFill="1" applyBorder="1" applyAlignment="1" applyProtection="1">
      <alignment horizontal="center" vertical="center" shrinkToFit="1"/>
      <protection hidden="1"/>
    </xf>
    <xf numFmtId="1" fontId="0" fillId="0" borderId="33" xfId="0" applyNumberFormat="1" applyFill="1" applyBorder="1" applyAlignment="1" applyProtection="1">
      <alignment horizontal="center" vertical="center" shrinkToFit="1"/>
      <protection hidden="1"/>
    </xf>
    <xf numFmtId="164" fontId="5" fillId="0" borderId="80" xfId="0" applyNumberFormat="1" applyFont="1" applyFill="1" applyBorder="1" applyAlignment="1" applyProtection="1">
      <alignment horizontal="center" vertical="center" shrinkToFit="1"/>
      <protection hidden="1"/>
    </xf>
    <xf numFmtId="164" fontId="5" fillId="0" borderId="88" xfId="0" applyNumberFormat="1" applyFont="1" applyFill="1" applyBorder="1" applyAlignment="1" applyProtection="1">
      <alignment horizontal="center" vertical="center" shrinkToFit="1"/>
      <protection hidden="1"/>
    </xf>
    <xf numFmtId="164" fontId="5" fillId="28" borderId="80" xfId="0" applyNumberFormat="1" applyFont="1" applyFill="1" applyBorder="1" applyAlignment="1" applyProtection="1">
      <alignment horizontal="center" vertical="center" shrinkToFit="1"/>
      <protection hidden="1"/>
    </xf>
    <xf numFmtId="0" fontId="15" fillId="0" borderId="90" xfId="0" applyFont="1" applyFill="1" applyBorder="1" applyAlignment="1" applyProtection="1">
      <alignment horizontal="center" vertical="center" shrinkToFit="1"/>
      <protection hidden="1"/>
    </xf>
    <xf numFmtId="0" fontId="80" fillId="0" borderId="71" xfId="0" applyFont="1" applyFill="1" applyBorder="1" applyAlignment="1" applyProtection="1">
      <alignment horizontal="left" vertical="center" shrinkToFit="1"/>
      <protection hidden="1"/>
    </xf>
    <xf numFmtId="1" fontId="0" fillId="0" borderId="70" xfId="0" applyNumberFormat="1" applyFill="1" applyBorder="1" applyAlignment="1" applyProtection="1">
      <alignment horizontal="center" vertical="center" shrinkToFit="1"/>
      <protection hidden="1"/>
    </xf>
    <xf numFmtId="1" fontId="0" fillId="0" borderId="72" xfId="0" applyNumberFormat="1" applyFill="1" applyBorder="1" applyAlignment="1" applyProtection="1">
      <alignment horizontal="center" vertical="center" shrinkToFit="1"/>
      <protection hidden="1"/>
    </xf>
    <xf numFmtId="1" fontId="0" fillId="0" borderId="83" xfId="0" applyNumberFormat="1" applyFill="1" applyBorder="1" applyAlignment="1" applyProtection="1">
      <alignment horizontal="center" vertical="center" shrinkToFit="1"/>
      <protection hidden="1"/>
    </xf>
    <xf numFmtId="1" fontId="0" fillId="0" borderId="73" xfId="0" applyNumberFormat="1" applyFill="1" applyBorder="1" applyAlignment="1" applyProtection="1">
      <alignment horizontal="center" vertical="center" shrinkToFit="1"/>
      <protection hidden="1"/>
    </xf>
    <xf numFmtId="164" fontId="83" fillId="0" borderId="36" xfId="0" applyNumberFormat="1" applyFont="1" applyFill="1" applyBorder="1" applyAlignment="1" applyProtection="1">
      <alignment horizontal="center" vertical="center" shrinkToFit="1"/>
      <protection hidden="1"/>
    </xf>
    <xf numFmtId="1" fontId="52" fillId="0" borderId="103" xfId="0" applyNumberFormat="1" applyFont="1" applyFill="1" applyBorder="1" applyAlignment="1" applyProtection="1">
      <alignment horizontal="center" vertical="center" shrinkToFit="1"/>
      <protection hidden="1"/>
    </xf>
    <xf numFmtId="1" fontId="52" fillId="0" borderId="94" xfId="0" applyNumberFormat="1" applyFont="1" applyFill="1" applyBorder="1" applyAlignment="1" applyProtection="1">
      <alignment horizontal="center" vertical="center" shrinkToFit="1"/>
      <protection hidden="1"/>
    </xf>
    <xf numFmtId="164" fontId="83" fillId="0" borderId="84" xfId="0" applyNumberFormat="1" applyFont="1" applyFill="1" applyBorder="1" applyAlignment="1" applyProtection="1">
      <alignment horizontal="center" vertical="center" shrinkToFit="1"/>
      <protection hidden="1"/>
    </xf>
    <xf numFmtId="1" fontId="52" fillId="0" borderId="88" xfId="0" applyNumberFormat="1" applyFont="1" applyFill="1" applyBorder="1" applyAlignment="1" applyProtection="1">
      <alignment horizontal="center" vertical="center" shrinkToFit="1"/>
      <protection hidden="1"/>
    </xf>
    <xf numFmtId="1" fontId="52" fillId="0" borderId="80" xfId="0" applyNumberFormat="1" applyFont="1" applyFill="1" applyBorder="1" applyAlignment="1" applyProtection="1">
      <alignment horizontal="center" vertical="center" shrinkToFit="1"/>
      <protection hidden="1"/>
    </xf>
    <xf numFmtId="164" fontId="102" fillId="25" borderId="93" xfId="0" applyNumberFormat="1" applyFont="1" applyFill="1" applyBorder="1" applyAlignment="1" applyProtection="1">
      <alignment horizontal="center" vertical="center" shrinkToFit="1"/>
      <protection hidden="1"/>
    </xf>
    <xf numFmtId="164" fontId="97" fillId="25" borderId="93" xfId="0" applyNumberFormat="1" applyFont="1" applyFill="1" applyBorder="1" applyAlignment="1" applyProtection="1">
      <alignment horizontal="center" vertical="center" shrinkToFit="1"/>
      <protection hidden="1"/>
    </xf>
    <xf numFmtId="1" fontId="52" fillId="25" borderId="80" xfId="0" applyNumberFormat="1" applyFont="1" applyFill="1" applyBorder="1" applyAlignment="1" applyProtection="1">
      <alignment horizontal="center" vertical="center" shrinkToFit="1"/>
      <protection hidden="1"/>
    </xf>
    <xf numFmtId="164" fontId="84" fillId="25" borderId="93" xfId="0" applyNumberFormat="1" applyFont="1" applyFill="1" applyBorder="1" applyAlignment="1" applyProtection="1">
      <alignment horizontal="center" vertical="center" shrinkToFit="1"/>
      <protection hidden="1"/>
    </xf>
    <xf numFmtId="165" fontId="84" fillId="25" borderId="93" xfId="0" applyNumberFormat="1" applyFont="1" applyFill="1" applyBorder="1" applyAlignment="1" applyProtection="1">
      <alignment horizontal="center" vertical="center" shrinkToFit="1"/>
      <protection hidden="1"/>
    </xf>
    <xf numFmtId="0" fontId="30" fillId="0" borderId="88" xfId="0" applyFont="1" applyFill="1" applyBorder="1" applyAlignment="1" applyProtection="1">
      <alignment horizontal="left" vertical="center" shrinkToFit="1"/>
      <protection hidden="1"/>
    </xf>
    <xf numFmtId="0" fontId="52" fillId="0" borderId="0" xfId="0" applyFont="1" applyFill="1" applyBorder="1" applyAlignment="1" applyProtection="1">
      <alignment horizontal="center" vertical="center"/>
      <protection hidden="1"/>
    </xf>
    <xf numFmtId="164" fontId="41" fillId="6" borderId="29" xfId="0" applyNumberFormat="1" applyFont="1" applyFill="1" applyBorder="1" applyAlignment="1" applyProtection="1">
      <alignment horizontal="center" vertical="center"/>
      <protection hidden="1"/>
    </xf>
    <xf numFmtId="0" fontId="118" fillId="9" borderId="67" xfId="0" applyFont="1" applyFill="1" applyBorder="1" applyProtection="1"/>
    <xf numFmtId="0" fontId="31" fillId="22" borderId="0" xfId="0" applyFont="1" applyFill="1" applyBorder="1" applyAlignment="1" applyProtection="1">
      <alignment horizontal="left" shrinkToFit="1"/>
    </xf>
    <xf numFmtId="0" fontId="120" fillId="0" borderId="135" xfId="0" applyFont="1" applyFill="1" applyBorder="1" applyAlignment="1" applyProtection="1">
      <alignment horizontal="left" vertical="top" wrapText="1"/>
      <protection locked="0"/>
    </xf>
    <xf numFmtId="0" fontId="121" fillId="6" borderId="135" xfId="0" applyFont="1" applyFill="1" applyBorder="1" applyAlignment="1" applyProtection="1">
      <alignment horizontal="left" vertical="top" wrapText="1"/>
      <protection locked="0"/>
    </xf>
    <xf numFmtId="0" fontId="120" fillId="0" borderId="136" xfId="0" applyFont="1" applyFill="1" applyBorder="1" applyAlignment="1" applyProtection="1">
      <alignment horizontal="left" vertical="top" wrapText="1"/>
      <protection locked="0"/>
    </xf>
    <xf numFmtId="0" fontId="120" fillId="0" borderId="29" xfId="0" applyFont="1" applyFill="1" applyBorder="1" applyAlignment="1" applyProtection="1">
      <alignment horizontal="left" vertical="top" wrapText="1"/>
      <protection locked="0"/>
    </xf>
    <xf numFmtId="0" fontId="120" fillId="0" borderId="34" xfId="0" applyFont="1" applyFill="1" applyBorder="1" applyAlignment="1" applyProtection="1">
      <alignment horizontal="left" vertical="top" wrapText="1"/>
      <protection locked="0"/>
    </xf>
    <xf numFmtId="0" fontId="31" fillId="5" borderId="0" xfId="0" applyFont="1" applyFill="1" applyAlignment="1" applyProtection="1">
      <alignment horizontal="center" vertical="center" wrapText="1"/>
    </xf>
    <xf numFmtId="0" fontId="106" fillId="5" borderId="0" xfId="0" applyFont="1" applyFill="1" applyAlignment="1" applyProtection="1">
      <alignment horizontal="center" vertical="center" wrapText="1"/>
    </xf>
    <xf numFmtId="0" fontId="0" fillId="30" borderId="0" xfId="0" applyFont="1" applyFill="1" applyBorder="1" applyAlignment="1" applyProtection="1">
      <alignment horizontal="center" vertical="center"/>
    </xf>
    <xf numFmtId="0" fontId="0" fillId="6" borderId="75" xfId="0" applyFont="1" applyFill="1" applyBorder="1" applyAlignment="1" applyProtection="1">
      <alignment horizontal="left" vertical="center" shrinkToFit="1"/>
      <protection locked="0"/>
    </xf>
    <xf numFmtId="0" fontId="0" fillId="6" borderId="30" xfId="0" applyFont="1" applyFill="1" applyBorder="1" applyAlignment="1" applyProtection="1">
      <alignment horizontal="left" vertical="center" shrinkToFit="1"/>
      <protection locked="0"/>
    </xf>
    <xf numFmtId="0" fontId="0" fillId="23" borderId="75" xfId="0" applyFont="1" applyFill="1" applyBorder="1" applyAlignment="1" applyProtection="1">
      <alignment horizontal="left" vertical="center" shrinkToFit="1"/>
      <protection locked="0"/>
    </xf>
    <xf numFmtId="0" fontId="0" fillId="23" borderId="30" xfId="0" applyFont="1" applyFill="1" applyBorder="1" applyAlignment="1" applyProtection="1">
      <alignment horizontal="left" vertical="center" shrinkToFit="1"/>
      <protection locked="0"/>
    </xf>
    <xf numFmtId="0" fontId="104" fillId="30" borderId="0" xfId="0" applyFont="1" applyFill="1" applyAlignment="1" applyProtection="1">
      <alignment horizontal="center"/>
    </xf>
    <xf numFmtId="0" fontId="1" fillId="6" borderId="6" xfId="0" applyFont="1" applyFill="1" applyBorder="1" applyAlignment="1" applyProtection="1">
      <alignment horizontal="center"/>
      <protection locked="0"/>
    </xf>
    <xf numFmtId="0" fontId="2" fillId="6" borderId="7" xfId="0" applyFont="1" applyFill="1" applyBorder="1" applyAlignment="1" applyProtection="1">
      <alignment horizontal="center" vertical="center"/>
      <protection locked="0"/>
    </xf>
    <xf numFmtId="0" fontId="8" fillId="9" borderId="39" xfId="0" applyFont="1" applyFill="1" applyBorder="1" applyAlignment="1" applyProtection="1">
      <alignment horizontal="center" vertical="center"/>
    </xf>
    <xf numFmtId="0" fontId="8" fillId="9" borderId="0" xfId="0" applyFont="1" applyFill="1" applyBorder="1" applyAlignment="1" applyProtection="1">
      <alignment horizontal="center" vertical="center"/>
    </xf>
    <xf numFmtId="0" fontId="8" fillId="9" borderId="34" xfId="0" applyFont="1" applyFill="1" applyBorder="1" applyAlignment="1" applyProtection="1">
      <alignment horizontal="center" vertical="center"/>
    </xf>
    <xf numFmtId="0" fontId="2" fillId="11" borderId="29" xfId="2" applyFont="1" applyFill="1" applyBorder="1" applyAlignment="1" applyProtection="1">
      <alignment horizontal="center" vertical="center"/>
    </xf>
    <xf numFmtId="0" fontId="5" fillId="11" borderId="5" xfId="0" applyFont="1" applyFill="1" applyBorder="1" applyAlignment="1" applyProtection="1">
      <alignment horizontal="center" vertical="center" wrapText="1"/>
    </xf>
    <xf numFmtId="0" fontId="5" fillId="11" borderId="5" xfId="0" applyFont="1" applyFill="1" applyBorder="1" applyAlignment="1" applyProtection="1">
      <alignment horizontal="center" vertical="center"/>
    </xf>
    <xf numFmtId="0" fontId="5" fillId="11" borderId="9" xfId="0" applyFont="1" applyFill="1" applyBorder="1" applyAlignment="1" applyProtection="1">
      <alignment horizontal="center" vertical="center"/>
    </xf>
    <xf numFmtId="0" fontId="77" fillId="25" borderId="103" xfId="0" applyNumberFormat="1" applyFont="1" applyFill="1" applyBorder="1" applyAlignment="1" applyProtection="1">
      <alignment horizontal="center" vertical="center"/>
    </xf>
    <xf numFmtId="0" fontId="77" fillId="25" borderId="104" xfId="0" applyNumberFormat="1" applyFont="1" applyFill="1" applyBorder="1" applyAlignment="1" applyProtection="1">
      <alignment horizontal="center" vertical="center"/>
    </xf>
    <xf numFmtId="0" fontId="25" fillId="6" borderId="85" xfId="0" applyFont="1" applyFill="1" applyBorder="1" applyAlignment="1" applyProtection="1">
      <alignment horizontal="center" vertical="center" wrapText="1"/>
    </xf>
    <xf numFmtId="0" fontId="68" fillId="6" borderId="87" xfId="0" applyFont="1" applyFill="1" applyBorder="1" applyAlignment="1" applyProtection="1">
      <alignment horizontal="center" vertical="center" wrapText="1"/>
    </xf>
    <xf numFmtId="0" fontId="68" fillId="6" borderId="66" xfId="0" applyFont="1" applyFill="1" applyBorder="1" applyAlignment="1" applyProtection="1">
      <alignment horizontal="center" vertical="center" wrapText="1"/>
    </xf>
    <xf numFmtId="0" fontId="68" fillId="6" borderId="68" xfId="0" applyFont="1" applyFill="1" applyBorder="1" applyAlignment="1" applyProtection="1">
      <alignment horizontal="center" vertical="center" wrapText="1"/>
    </xf>
    <xf numFmtId="0" fontId="18" fillId="9" borderId="16" xfId="0" applyFont="1" applyFill="1" applyBorder="1" applyAlignment="1" applyProtection="1">
      <alignment horizontal="center" vertical="center"/>
    </xf>
    <xf numFmtId="0" fontId="19" fillId="9" borderId="17" xfId="0" applyFont="1" applyFill="1" applyBorder="1" applyAlignment="1" applyProtection="1">
      <alignment horizontal="center" vertical="center"/>
    </xf>
    <xf numFmtId="0" fontId="19" fillId="9" borderId="18" xfId="0" applyFont="1" applyFill="1" applyBorder="1" applyAlignment="1" applyProtection="1">
      <alignment horizontal="center" vertical="center"/>
    </xf>
    <xf numFmtId="0" fontId="19" fillId="9" borderId="19" xfId="0" applyFont="1" applyFill="1" applyBorder="1" applyAlignment="1" applyProtection="1">
      <alignment horizontal="center" vertical="center"/>
    </xf>
    <xf numFmtId="0" fontId="19" fillId="9" borderId="0" xfId="0" applyFont="1" applyFill="1" applyBorder="1" applyAlignment="1" applyProtection="1">
      <alignment horizontal="center" vertical="center"/>
    </xf>
    <xf numFmtId="0" fontId="19" fillId="9" borderId="20" xfId="0" applyFont="1" applyFill="1" applyBorder="1" applyAlignment="1" applyProtection="1">
      <alignment horizontal="center" vertical="center"/>
    </xf>
    <xf numFmtId="0" fontId="0" fillId="9" borderId="0" xfId="0" applyFont="1" applyFill="1" applyBorder="1" applyAlignment="1" applyProtection="1">
      <alignment horizontal="left" vertical="center"/>
    </xf>
    <xf numFmtId="14" fontId="23" fillId="9" borderId="0" xfId="0" applyNumberFormat="1" applyFont="1" applyFill="1" applyBorder="1" applyAlignment="1" applyProtection="1">
      <alignment horizontal="center"/>
      <protection hidden="1"/>
    </xf>
    <xf numFmtId="0" fontId="23" fillId="9" borderId="0" xfId="0" applyFont="1" applyFill="1" applyBorder="1" applyAlignment="1" applyProtection="1">
      <alignment horizontal="center"/>
      <protection hidden="1"/>
    </xf>
    <xf numFmtId="0" fontId="0" fillId="12" borderId="19" xfId="0" applyFill="1" applyBorder="1" applyAlignment="1" applyProtection="1">
      <alignment horizontal="center"/>
    </xf>
    <xf numFmtId="0" fontId="0" fillId="12" borderId="0" xfId="0" applyFill="1" applyBorder="1" applyAlignment="1" applyProtection="1">
      <alignment horizontal="center"/>
    </xf>
    <xf numFmtId="0" fontId="0" fillId="12" borderId="20" xfId="0" applyFill="1" applyBorder="1" applyAlignment="1" applyProtection="1">
      <alignment horizontal="center"/>
    </xf>
    <xf numFmtId="0" fontId="2" fillId="11" borderId="21" xfId="0" applyFont="1" applyFill="1" applyBorder="1" applyAlignment="1" applyProtection="1">
      <alignment horizontal="center" vertical="center"/>
    </xf>
    <xf numFmtId="0" fontId="2" fillId="11" borderId="23" xfId="0" applyFont="1" applyFill="1" applyBorder="1" applyAlignment="1" applyProtection="1">
      <alignment horizontal="center" vertical="center"/>
    </xf>
    <xf numFmtId="0" fontId="2" fillId="11" borderId="5" xfId="0" applyFont="1" applyFill="1" applyBorder="1" applyAlignment="1" applyProtection="1">
      <alignment horizontal="center"/>
    </xf>
    <xf numFmtId="0" fontId="2" fillId="11" borderId="9" xfId="0" applyFont="1" applyFill="1" applyBorder="1" applyAlignment="1" applyProtection="1">
      <alignment horizontal="center"/>
    </xf>
    <xf numFmtId="0" fontId="2" fillId="11" borderId="8" xfId="0" applyFont="1" applyFill="1" applyBorder="1" applyAlignment="1" applyProtection="1">
      <alignment horizontal="center" vertical="center"/>
    </xf>
    <xf numFmtId="0" fontId="2" fillId="11" borderId="11" xfId="0" applyFont="1" applyFill="1" applyBorder="1" applyAlignment="1" applyProtection="1">
      <alignment horizontal="center" vertical="center"/>
    </xf>
    <xf numFmtId="0" fontId="69" fillId="9" borderId="0" xfId="0" applyFont="1" applyFill="1" applyBorder="1" applyAlignment="1" applyProtection="1">
      <alignment horizontal="left" vertical="center"/>
    </xf>
    <xf numFmtId="14" fontId="82" fillId="9" borderId="0" xfId="0" applyNumberFormat="1" applyFont="1" applyFill="1" applyBorder="1" applyAlignment="1" applyProtection="1">
      <alignment horizontal="center"/>
      <protection hidden="1"/>
    </xf>
    <xf numFmtId="0" fontId="82" fillId="9" borderId="0" xfId="0" applyFont="1" applyFill="1" applyBorder="1" applyAlignment="1" applyProtection="1">
      <alignment horizontal="center"/>
      <protection hidden="1"/>
    </xf>
    <xf numFmtId="0" fontId="0" fillId="6" borderId="5" xfId="0" applyFill="1" applyBorder="1" applyAlignment="1" applyProtection="1">
      <alignment horizontal="left" vertical="center" shrinkToFit="1"/>
      <protection hidden="1"/>
    </xf>
    <xf numFmtId="0" fontId="15" fillId="11" borderId="22" xfId="0" applyFont="1" applyFill="1" applyBorder="1" applyAlignment="1" applyProtection="1">
      <alignment horizontal="center" textRotation="90"/>
    </xf>
    <xf numFmtId="0" fontId="15" fillId="11" borderId="28" xfId="0" applyFont="1" applyFill="1" applyBorder="1" applyAlignment="1" applyProtection="1">
      <alignment horizontal="center" textRotation="90"/>
    </xf>
    <xf numFmtId="0" fontId="2" fillId="6" borderId="2" xfId="0" applyFont="1" applyFill="1" applyBorder="1" applyAlignment="1" applyProtection="1">
      <alignment horizontal="center" vertical="center" shrinkToFit="1"/>
      <protection hidden="1"/>
    </xf>
    <xf numFmtId="0" fontId="2" fillId="11" borderId="5" xfId="0" applyFont="1" applyFill="1" applyBorder="1" applyAlignment="1" applyProtection="1">
      <alignment horizontal="center" vertical="center"/>
    </xf>
    <xf numFmtId="0" fontId="2" fillId="11" borderId="24" xfId="0" applyFont="1" applyFill="1" applyBorder="1" applyAlignment="1" applyProtection="1">
      <alignment horizontal="center" vertical="center"/>
    </xf>
    <xf numFmtId="0" fontId="0" fillId="6" borderId="12" xfId="0" applyFill="1" applyBorder="1" applyAlignment="1" applyProtection="1">
      <alignment horizontal="left" vertical="center" shrinkToFit="1"/>
      <protection hidden="1"/>
    </xf>
    <xf numFmtId="0" fontId="0" fillId="0" borderId="57" xfId="0" applyFill="1" applyBorder="1" applyAlignment="1" applyProtection="1">
      <alignment horizontal="center"/>
    </xf>
    <xf numFmtId="0" fontId="0" fillId="0" borderId="58" xfId="0" applyFill="1" applyBorder="1" applyAlignment="1" applyProtection="1">
      <alignment horizontal="center"/>
      <protection hidden="1"/>
    </xf>
    <xf numFmtId="0" fontId="60" fillId="21" borderId="36" xfId="0" applyFont="1" applyFill="1" applyBorder="1" applyAlignment="1" applyProtection="1">
      <alignment horizontal="center" vertical="center" wrapText="1" shrinkToFit="1"/>
      <protection locked="0"/>
    </xf>
    <xf numFmtId="0" fontId="60" fillId="21" borderId="33" xfId="0" applyFont="1" applyFill="1" applyBorder="1" applyAlignment="1" applyProtection="1">
      <alignment horizontal="center" vertical="center" wrapText="1" shrinkToFit="1"/>
      <protection locked="0"/>
    </xf>
    <xf numFmtId="0" fontId="60" fillId="21" borderId="35" xfId="0" applyFont="1" applyFill="1" applyBorder="1" applyAlignment="1" applyProtection="1">
      <alignment horizontal="center" vertical="center" wrapText="1" shrinkToFit="1"/>
      <protection locked="0"/>
    </xf>
    <xf numFmtId="0" fontId="60" fillId="21" borderId="40" xfId="0" applyFont="1" applyFill="1" applyBorder="1" applyAlignment="1" applyProtection="1">
      <alignment horizontal="center" vertical="center" wrapText="1" shrinkToFit="1"/>
      <protection locked="0"/>
    </xf>
    <xf numFmtId="0" fontId="28" fillId="17" borderId="32" xfId="0" applyFont="1" applyFill="1" applyBorder="1" applyAlignment="1" applyProtection="1">
      <alignment horizontal="center" vertical="center" textRotation="90"/>
    </xf>
    <xf numFmtId="0" fontId="28" fillId="17" borderId="31" xfId="0" applyFont="1" applyFill="1" applyBorder="1" applyAlignment="1" applyProtection="1">
      <alignment horizontal="center" vertical="center" textRotation="90"/>
    </xf>
    <xf numFmtId="0" fontId="28" fillId="15" borderId="32" xfId="0" applyFont="1" applyFill="1" applyBorder="1" applyAlignment="1" applyProtection="1">
      <alignment horizontal="center" vertical="center" textRotation="90"/>
    </xf>
    <xf numFmtId="0" fontId="28" fillId="15" borderId="31" xfId="0" applyFont="1" applyFill="1" applyBorder="1" applyAlignment="1" applyProtection="1">
      <alignment horizontal="center" vertical="center" textRotation="90"/>
    </xf>
    <xf numFmtId="0" fontId="28" fillId="14" borderId="32" xfId="0" applyFont="1" applyFill="1" applyBorder="1" applyAlignment="1" applyProtection="1">
      <alignment horizontal="center" vertical="center" textRotation="90"/>
    </xf>
    <xf numFmtId="0" fontId="28" fillId="14" borderId="31" xfId="0" applyFont="1" applyFill="1" applyBorder="1" applyAlignment="1" applyProtection="1">
      <alignment horizontal="center" vertical="center" textRotation="90"/>
    </xf>
    <xf numFmtId="0" fontId="0" fillId="0" borderId="51" xfId="0" applyFill="1" applyBorder="1" applyAlignment="1" applyProtection="1">
      <alignment horizontal="center"/>
    </xf>
    <xf numFmtId="0" fontId="0" fillId="0" borderId="0" xfId="0" applyFill="1" applyBorder="1" applyAlignment="1" applyProtection="1">
      <alignment horizontal="center"/>
    </xf>
    <xf numFmtId="0" fontId="0" fillId="0" borderId="55" xfId="0" applyFill="1" applyBorder="1" applyAlignment="1" applyProtection="1">
      <alignment horizontal="center"/>
    </xf>
    <xf numFmtId="0" fontId="29" fillId="16" borderId="41" xfId="0" applyFont="1" applyFill="1" applyBorder="1" applyAlignment="1" applyProtection="1">
      <alignment horizontal="center" vertical="center" wrapText="1"/>
    </xf>
    <xf numFmtId="0" fontId="29" fillId="16" borderId="42" xfId="0" applyFont="1" applyFill="1" applyBorder="1" applyAlignment="1" applyProtection="1">
      <alignment horizontal="center" vertical="center" wrapText="1"/>
    </xf>
    <xf numFmtId="0" fontId="31" fillId="16" borderId="41" xfId="0" applyFont="1" applyFill="1" applyBorder="1" applyAlignment="1" applyProtection="1">
      <alignment horizontal="center" vertical="center"/>
    </xf>
    <xf numFmtId="0" fontId="31" fillId="16" borderId="42" xfId="0" applyFont="1" applyFill="1" applyBorder="1" applyAlignment="1" applyProtection="1">
      <alignment horizontal="center" vertical="center"/>
    </xf>
    <xf numFmtId="0" fontId="28" fillId="8" borderId="32" xfId="0" applyFont="1" applyFill="1" applyBorder="1" applyAlignment="1" applyProtection="1">
      <alignment horizontal="center" vertical="center" textRotation="90" shrinkToFit="1"/>
      <protection locked="0"/>
    </xf>
    <xf numFmtId="0" fontId="28" fillId="8" borderId="31" xfId="0" applyFont="1" applyFill="1" applyBorder="1" applyAlignment="1" applyProtection="1">
      <alignment horizontal="center" vertical="center" textRotation="90" shrinkToFit="1"/>
      <protection locked="0"/>
    </xf>
    <xf numFmtId="0" fontId="28" fillId="8" borderId="39" xfId="0" applyFont="1" applyFill="1" applyBorder="1" applyAlignment="1" applyProtection="1">
      <alignment horizontal="center" vertical="center" textRotation="90" shrinkToFit="1"/>
      <protection locked="0"/>
    </xf>
    <xf numFmtId="0" fontId="28" fillId="8" borderId="35" xfId="0" applyFont="1" applyFill="1" applyBorder="1" applyAlignment="1" applyProtection="1">
      <alignment horizontal="center" vertical="center" textRotation="90" shrinkToFit="1"/>
      <protection locked="0"/>
    </xf>
    <xf numFmtId="0" fontId="29" fillId="15" borderId="41" xfId="0" applyFont="1" applyFill="1" applyBorder="1" applyAlignment="1" applyProtection="1">
      <alignment horizontal="center" vertical="center"/>
    </xf>
    <xf numFmtId="0" fontId="29" fillId="14" borderId="41" xfId="0" applyFont="1" applyFill="1" applyBorder="1" applyAlignment="1" applyProtection="1">
      <alignment horizontal="center" vertical="center"/>
    </xf>
    <xf numFmtId="0" fontId="28" fillId="18" borderId="32" xfId="0" applyFont="1" applyFill="1" applyBorder="1" applyAlignment="1" applyProtection="1">
      <alignment horizontal="center" vertical="center" textRotation="90"/>
    </xf>
    <xf numFmtId="0" fontId="28" fillId="18" borderId="31" xfId="0" applyFont="1" applyFill="1" applyBorder="1" applyAlignment="1" applyProtection="1">
      <alignment horizontal="center" vertical="center" textRotation="90"/>
    </xf>
    <xf numFmtId="0" fontId="29" fillId="18" borderId="41" xfId="0" applyFont="1" applyFill="1" applyBorder="1" applyAlignment="1" applyProtection="1">
      <alignment horizontal="center" vertical="center"/>
    </xf>
    <xf numFmtId="0" fontId="36" fillId="9" borderId="3" xfId="0" applyFont="1" applyFill="1" applyBorder="1" applyAlignment="1" applyProtection="1">
      <alignment horizontal="center" vertical="center"/>
    </xf>
    <xf numFmtId="0" fontId="36" fillId="9" borderId="0" xfId="0" applyFont="1" applyFill="1" applyBorder="1" applyAlignment="1" applyProtection="1">
      <alignment horizontal="center" vertical="center"/>
    </xf>
    <xf numFmtId="14" fontId="30" fillId="9" borderId="0" xfId="0" applyNumberFormat="1" applyFont="1" applyFill="1" applyBorder="1" applyAlignment="1" applyProtection="1">
      <alignment horizontal="left" vertical="center"/>
      <protection hidden="1"/>
    </xf>
    <xf numFmtId="14" fontId="30" fillId="9" borderId="0" xfId="0" applyNumberFormat="1" applyFont="1" applyFill="1" applyBorder="1" applyAlignment="1" applyProtection="1">
      <alignment horizontal="left"/>
      <protection hidden="1"/>
    </xf>
    <xf numFmtId="0" fontId="73" fillId="9" borderId="46" xfId="0" applyFont="1" applyFill="1" applyBorder="1" applyAlignment="1" applyProtection="1">
      <alignment horizontal="center" wrapText="1"/>
    </xf>
    <xf numFmtId="0" fontId="73" fillId="9" borderId="0" xfId="0" applyFont="1" applyFill="1" applyBorder="1" applyAlignment="1" applyProtection="1">
      <alignment horizontal="center" wrapText="1"/>
    </xf>
    <xf numFmtId="0" fontId="37" fillId="9" borderId="46" xfId="0" applyFont="1" applyFill="1" applyBorder="1" applyAlignment="1" applyProtection="1">
      <alignment horizontal="center" vertical="center" shrinkToFit="1"/>
      <protection hidden="1"/>
    </xf>
    <xf numFmtId="0" fontId="37" fillId="9" borderId="0" xfId="0" applyFont="1" applyFill="1" applyBorder="1" applyAlignment="1" applyProtection="1">
      <alignment horizontal="center" vertical="center" shrinkToFit="1"/>
      <protection hidden="1"/>
    </xf>
    <xf numFmtId="0" fontId="25" fillId="9" borderId="0" xfId="0" applyFont="1" applyFill="1" applyBorder="1" applyAlignment="1" applyProtection="1">
      <alignment horizontal="left" vertical="center"/>
    </xf>
    <xf numFmtId="0" fontId="68" fillId="20" borderId="0" xfId="0" applyFont="1" applyFill="1" applyBorder="1" applyAlignment="1" applyProtection="1">
      <alignment horizontal="left" vertical="center"/>
    </xf>
    <xf numFmtId="0" fontId="0" fillId="9" borderId="0" xfId="0" applyFill="1" applyBorder="1" applyAlignment="1" applyProtection="1">
      <alignment horizontal="center"/>
    </xf>
    <xf numFmtId="0" fontId="2" fillId="20" borderId="0" xfId="0" applyFont="1" applyFill="1" applyBorder="1" applyAlignment="1" applyProtection="1">
      <alignment horizontal="center" shrinkToFit="1"/>
      <protection hidden="1"/>
    </xf>
    <xf numFmtId="0" fontId="68" fillId="19" borderId="0" xfId="0" applyFont="1" applyFill="1" applyBorder="1" applyAlignment="1" applyProtection="1">
      <alignment horizontal="left" vertical="center"/>
    </xf>
    <xf numFmtId="0" fontId="2" fillId="19" borderId="0" xfId="0" applyFont="1" applyFill="1" applyBorder="1" applyAlignment="1" applyProtection="1">
      <alignment horizontal="center" shrinkToFit="1"/>
      <protection hidden="1"/>
    </xf>
    <xf numFmtId="0" fontId="33" fillId="6" borderId="50" xfId="0" applyFont="1" applyFill="1" applyBorder="1" applyAlignment="1" applyProtection="1">
      <alignment horizontal="center" vertical="center" textRotation="90"/>
    </xf>
    <xf numFmtId="0" fontId="33" fillId="6" borderId="46" xfId="0" applyFont="1" applyFill="1" applyBorder="1" applyAlignment="1" applyProtection="1">
      <alignment horizontal="center" vertical="center" textRotation="90"/>
    </xf>
    <xf numFmtId="0" fontId="33" fillId="6" borderId="47" xfId="0" applyFont="1" applyFill="1" applyBorder="1" applyAlignment="1" applyProtection="1">
      <alignment horizontal="center" vertical="center" textRotation="90"/>
    </xf>
    <xf numFmtId="0" fontId="34" fillId="0" borderId="43" xfId="0" applyFont="1" applyFill="1" applyBorder="1" applyAlignment="1" applyProtection="1">
      <alignment horizontal="center" vertical="center" textRotation="90"/>
    </xf>
    <xf numFmtId="0" fontId="34" fillId="0" borderId="44" xfId="0" applyFont="1" applyFill="1" applyBorder="1" applyAlignment="1" applyProtection="1">
      <alignment horizontal="center" vertical="center" textRotation="90"/>
    </xf>
    <xf numFmtId="0" fontId="34" fillId="0" borderId="45" xfId="0" applyFont="1" applyFill="1" applyBorder="1" applyAlignment="1" applyProtection="1">
      <alignment horizontal="center" vertical="center" textRotation="90"/>
    </xf>
    <xf numFmtId="0" fontId="25" fillId="0" borderId="0" xfId="0" applyFont="1" applyFill="1" applyBorder="1" applyAlignment="1" applyProtection="1">
      <alignment horizontal="left" vertical="center"/>
    </xf>
    <xf numFmtId="0" fontId="30" fillId="9" borderId="0" xfId="0" applyFont="1" applyFill="1" applyBorder="1" applyAlignment="1" applyProtection="1">
      <alignment horizontal="left" vertical="center"/>
      <protection hidden="1"/>
    </xf>
    <xf numFmtId="0" fontId="28" fillId="17" borderId="42" xfId="0" applyFont="1" applyFill="1" applyBorder="1" applyAlignment="1" applyProtection="1">
      <alignment horizontal="center" vertical="center"/>
    </xf>
    <xf numFmtId="0" fontId="28" fillId="17" borderId="60" xfId="0" applyFont="1" applyFill="1" applyBorder="1" applyAlignment="1" applyProtection="1">
      <alignment horizontal="center" vertical="center"/>
    </xf>
    <xf numFmtId="0" fontId="28" fillId="17" borderId="61" xfId="0" applyFont="1" applyFill="1" applyBorder="1" applyAlignment="1" applyProtection="1">
      <alignment horizontal="center" vertical="center"/>
    </xf>
    <xf numFmtId="0" fontId="31" fillId="17" borderId="62" xfId="0" applyFont="1" applyFill="1" applyBorder="1" applyAlignment="1" applyProtection="1">
      <alignment horizontal="center" vertical="center"/>
    </xf>
    <xf numFmtId="0" fontId="31" fillId="17" borderId="51" xfId="0" applyFont="1" applyFill="1" applyBorder="1" applyAlignment="1" applyProtection="1">
      <alignment horizontal="center" vertical="center"/>
    </xf>
    <xf numFmtId="0" fontId="31" fillId="17" borderId="52" xfId="0" applyFont="1" applyFill="1" applyBorder="1" applyAlignment="1" applyProtection="1">
      <alignment horizontal="center" vertical="center"/>
    </xf>
    <xf numFmtId="0" fontId="29" fillId="17" borderId="41" xfId="0" applyFont="1" applyFill="1" applyBorder="1" applyAlignment="1" applyProtection="1">
      <alignment horizontal="center" vertical="center"/>
    </xf>
    <xf numFmtId="0" fontId="0" fillId="9" borderId="50" xfId="0" applyFill="1" applyBorder="1" applyAlignment="1" applyProtection="1">
      <alignment horizontal="center"/>
    </xf>
    <xf numFmtId="0" fontId="0" fillId="9" borderId="51" xfId="0" applyFill="1" applyBorder="1" applyAlignment="1" applyProtection="1">
      <alignment horizontal="center"/>
    </xf>
    <xf numFmtId="0" fontId="0" fillId="9" borderId="52" xfId="0" applyFill="1" applyBorder="1" applyAlignment="1" applyProtection="1">
      <alignment horizontal="center"/>
    </xf>
    <xf numFmtId="0" fontId="0" fillId="9" borderId="46" xfId="0" applyFill="1" applyBorder="1" applyAlignment="1" applyProtection="1">
      <alignment horizontal="center"/>
    </xf>
    <xf numFmtId="0" fontId="0" fillId="9" borderId="53" xfId="0" applyFill="1" applyBorder="1" applyAlignment="1" applyProtection="1">
      <alignment horizontal="center"/>
    </xf>
    <xf numFmtId="0" fontId="0" fillId="9" borderId="54" xfId="0" applyFill="1" applyBorder="1" applyAlignment="1" applyProtection="1">
      <alignment horizontal="center"/>
    </xf>
    <xf numFmtId="0" fontId="0" fillId="9" borderId="55" xfId="0" applyFill="1" applyBorder="1" applyAlignment="1" applyProtection="1">
      <alignment horizontal="center"/>
    </xf>
    <xf numFmtId="0" fontId="0" fillId="9" borderId="56" xfId="0" applyFill="1" applyBorder="1" applyAlignment="1" applyProtection="1">
      <alignment horizontal="center"/>
    </xf>
    <xf numFmtId="0" fontId="32" fillId="9" borderId="0" xfId="0" applyFont="1" applyFill="1" applyBorder="1" applyAlignment="1" applyProtection="1">
      <alignment horizontal="left" vertical="center"/>
    </xf>
    <xf numFmtId="0" fontId="53" fillId="0" borderId="0" xfId="0" applyFont="1" applyAlignment="1" applyProtection="1">
      <alignment horizontal="center" vertical="center"/>
    </xf>
    <xf numFmtId="0" fontId="15" fillId="6" borderId="2" xfId="0" applyFont="1" applyFill="1" applyBorder="1" applyAlignment="1" applyProtection="1">
      <alignment horizontal="center" vertical="center" shrinkToFit="1"/>
      <protection hidden="1"/>
    </xf>
    <xf numFmtId="0" fontId="25" fillId="11" borderId="22" xfId="0" applyFont="1" applyFill="1" applyBorder="1" applyAlignment="1" applyProtection="1">
      <alignment horizontal="center" textRotation="90"/>
    </xf>
    <xf numFmtId="0" fontId="25" fillId="11" borderId="28" xfId="0" applyFont="1" applyFill="1" applyBorder="1" applyAlignment="1" applyProtection="1">
      <alignment horizontal="center" textRotation="90"/>
    </xf>
    <xf numFmtId="14" fontId="69" fillId="9" borderId="0" xfId="0" applyNumberFormat="1" applyFont="1" applyFill="1" applyBorder="1" applyAlignment="1" applyProtection="1">
      <alignment horizontal="center" vertical="center"/>
      <protection hidden="1"/>
    </xf>
    <xf numFmtId="0" fontId="69" fillId="9" borderId="0" xfId="0" applyFont="1" applyFill="1" applyBorder="1" applyAlignment="1" applyProtection="1">
      <alignment horizontal="center" vertical="center"/>
      <protection hidden="1"/>
    </xf>
    <xf numFmtId="0" fontId="0" fillId="13" borderId="0" xfId="0" applyFill="1" applyAlignment="1" applyProtection="1">
      <alignment horizontal="center"/>
    </xf>
    <xf numFmtId="0" fontId="25" fillId="0" borderId="0" xfId="0" applyFont="1" applyFill="1" applyBorder="1" applyAlignment="1" applyProtection="1">
      <alignment horizontal="left" vertical="center"/>
      <protection locked="0"/>
    </xf>
    <xf numFmtId="49" fontId="28" fillId="17" borderId="32" xfId="0" applyNumberFormat="1" applyFont="1" applyFill="1" applyBorder="1" applyAlignment="1" applyProtection="1">
      <alignment horizontal="center" vertical="center" textRotation="90"/>
    </xf>
    <xf numFmtId="49" fontId="28" fillId="17" borderId="31" xfId="0" applyNumberFormat="1" applyFont="1" applyFill="1" applyBorder="1" applyAlignment="1" applyProtection="1">
      <alignment horizontal="center" vertical="center" textRotation="90"/>
    </xf>
    <xf numFmtId="0" fontId="25" fillId="6" borderId="48" xfId="0" applyFont="1" applyFill="1" applyBorder="1" applyAlignment="1" applyProtection="1">
      <alignment horizontal="left" vertical="center" shrinkToFit="1"/>
      <protection hidden="1"/>
    </xf>
    <xf numFmtId="0" fontId="25" fillId="6" borderId="49" xfId="0" applyFont="1" applyFill="1" applyBorder="1" applyAlignment="1" applyProtection="1">
      <alignment horizontal="left" vertical="center" shrinkToFit="1"/>
      <protection hidden="1"/>
    </xf>
    <xf numFmtId="49" fontId="32" fillId="8" borderId="39" xfId="0" applyNumberFormat="1" applyFont="1" applyFill="1" applyBorder="1" applyAlignment="1" applyProtection="1">
      <alignment horizontal="center" vertical="center" textRotation="90" shrinkToFit="1"/>
      <protection locked="0"/>
    </xf>
    <xf numFmtId="49" fontId="32" fillId="8" borderId="35" xfId="0" applyNumberFormat="1" applyFont="1" applyFill="1" applyBorder="1" applyAlignment="1" applyProtection="1">
      <alignment horizontal="center" vertical="center" textRotation="90" shrinkToFit="1"/>
      <protection locked="0"/>
    </xf>
    <xf numFmtId="49" fontId="60" fillId="21" borderId="36" xfId="0" applyNumberFormat="1" applyFont="1" applyFill="1" applyBorder="1" applyAlignment="1" applyProtection="1">
      <alignment horizontal="center" vertical="center" wrapText="1" shrinkToFit="1"/>
      <protection locked="0"/>
    </xf>
    <xf numFmtId="49" fontId="60" fillId="21" borderId="40" xfId="0" applyNumberFormat="1" applyFont="1" applyFill="1" applyBorder="1" applyAlignment="1" applyProtection="1">
      <alignment horizontal="center" vertical="center" wrapText="1" shrinkToFit="1"/>
      <protection locked="0"/>
    </xf>
    <xf numFmtId="49" fontId="60" fillId="21" borderId="33" xfId="0" applyNumberFormat="1" applyFont="1" applyFill="1" applyBorder="1" applyAlignment="1" applyProtection="1">
      <alignment horizontal="center" vertical="center" wrapText="1" shrinkToFit="1"/>
      <protection locked="0"/>
    </xf>
    <xf numFmtId="49" fontId="28" fillId="14" borderId="32" xfId="0" applyNumberFormat="1" applyFont="1" applyFill="1" applyBorder="1" applyAlignment="1" applyProtection="1">
      <alignment horizontal="center" vertical="center" textRotation="90"/>
    </xf>
    <xf numFmtId="49" fontId="28" fillId="14" borderId="31" xfId="0" applyNumberFormat="1" applyFont="1" applyFill="1" applyBorder="1" applyAlignment="1" applyProtection="1">
      <alignment horizontal="center" vertical="center" textRotation="90"/>
    </xf>
    <xf numFmtId="49" fontId="28" fillId="18" borderId="32" xfId="0" applyNumberFormat="1" applyFont="1" applyFill="1" applyBorder="1" applyAlignment="1" applyProtection="1">
      <alignment horizontal="center" vertical="center" textRotation="90"/>
    </xf>
    <xf numFmtId="49" fontId="28" fillId="18" borderId="31" xfId="0" applyNumberFormat="1" applyFont="1" applyFill="1" applyBorder="1" applyAlignment="1" applyProtection="1">
      <alignment horizontal="center" vertical="center" textRotation="90"/>
    </xf>
    <xf numFmtId="49" fontId="32" fillId="8" borderId="32" xfId="0" applyNumberFormat="1" applyFont="1" applyFill="1" applyBorder="1" applyAlignment="1" applyProtection="1">
      <alignment horizontal="center" vertical="center" textRotation="90" shrinkToFit="1"/>
      <protection locked="0"/>
    </xf>
    <xf numFmtId="49" fontId="32" fillId="8" borderId="31" xfId="0" applyNumberFormat="1" applyFont="1" applyFill="1" applyBorder="1" applyAlignment="1" applyProtection="1">
      <alignment horizontal="center" vertical="center" textRotation="90" shrinkToFit="1"/>
      <protection locked="0"/>
    </xf>
    <xf numFmtId="49" fontId="28" fillId="15" borderId="32" xfId="0" applyNumberFormat="1" applyFont="1" applyFill="1" applyBorder="1" applyAlignment="1" applyProtection="1">
      <alignment horizontal="center" vertical="center" textRotation="90"/>
    </xf>
    <xf numFmtId="49" fontId="28" fillId="15" borderId="31" xfId="0" applyNumberFormat="1" applyFont="1" applyFill="1" applyBorder="1" applyAlignment="1" applyProtection="1">
      <alignment horizontal="center" vertical="center" textRotation="90"/>
    </xf>
    <xf numFmtId="0" fontId="72" fillId="9" borderId="46" xfId="0" applyFont="1" applyFill="1" applyBorder="1" applyAlignment="1" applyProtection="1">
      <alignment horizontal="center" wrapText="1" shrinkToFit="1"/>
    </xf>
    <xf numFmtId="0" fontId="72" fillId="9" borderId="0" xfId="0" applyFont="1" applyFill="1" applyBorder="1" applyAlignment="1" applyProtection="1">
      <alignment horizontal="center" wrapText="1" shrinkToFit="1"/>
    </xf>
    <xf numFmtId="0" fontId="2" fillId="19" borderId="0" xfId="0" applyFont="1" applyFill="1" applyBorder="1" applyAlignment="1" applyProtection="1">
      <alignment horizontal="center" vertical="center" shrinkToFit="1"/>
      <protection hidden="1"/>
    </xf>
    <xf numFmtId="0" fontId="35" fillId="9" borderId="0" xfId="0" applyFont="1" applyFill="1" applyBorder="1" applyAlignment="1" applyProtection="1">
      <alignment horizontal="left" vertical="center"/>
    </xf>
    <xf numFmtId="0" fontId="2" fillId="20" borderId="0" xfId="0" applyFont="1" applyFill="1" applyBorder="1" applyAlignment="1" applyProtection="1">
      <alignment horizontal="center" vertical="center" shrinkToFit="1"/>
      <protection hidden="1"/>
    </xf>
    <xf numFmtId="0" fontId="53" fillId="0" borderId="0" xfId="0" applyFont="1" applyAlignment="1">
      <alignment horizontal="center" vertical="center"/>
    </xf>
    <xf numFmtId="14" fontId="69" fillId="9" borderId="0" xfId="0" applyNumberFormat="1" applyFont="1" applyFill="1" applyBorder="1" applyAlignment="1" applyProtection="1">
      <alignment horizontal="center"/>
      <protection hidden="1"/>
    </xf>
    <xf numFmtId="0" fontId="69" fillId="9" borderId="0" xfId="0" applyFont="1" applyFill="1" applyBorder="1" applyAlignment="1" applyProtection="1">
      <alignment horizontal="center"/>
      <protection hidden="1"/>
    </xf>
    <xf numFmtId="0" fontId="2" fillId="6" borderId="2" xfId="0" applyFont="1" applyFill="1" applyBorder="1" applyAlignment="1" applyProtection="1">
      <alignment horizontal="center" vertical="center" shrinkToFit="1"/>
      <protection locked="0" hidden="1"/>
    </xf>
    <xf numFmtId="0" fontId="0" fillId="6" borderId="122" xfId="0" applyFill="1" applyBorder="1" applyAlignment="1" applyProtection="1">
      <alignment horizontal="center"/>
      <protection locked="0"/>
    </xf>
    <xf numFmtId="0" fontId="2" fillId="6" borderId="123" xfId="0" applyFont="1" applyFill="1" applyBorder="1" applyAlignment="1" applyProtection="1">
      <alignment horizontal="center" vertical="center" shrinkToFit="1"/>
      <protection locked="0" hidden="1"/>
    </xf>
    <xf numFmtId="0" fontId="60" fillId="21" borderId="36" xfId="0" applyNumberFormat="1" applyFont="1" applyFill="1" applyBorder="1" applyAlignment="1" applyProtection="1">
      <alignment horizontal="center" vertical="center" wrapText="1" shrinkToFit="1"/>
      <protection locked="0"/>
    </xf>
    <xf numFmtId="0" fontId="60" fillId="21" borderId="33" xfId="0" applyNumberFormat="1" applyFont="1" applyFill="1" applyBorder="1" applyAlignment="1" applyProtection="1">
      <alignment horizontal="center" vertical="center" wrapText="1" shrinkToFit="1"/>
      <protection locked="0"/>
    </xf>
    <xf numFmtId="0" fontId="60" fillId="21" borderId="35" xfId="0" applyNumberFormat="1" applyFont="1" applyFill="1" applyBorder="1" applyAlignment="1" applyProtection="1">
      <alignment horizontal="center" vertical="center" wrapText="1" shrinkToFit="1"/>
      <protection locked="0"/>
    </xf>
    <xf numFmtId="0" fontId="60" fillId="21" borderId="40" xfId="0" applyNumberFormat="1" applyFont="1" applyFill="1" applyBorder="1" applyAlignment="1" applyProtection="1">
      <alignment horizontal="center" vertical="center" wrapText="1" shrinkToFit="1"/>
      <protection locked="0"/>
    </xf>
    <xf numFmtId="0" fontId="0" fillId="0" borderId="57" xfId="0" applyFill="1" applyBorder="1" applyAlignment="1" applyProtection="1">
      <alignment horizontal="center"/>
      <protection locked="0"/>
    </xf>
    <xf numFmtId="0" fontId="0" fillId="0" borderId="58" xfId="0" applyFill="1" applyBorder="1" applyAlignment="1" applyProtection="1">
      <alignment horizontal="center"/>
      <protection locked="0" hidden="1"/>
    </xf>
    <xf numFmtId="0" fontId="2" fillId="20" borderId="53" xfId="0" applyFont="1" applyFill="1" applyBorder="1" applyAlignment="1" applyProtection="1">
      <alignment horizontal="center" vertical="center" shrinkToFit="1"/>
      <protection hidden="1"/>
    </xf>
    <xf numFmtId="0" fontId="0" fillId="6" borderId="121" xfId="0" applyFill="1" applyBorder="1" applyAlignment="1" applyProtection="1">
      <alignment horizontal="center" shrinkToFit="1"/>
      <protection locked="0"/>
    </xf>
    <xf numFmtId="0" fontId="32" fillId="8" borderId="110" xfId="0" applyFont="1" applyFill="1" applyBorder="1" applyAlignment="1" applyProtection="1">
      <alignment horizontal="center" vertical="center" textRotation="90" wrapText="1" shrinkToFit="1"/>
    </xf>
    <xf numFmtId="0" fontId="32" fillId="8" borderId="31" xfId="0" applyFont="1" applyFill="1" applyBorder="1" applyAlignment="1" applyProtection="1">
      <alignment horizontal="center" vertical="center" textRotation="90" wrapText="1" shrinkToFit="1"/>
    </xf>
    <xf numFmtId="0" fontId="32" fillId="8" borderId="108" xfId="0" applyFont="1" applyFill="1" applyBorder="1" applyAlignment="1" applyProtection="1">
      <alignment horizontal="center" vertical="center" textRotation="90" wrapText="1" shrinkToFit="1"/>
    </xf>
    <xf numFmtId="0" fontId="32" fillId="8" borderId="109" xfId="0" applyFont="1" applyFill="1" applyBorder="1" applyAlignment="1" applyProtection="1">
      <alignment horizontal="center" vertical="center" textRotation="90" wrapText="1" shrinkToFit="1"/>
    </xf>
    <xf numFmtId="0" fontId="60" fillId="21" borderId="106" xfId="0" applyFont="1" applyFill="1" applyBorder="1" applyAlignment="1" applyProtection="1">
      <alignment horizontal="center" vertical="center" wrapText="1" shrinkToFit="1"/>
      <protection locked="0"/>
    </xf>
    <xf numFmtId="0" fontId="60" fillId="21" borderId="107" xfId="0" applyFont="1" applyFill="1" applyBorder="1" applyAlignment="1" applyProtection="1">
      <alignment horizontal="center" vertical="center" wrapText="1" shrinkToFit="1"/>
      <protection locked="0"/>
    </xf>
    <xf numFmtId="0" fontId="60" fillId="21" borderId="49" xfId="0" applyFont="1" applyFill="1" applyBorder="1" applyAlignment="1" applyProtection="1">
      <alignment horizontal="center" vertical="center" wrapText="1" shrinkToFit="1"/>
      <protection locked="0"/>
    </xf>
    <xf numFmtId="0" fontId="60" fillId="21" borderId="48" xfId="0" applyFont="1" applyFill="1" applyBorder="1" applyAlignment="1" applyProtection="1">
      <alignment horizontal="center" vertical="center" wrapText="1" shrinkToFit="1"/>
      <protection locked="0"/>
    </xf>
    <xf numFmtId="0" fontId="2" fillId="6" borderId="65" xfId="0" applyFont="1" applyFill="1" applyBorder="1" applyAlignment="1" applyProtection="1">
      <alignment horizontal="center"/>
      <protection hidden="1"/>
    </xf>
    <xf numFmtId="0" fontId="28" fillId="0" borderId="89" xfId="0" applyFont="1" applyFill="1" applyBorder="1" applyAlignment="1">
      <alignment horizontal="center"/>
    </xf>
    <xf numFmtId="0" fontId="28" fillId="0" borderId="90" xfId="0" applyFont="1" applyFill="1" applyBorder="1" applyAlignment="1">
      <alignment horizontal="center"/>
    </xf>
    <xf numFmtId="0" fontId="55" fillId="8" borderId="29" xfId="0" applyFont="1" applyFill="1" applyBorder="1" applyAlignment="1">
      <alignment horizontal="center" vertical="center"/>
    </xf>
    <xf numFmtId="0" fontId="56" fillId="8" borderId="0" xfId="0" applyFont="1" applyFill="1" applyBorder="1" applyAlignment="1">
      <alignment horizontal="left" vertical="center" shrinkToFit="1"/>
    </xf>
    <xf numFmtId="0" fontId="56" fillId="8" borderId="34" xfId="0" applyFont="1" applyFill="1" applyBorder="1" applyAlignment="1">
      <alignment horizontal="left" vertical="center" shrinkToFit="1"/>
    </xf>
    <xf numFmtId="0" fontId="48" fillId="8" borderId="0" xfId="0" applyFont="1" applyFill="1" applyBorder="1" applyAlignment="1">
      <alignment horizontal="left" vertical="center" shrinkToFit="1"/>
    </xf>
    <xf numFmtId="0" fontId="48" fillId="8" borderId="34" xfId="0" applyFont="1" applyFill="1" applyBorder="1" applyAlignment="1">
      <alignment horizontal="left" vertical="center" shrinkToFit="1"/>
    </xf>
    <xf numFmtId="0" fontId="28" fillId="27" borderId="93" xfId="0" applyFont="1" applyFill="1" applyBorder="1" applyAlignment="1">
      <alignment horizontal="center" vertical="center" textRotation="90"/>
    </xf>
    <xf numFmtId="0" fontId="28" fillId="27" borderId="97" xfId="0" applyFont="1" applyFill="1" applyBorder="1" applyAlignment="1">
      <alignment horizontal="center" vertical="center" textRotation="90"/>
    </xf>
    <xf numFmtId="0" fontId="46" fillId="8" borderId="85" xfId="0" applyFont="1" applyFill="1" applyBorder="1" applyAlignment="1">
      <alignment horizontal="center" vertical="center"/>
    </xf>
    <xf numFmtId="0" fontId="46" fillId="8" borderId="86" xfId="0" applyFont="1" applyFill="1" applyBorder="1" applyAlignment="1">
      <alignment horizontal="center" vertical="center"/>
    </xf>
    <xf numFmtId="14" fontId="46" fillId="8" borderId="86" xfId="0" applyNumberFormat="1" applyFont="1" applyFill="1" applyBorder="1" applyAlignment="1" applyProtection="1">
      <alignment horizontal="center" vertical="center"/>
      <protection hidden="1"/>
    </xf>
    <xf numFmtId="0" fontId="46" fillId="8" borderId="86" xfId="0" applyFont="1" applyFill="1" applyBorder="1" applyAlignment="1" applyProtection="1">
      <alignment horizontal="center" vertical="center"/>
      <protection hidden="1"/>
    </xf>
    <xf numFmtId="0" fontId="46" fillId="8" borderId="87" xfId="0" applyFont="1" applyFill="1" applyBorder="1" applyAlignment="1" applyProtection="1">
      <alignment horizontal="center" vertical="center"/>
      <protection hidden="1"/>
    </xf>
    <xf numFmtId="0" fontId="56" fillId="8" borderId="29" xfId="0" applyFont="1" applyFill="1" applyBorder="1" applyAlignment="1" applyProtection="1">
      <alignment horizontal="center"/>
      <protection hidden="1"/>
    </xf>
    <xf numFmtId="0" fontId="28" fillId="0" borderId="91" xfId="0" applyFont="1" applyFill="1" applyBorder="1" applyAlignment="1">
      <alignment horizontal="center" vertical="center"/>
    </xf>
    <xf numFmtId="0" fontId="28" fillId="0" borderId="3" xfId="0" applyFont="1" applyFill="1" applyBorder="1" applyAlignment="1">
      <alignment horizontal="center" vertical="center"/>
    </xf>
    <xf numFmtId="0" fontId="28" fillId="0" borderId="66" xfId="0" applyFont="1" applyFill="1" applyBorder="1" applyAlignment="1">
      <alignment horizontal="center" vertical="center"/>
    </xf>
    <xf numFmtId="0" fontId="28" fillId="0" borderId="93" xfId="0" applyFont="1" applyFill="1" applyBorder="1" applyAlignment="1">
      <alignment horizontal="center" vertical="center"/>
    </xf>
    <xf numFmtId="0" fontId="28" fillId="0" borderId="97" xfId="0" applyFont="1" applyFill="1" applyBorder="1" applyAlignment="1">
      <alignment horizontal="center" vertical="center"/>
    </xf>
    <xf numFmtId="0" fontId="28" fillId="0" borderId="81" xfId="0" applyFont="1" applyFill="1" applyBorder="1" applyAlignment="1">
      <alignment horizontal="center" vertical="center"/>
    </xf>
    <xf numFmtId="0" fontId="28" fillId="0" borderId="88" xfId="0" applyFont="1" applyFill="1" applyBorder="1" applyAlignment="1">
      <alignment horizontal="center"/>
    </xf>
    <xf numFmtId="0" fontId="28" fillId="0" borderId="88" xfId="0" applyFont="1" applyFill="1" applyBorder="1" applyAlignment="1">
      <alignment horizontal="center" shrinkToFit="1"/>
    </xf>
    <xf numFmtId="0" fontId="28" fillId="0" borderId="89" xfId="0" applyFont="1" applyFill="1" applyBorder="1" applyAlignment="1">
      <alignment horizontal="center" shrinkToFit="1"/>
    </xf>
    <xf numFmtId="0" fontId="28" fillId="0" borderId="90" xfId="0" applyFont="1" applyFill="1" applyBorder="1" applyAlignment="1">
      <alignment horizontal="center" shrinkToFit="1"/>
    </xf>
    <xf numFmtId="0" fontId="28" fillId="0" borderId="93" xfId="0" applyFont="1" applyFill="1" applyBorder="1" applyAlignment="1">
      <alignment horizontal="center" vertical="center" textRotation="90" wrapText="1"/>
    </xf>
    <xf numFmtId="0" fontId="28" fillId="0" borderId="97" xfId="0" applyFont="1" applyFill="1" applyBorder="1" applyAlignment="1">
      <alignment horizontal="center" vertical="center" textRotation="90" wrapText="1"/>
    </xf>
    <xf numFmtId="0" fontId="28" fillId="0" borderId="81" xfId="0" applyFont="1" applyFill="1" applyBorder="1" applyAlignment="1">
      <alignment horizontal="center" vertical="center" textRotation="90" wrapText="1"/>
    </xf>
    <xf numFmtId="0" fontId="45" fillId="0" borderId="93" xfId="0" applyFont="1" applyFill="1" applyBorder="1" applyAlignment="1">
      <alignment horizontal="center" vertical="center" textRotation="90"/>
    </xf>
    <xf numFmtId="0" fontId="45" fillId="0" borderId="97" xfId="0" applyFont="1" applyFill="1" applyBorder="1" applyAlignment="1">
      <alignment horizontal="center" vertical="center" textRotation="90"/>
    </xf>
    <xf numFmtId="0" fontId="45" fillId="0" borderId="81" xfId="0" applyFont="1" applyFill="1" applyBorder="1" applyAlignment="1">
      <alignment horizontal="center" vertical="center" textRotation="90"/>
    </xf>
    <xf numFmtId="0" fontId="22" fillId="0" borderId="0" xfId="0" applyFont="1" applyFill="1" applyAlignment="1">
      <alignment horizontal="center"/>
    </xf>
    <xf numFmtId="0" fontId="0" fillId="0" borderId="65" xfId="0" applyFill="1" applyBorder="1" applyAlignment="1">
      <alignment horizontal="center" wrapText="1"/>
    </xf>
    <xf numFmtId="0" fontId="0" fillId="0" borderId="65" xfId="0" applyFill="1" applyBorder="1" applyAlignment="1">
      <alignment horizontal="center"/>
    </xf>
    <xf numFmtId="0" fontId="67" fillId="0" borderId="0" xfId="0" applyFont="1" applyFill="1" applyAlignment="1">
      <alignment horizontal="center" wrapText="1"/>
    </xf>
    <xf numFmtId="0" fontId="22" fillId="0" borderId="0" xfId="0" applyFont="1" applyFill="1" applyAlignment="1">
      <alignment horizontal="center" vertical="center"/>
    </xf>
    <xf numFmtId="0" fontId="15" fillId="8" borderId="29" xfId="0" applyFont="1" applyFill="1" applyBorder="1" applyAlignment="1">
      <alignment horizontal="center" vertical="center"/>
    </xf>
    <xf numFmtId="0" fontId="15" fillId="0" borderId="29" xfId="0" applyFont="1" applyFill="1" applyBorder="1" applyAlignment="1">
      <alignment horizontal="center" vertical="center"/>
    </xf>
    <xf numFmtId="0" fontId="2" fillId="0" borderId="0" xfId="0" applyFont="1" applyFill="1" applyAlignment="1">
      <alignment horizontal="center"/>
    </xf>
    <xf numFmtId="0" fontId="53" fillId="9" borderId="66" xfId="0" applyFont="1" applyFill="1" applyBorder="1" applyAlignment="1" applyProtection="1">
      <alignment horizontal="center" vertical="top"/>
    </xf>
    <xf numFmtId="0" fontId="53" fillId="9" borderId="67" xfId="0" applyFont="1" applyFill="1" applyBorder="1" applyAlignment="1" applyProtection="1">
      <alignment horizontal="center" vertical="top"/>
    </xf>
    <xf numFmtId="0" fontId="57" fillId="25" borderId="91" xfId="0" applyFont="1" applyFill="1" applyBorder="1" applyAlignment="1" applyProtection="1">
      <alignment horizontal="center" vertical="center" textRotation="90"/>
    </xf>
    <xf numFmtId="0" fontId="57" fillId="25" borderId="66" xfId="0" applyFont="1" applyFill="1" applyBorder="1" applyAlignment="1" applyProtection="1">
      <alignment horizontal="center" vertical="center" textRotation="90"/>
    </xf>
    <xf numFmtId="0" fontId="50" fillId="0" borderId="88" xfId="0" applyFont="1" applyFill="1" applyBorder="1" applyAlignment="1" applyProtection="1">
      <alignment horizontal="center"/>
    </xf>
    <xf numFmtId="0" fontId="50" fillId="0" borderId="89" xfId="0" applyFont="1" applyFill="1" applyBorder="1" applyAlignment="1" applyProtection="1">
      <alignment horizontal="center"/>
    </xf>
    <xf numFmtId="0" fontId="50" fillId="0" borderId="90" xfId="0" applyFont="1" applyFill="1" applyBorder="1" applyAlignment="1" applyProtection="1">
      <alignment horizontal="center"/>
    </xf>
    <xf numFmtId="0" fontId="100" fillId="0" borderId="66" xfId="0" applyFont="1" applyFill="1" applyBorder="1" applyAlignment="1" applyProtection="1">
      <alignment horizontal="left" wrapText="1"/>
    </xf>
    <xf numFmtId="0" fontId="100" fillId="0" borderId="68" xfId="0" applyFont="1" applyFill="1" applyBorder="1" applyAlignment="1" applyProtection="1">
      <alignment horizontal="left"/>
    </xf>
    <xf numFmtId="0" fontId="31" fillId="22" borderId="0" xfId="0" applyFont="1" applyFill="1" applyBorder="1" applyAlignment="1" applyProtection="1">
      <alignment horizontal="left" shrinkToFit="1"/>
      <protection hidden="1"/>
    </xf>
    <xf numFmtId="0" fontId="31" fillId="33" borderId="67" xfId="0" applyFont="1" applyFill="1" applyBorder="1" applyAlignment="1" applyProtection="1">
      <alignment horizontal="left" shrinkToFit="1"/>
      <protection locked="0" hidden="1"/>
    </xf>
    <xf numFmtId="0" fontId="31" fillId="22" borderId="0" xfId="0" applyFont="1" applyFill="1" applyBorder="1" applyAlignment="1" applyProtection="1">
      <alignment horizontal="left" vertical="center" shrinkToFit="1"/>
      <protection hidden="1"/>
    </xf>
    <xf numFmtId="0" fontId="81" fillId="0" borderId="91" xfId="0" applyFont="1" applyFill="1" applyBorder="1" applyAlignment="1" applyProtection="1">
      <alignment horizontal="center" vertical="center"/>
    </xf>
    <xf numFmtId="0" fontId="49" fillId="0" borderId="92" xfId="0" applyFont="1" applyFill="1" applyBorder="1" applyAlignment="1" applyProtection="1">
      <alignment horizontal="center" vertical="center"/>
    </xf>
    <xf numFmtId="0" fontId="0" fillId="0" borderId="88" xfId="0" applyFill="1" applyBorder="1" applyAlignment="1" applyProtection="1">
      <alignment horizontal="center"/>
    </xf>
    <xf numFmtId="0" fontId="0" fillId="0" borderId="89" xfId="0" applyFill="1" applyBorder="1" applyAlignment="1" applyProtection="1">
      <alignment horizontal="center"/>
    </xf>
    <xf numFmtId="0" fontId="0" fillId="0" borderId="90" xfId="0" applyFill="1" applyBorder="1" applyAlignment="1" applyProtection="1">
      <alignment horizontal="center"/>
    </xf>
    <xf numFmtId="0" fontId="103" fillId="0" borderId="115" xfId="0" applyFont="1" applyFill="1" applyBorder="1" applyAlignment="1" applyProtection="1">
      <alignment horizontal="center"/>
    </xf>
    <xf numFmtId="0" fontId="103" fillId="0" borderId="114" xfId="0" applyFont="1" applyFill="1" applyBorder="1" applyAlignment="1" applyProtection="1">
      <alignment horizontal="center"/>
    </xf>
    <xf numFmtId="0" fontId="103" fillId="0" borderId="111" xfId="0" applyFont="1" applyFill="1" applyBorder="1" applyAlignment="1" applyProtection="1">
      <alignment horizontal="center"/>
    </xf>
    <xf numFmtId="0" fontId="103" fillId="0" borderId="89" xfId="0" applyFont="1" applyFill="1" applyBorder="1" applyAlignment="1" applyProtection="1">
      <alignment horizontal="center"/>
    </xf>
    <xf numFmtId="0" fontId="103" fillId="0" borderId="90" xfId="0" applyFont="1" applyFill="1" applyBorder="1" applyAlignment="1" applyProtection="1">
      <alignment horizontal="center"/>
    </xf>
    <xf numFmtId="0" fontId="31" fillId="22" borderId="65" xfId="0" applyFont="1" applyFill="1" applyBorder="1" applyAlignment="1" applyProtection="1">
      <alignment horizontal="center" vertical="top"/>
    </xf>
    <xf numFmtId="0" fontId="65" fillId="6" borderId="29" xfId="0" applyFont="1" applyFill="1" applyBorder="1" applyAlignment="1" applyProtection="1">
      <alignment horizontal="left" vertical="center"/>
      <protection hidden="1"/>
    </xf>
    <xf numFmtId="0" fontId="58" fillId="6" borderId="67" xfId="0" applyFont="1" applyFill="1" applyBorder="1" applyAlignment="1" applyProtection="1">
      <alignment horizontal="center"/>
    </xf>
    <xf numFmtId="0" fontId="28" fillId="6" borderId="29" xfId="0" applyFont="1" applyFill="1" applyBorder="1" applyAlignment="1" applyProtection="1">
      <alignment horizontal="center" vertical="center"/>
      <protection hidden="1"/>
    </xf>
    <xf numFmtId="0" fontId="94" fillId="6" borderId="67" xfId="0" applyFont="1" applyFill="1" applyBorder="1" applyAlignment="1" applyProtection="1">
      <alignment horizontal="center" vertical="center"/>
    </xf>
    <xf numFmtId="0" fontId="28" fillId="11" borderId="3" xfId="0" applyFont="1" applyFill="1" applyBorder="1" applyAlignment="1" applyProtection="1">
      <alignment horizontal="center" vertical="center"/>
    </xf>
    <xf numFmtId="0" fontId="28" fillId="11" borderId="0" xfId="0" applyFont="1" applyFill="1" applyBorder="1" applyAlignment="1" applyProtection="1">
      <alignment horizontal="center" vertical="center"/>
    </xf>
    <xf numFmtId="0" fontId="28" fillId="11" borderId="4" xfId="0" applyFont="1" applyFill="1" applyBorder="1" applyAlignment="1" applyProtection="1">
      <alignment horizontal="center" vertical="center"/>
    </xf>
    <xf numFmtId="0" fontId="28" fillId="6" borderId="75" xfId="0" applyFont="1" applyFill="1" applyBorder="1" applyAlignment="1" applyProtection="1">
      <alignment horizontal="center" vertical="center" shrinkToFit="1"/>
      <protection hidden="1"/>
    </xf>
    <xf numFmtId="0" fontId="28" fillId="6" borderId="99" xfId="0" applyFont="1" applyFill="1" applyBorder="1" applyAlignment="1" applyProtection="1">
      <alignment horizontal="center" vertical="center" shrinkToFit="1"/>
      <protection hidden="1"/>
    </xf>
    <xf numFmtId="0" fontId="28" fillId="6" borderId="30" xfId="0" applyFont="1" applyFill="1" applyBorder="1" applyAlignment="1" applyProtection="1">
      <alignment horizontal="center" vertical="center" shrinkToFit="1"/>
      <protection hidden="1"/>
    </xf>
    <xf numFmtId="0" fontId="28" fillId="6" borderId="93" xfId="0" applyFont="1" applyFill="1" applyBorder="1" applyAlignment="1" applyProtection="1">
      <alignment horizontal="center" vertical="center"/>
      <protection locked="0"/>
    </xf>
    <xf numFmtId="0" fontId="28" fillId="6" borderId="97" xfId="0" applyFont="1" applyFill="1" applyBorder="1" applyAlignment="1" applyProtection="1">
      <alignment horizontal="center" vertical="center"/>
      <protection locked="0"/>
    </xf>
    <xf numFmtId="0" fontId="28" fillId="6" borderId="81" xfId="0" applyFont="1" applyFill="1" applyBorder="1" applyAlignment="1" applyProtection="1">
      <alignment horizontal="center" vertical="center"/>
      <protection locked="0"/>
    </xf>
    <xf numFmtId="14" fontId="65" fillId="6" borderId="29" xfId="0" applyNumberFormat="1" applyFont="1" applyFill="1" applyBorder="1" applyAlignment="1" applyProtection="1">
      <alignment horizontal="left" vertical="center"/>
      <protection hidden="1"/>
    </xf>
    <xf numFmtId="0" fontId="65" fillId="6" borderId="29" xfId="0" applyNumberFormat="1" applyFont="1" applyFill="1" applyBorder="1" applyAlignment="1" applyProtection="1">
      <alignment horizontal="left" vertical="center"/>
      <protection hidden="1"/>
    </xf>
    <xf numFmtId="0" fontId="28" fillId="0" borderId="0" xfId="7" applyFont="1" applyFill="1" applyBorder="1" applyAlignment="1" applyProtection="1">
      <alignment horizontal="right" vertical="center" shrinkToFit="1"/>
      <protection hidden="1"/>
    </xf>
    <xf numFmtId="0" fontId="92" fillId="0" borderId="0" xfId="7" applyFont="1" applyFill="1" applyBorder="1" applyAlignment="1" applyProtection="1">
      <alignment horizontal="left" vertical="center" shrinkToFit="1"/>
      <protection hidden="1"/>
    </xf>
    <xf numFmtId="0" fontId="90" fillId="0" borderId="0" xfId="7" applyFont="1" applyFill="1" applyBorder="1" applyAlignment="1" applyProtection="1">
      <alignment horizontal="center" shrinkToFit="1"/>
      <protection locked="0"/>
    </xf>
    <xf numFmtId="0" fontId="93" fillId="0" borderId="0" xfId="7" applyFont="1" applyFill="1" applyBorder="1" applyAlignment="1" applyProtection="1">
      <alignment horizontal="left" vertical="center" shrinkToFit="1"/>
      <protection hidden="1"/>
    </xf>
    <xf numFmtId="0" fontId="86" fillId="0" borderId="116" xfId="7" applyFont="1" applyFill="1" applyBorder="1" applyAlignment="1" applyProtection="1">
      <alignment horizontal="right" vertical="center" shrinkToFit="1"/>
      <protection hidden="1"/>
    </xf>
    <xf numFmtId="0" fontId="86" fillId="0" borderId="32" xfId="7" applyFont="1" applyFill="1" applyBorder="1" applyAlignment="1" applyProtection="1">
      <alignment horizontal="right" vertical="center" shrinkToFit="1"/>
      <protection hidden="1"/>
    </xf>
    <xf numFmtId="165" fontId="86" fillId="0" borderId="32" xfId="7" applyNumberFormat="1" applyFont="1" applyFill="1" applyBorder="1" applyAlignment="1" applyProtection="1">
      <alignment horizontal="center" vertical="center" shrinkToFit="1"/>
      <protection hidden="1"/>
    </xf>
    <xf numFmtId="165" fontId="86" fillId="0" borderId="117" xfId="7" applyNumberFormat="1" applyFont="1" applyFill="1" applyBorder="1" applyAlignment="1" applyProtection="1">
      <alignment horizontal="center" vertical="center" shrinkToFit="1"/>
      <protection hidden="1"/>
    </xf>
    <xf numFmtId="0" fontId="86" fillId="0" borderId="120" xfId="7" applyFont="1" applyFill="1" applyBorder="1" applyAlignment="1" applyProtection="1">
      <alignment horizontal="right" vertical="center" shrinkToFit="1"/>
      <protection hidden="1"/>
    </xf>
    <xf numFmtId="0" fontId="86" fillId="0" borderId="118" xfId="7" applyFont="1" applyFill="1" applyBorder="1" applyAlignment="1" applyProtection="1">
      <alignment horizontal="right" vertical="center" shrinkToFit="1"/>
      <protection hidden="1"/>
    </xf>
    <xf numFmtId="165" fontId="86" fillId="0" borderId="118" xfId="7" applyNumberFormat="1" applyFont="1" applyFill="1" applyBorder="1" applyAlignment="1" applyProtection="1">
      <alignment horizontal="center" vertical="center" shrinkToFit="1"/>
      <protection hidden="1"/>
    </xf>
    <xf numFmtId="165" fontId="86" fillId="0" borderId="119" xfId="7" applyNumberFormat="1" applyFont="1" applyFill="1" applyBorder="1" applyAlignment="1" applyProtection="1">
      <alignment horizontal="center" vertical="center" shrinkToFit="1"/>
      <protection hidden="1"/>
    </xf>
    <xf numFmtId="0" fontId="86" fillId="0" borderId="77" xfId="7" applyFont="1" applyFill="1" applyBorder="1" applyAlignment="1" applyProtection="1">
      <alignment horizontal="right" vertical="center" shrinkToFit="1"/>
      <protection hidden="1"/>
    </xf>
    <xf numFmtId="0" fontId="86" fillId="0" borderId="78" xfId="7" applyFont="1" applyFill="1" applyBorder="1" applyAlignment="1" applyProtection="1">
      <alignment horizontal="right" vertical="center" shrinkToFit="1"/>
      <protection hidden="1"/>
    </xf>
    <xf numFmtId="165" fontId="86" fillId="0" borderId="78" xfId="7" applyNumberFormat="1" applyFont="1" applyFill="1" applyBorder="1" applyAlignment="1" applyProtection="1">
      <alignment horizontal="center" vertical="center" shrinkToFit="1"/>
      <protection hidden="1"/>
    </xf>
    <xf numFmtId="165" fontId="86" fillId="0" borderId="102" xfId="7" applyNumberFormat="1" applyFont="1" applyFill="1" applyBorder="1" applyAlignment="1" applyProtection="1">
      <alignment horizontal="center" vertical="center" shrinkToFit="1"/>
      <protection hidden="1"/>
    </xf>
    <xf numFmtId="0" fontId="21" fillId="0" borderId="0" xfId="7" applyFont="1" applyFill="1" applyBorder="1" applyAlignment="1" applyProtection="1">
      <alignment horizontal="center" shrinkToFit="1"/>
      <protection hidden="1"/>
    </xf>
    <xf numFmtId="14" fontId="89" fillId="0" borderId="0" xfId="8" applyNumberFormat="1" applyFont="1" applyFill="1" applyAlignment="1" applyProtection="1">
      <alignment horizontal="left" vertical="top" wrapText="1"/>
      <protection hidden="1"/>
    </xf>
    <xf numFmtId="0" fontId="86" fillId="0" borderId="134" xfId="7" applyFont="1" applyFill="1" applyBorder="1" applyAlignment="1" applyProtection="1">
      <alignment horizontal="right" vertical="center" shrinkToFit="1"/>
      <protection hidden="1"/>
    </xf>
    <xf numFmtId="0" fontId="91" fillId="0" borderId="0" xfId="7" applyFont="1" applyFill="1" applyBorder="1" applyAlignment="1" applyProtection="1">
      <alignment horizontal="center" shrinkToFit="1"/>
      <protection hidden="1"/>
    </xf>
    <xf numFmtId="0" fontId="99" fillId="0" borderId="134" xfId="7" applyFont="1" applyFill="1" applyBorder="1" applyAlignment="1" applyProtection="1">
      <alignment horizontal="center" vertical="center" shrinkToFit="1"/>
      <protection hidden="1"/>
    </xf>
    <xf numFmtId="0" fontId="120" fillId="6" borderId="29" xfId="0" applyFont="1" applyFill="1" applyBorder="1" applyAlignment="1" applyProtection="1">
      <alignment horizontal="left" vertical="top" wrapText="1"/>
      <protection locked="0"/>
    </xf>
  </cellXfs>
  <cellStyles count="9">
    <cellStyle name="20% - Énfasis1" xfId="2" builtinId="30"/>
    <cellStyle name="20% - Énfasis6" xfId="3" builtinId="50"/>
    <cellStyle name="Énfasis1" xfId="1" builtinId="29"/>
    <cellStyle name="Estilo 1" xfId="5"/>
    <cellStyle name="Millares [0]" xfId="4" builtinId="6"/>
    <cellStyle name="Normal" xfId="0" builtinId="0"/>
    <cellStyle name="Normal 11" xfId="8"/>
    <cellStyle name="Normal 2" xfId="7"/>
    <cellStyle name="Normal 9 2" xfId="6"/>
  </cellStyles>
  <dxfs count="92">
    <dxf>
      <font>
        <b/>
        <i val="0"/>
        <color rgb="FFFF0000"/>
      </font>
    </dxf>
    <dxf>
      <font>
        <color theme="0"/>
      </font>
    </dxf>
    <dxf>
      <font>
        <b val="0"/>
        <i val="0"/>
        <color rgb="FFFF0000"/>
      </font>
    </dxf>
    <dxf>
      <font>
        <color rgb="FFFF0000"/>
      </font>
      <numFmt numFmtId="164" formatCode="0.000"/>
      <fill>
        <patternFill patternType="none">
          <fgColor auto="1"/>
          <bgColor auto="1"/>
        </patternFill>
      </fill>
    </dxf>
    <dxf>
      <font>
        <b val="0"/>
        <i val="0"/>
        <color rgb="FFFF0000"/>
      </font>
    </dxf>
    <dxf>
      <font>
        <b val="0"/>
        <i val="0"/>
        <color rgb="FFFF0000"/>
      </font>
    </dxf>
    <dxf>
      <font>
        <b val="0"/>
        <i val="0"/>
        <color rgb="FFFF0000"/>
      </font>
    </dxf>
    <dxf>
      <font>
        <b val="0"/>
        <i val="0"/>
        <color rgb="FFFF0000"/>
      </font>
      <numFmt numFmtId="164" formatCode="0.000"/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theme="0"/>
      </font>
    </dxf>
    <dxf>
      <font>
        <b/>
        <i val="0"/>
        <strike/>
        <color rgb="FFFF0000"/>
      </font>
    </dxf>
    <dxf>
      <font>
        <b/>
        <i val="0"/>
        <strike/>
        <color rgb="FFFF0000"/>
      </font>
    </dxf>
    <dxf>
      <font>
        <color rgb="FF9C0006"/>
      </font>
    </dxf>
    <dxf>
      <font>
        <color rgb="FF9C0006"/>
      </font>
    </dxf>
    <dxf>
      <font>
        <color theme="0"/>
      </font>
    </dxf>
    <dxf>
      <font>
        <color rgb="FF9C0006"/>
      </font>
      <fill>
        <patternFill>
          <bgColor rgb="FFFFC7CE"/>
        </patternFill>
      </fill>
    </dxf>
    <dxf>
      <border>
        <left style="thin">
          <color rgb="FFC00000"/>
        </left>
        <right style="thin">
          <color rgb="FFC00000"/>
        </right>
        <top style="thin">
          <color rgb="FFC00000"/>
        </top>
        <bottom style="thin">
          <color rgb="FFC00000"/>
        </bottom>
        <vertical/>
        <horizontal/>
      </border>
    </dxf>
    <dxf>
      <font>
        <b/>
        <i val="0"/>
        <color rgb="FFC00000"/>
      </font>
    </dxf>
    <dxf>
      <font>
        <b/>
        <i val="0"/>
        <color rgb="FFC00000"/>
      </font>
    </dxf>
    <dxf>
      <border>
        <left style="thin">
          <color rgb="FFC00000"/>
        </left>
        <right style="thin">
          <color rgb="FFC00000"/>
        </right>
        <top style="thin">
          <color rgb="FFC00000"/>
        </top>
        <bottom style="thin">
          <color rgb="FFC00000"/>
        </bottom>
        <vertical/>
        <horizontal/>
      </border>
    </dxf>
    <dxf>
      <font>
        <b/>
        <i val="0"/>
        <color rgb="FFC00000"/>
      </font>
    </dxf>
    <dxf>
      <border>
        <left style="thin">
          <color rgb="FFC00000"/>
        </left>
        <right style="thin">
          <color rgb="FFC00000"/>
        </right>
        <top style="thin">
          <color rgb="FFC00000"/>
        </top>
        <bottom style="thin">
          <color rgb="FFC00000"/>
        </bottom>
        <vertical/>
        <horizontal/>
      </border>
    </dxf>
    <dxf>
      <font>
        <b/>
        <i val="0"/>
        <color rgb="FFC00000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u val="none"/>
        <color rgb="FFC00000"/>
      </font>
    </dxf>
    <dxf>
      <border>
        <left style="thin">
          <color rgb="FFC00000"/>
        </left>
        <right style="thin">
          <color rgb="FFC00000"/>
        </right>
        <top style="thin">
          <color rgb="FFC00000"/>
        </top>
        <bottom style="thin">
          <color rgb="FFC00000"/>
        </bottom>
        <vertical/>
        <horizontal/>
      </border>
    </dxf>
    <dxf>
      <font>
        <b/>
        <i val="0"/>
        <color rgb="FFFF0000"/>
      </font>
      <numFmt numFmtId="164" formatCode="0.000"/>
    </dxf>
    <dxf>
      <font>
        <color rgb="FFFFBDBD"/>
      </font>
    </dxf>
    <dxf>
      <font>
        <b/>
        <i val="0"/>
        <strike/>
        <color rgb="FFFF0000"/>
      </font>
    </dxf>
    <dxf>
      <font>
        <b/>
        <i val="0"/>
        <strike/>
        <color rgb="FFFF0000"/>
      </font>
    </dxf>
    <dxf>
      <font>
        <color rgb="FF9C0006"/>
      </font>
    </dxf>
    <dxf>
      <font>
        <color rgb="FF9C0006"/>
      </font>
    </dxf>
    <dxf>
      <font>
        <color theme="0"/>
      </font>
    </dxf>
    <dxf>
      <font>
        <color rgb="FF9C0006"/>
      </font>
      <fill>
        <patternFill>
          <bgColor rgb="FFFFC7CE"/>
        </patternFill>
      </fill>
    </dxf>
    <dxf>
      <border>
        <left style="thin">
          <color rgb="FFC00000"/>
        </left>
        <right style="thin">
          <color rgb="FFC00000"/>
        </right>
        <top style="thin">
          <color rgb="FFC00000"/>
        </top>
        <bottom style="thin">
          <color rgb="FFC00000"/>
        </bottom>
        <vertical/>
        <horizontal/>
      </border>
    </dxf>
    <dxf>
      <font>
        <b/>
        <i val="0"/>
        <color rgb="FFC00000"/>
      </font>
    </dxf>
    <dxf>
      <font>
        <b/>
        <i val="0"/>
        <color rgb="FFC00000"/>
      </font>
    </dxf>
    <dxf>
      <border>
        <left style="thin">
          <color rgb="FFC00000"/>
        </left>
        <right style="thin">
          <color rgb="FFC00000"/>
        </right>
        <top style="thin">
          <color rgb="FFC00000"/>
        </top>
        <bottom style="thin">
          <color rgb="FFC00000"/>
        </bottom>
        <vertical/>
        <horizontal/>
      </border>
    </dxf>
    <dxf>
      <font>
        <b/>
        <i val="0"/>
        <color rgb="FFC00000"/>
      </font>
    </dxf>
    <dxf>
      <border>
        <left style="thin">
          <color rgb="FFC00000"/>
        </left>
        <right style="thin">
          <color rgb="FFC00000"/>
        </right>
        <top style="thin">
          <color rgb="FFC00000"/>
        </top>
        <bottom style="thin">
          <color rgb="FFC00000"/>
        </bottom>
        <vertical/>
        <horizontal/>
      </border>
    </dxf>
    <dxf>
      <font>
        <b/>
        <i val="0"/>
        <color rgb="FFC00000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u val="none"/>
        <color rgb="FFC00000"/>
      </font>
    </dxf>
    <dxf>
      <border>
        <left style="thin">
          <color rgb="FFC00000"/>
        </left>
        <right style="thin">
          <color rgb="FFC00000"/>
        </right>
        <top style="thin">
          <color rgb="FFC00000"/>
        </top>
        <bottom style="thin">
          <color rgb="FFC00000"/>
        </bottom>
        <vertical/>
        <horizontal/>
      </border>
    </dxf>
    <dxf>
      <font>
        <b/>
        <i val="0"/>
        <color rgb="FFFF0000"/>
      </font>
      <numFmt numFmtId="164" formatCode="0.000"/>
    </dxf>
    <dxf>
      <font>
        <color rgb="FFFFBDBD"/>
      </font>
    </dxf>
    <dxf>
      <font>
        <b/>
        <i val="0"/>
        <strike/>
        <color rgb="FFFF0000"/>
      </font>
    </dxf>
    <dxf>
      <font>
        <b/>
        <i val="0"/>
        <strike/>
        <color rgb="FFFF0000"/>
      </font>
    </dxf>
    <dxf>
      <font>
        <color rgb="FF9C0006"/>
      </font>
    </dxf>
    <dxf>
      <font>
        <color rgb="FF9C0006"/>
      </font>
    </dxf>
    <dxf>
      <font>
        <color theme="0"/>
      </font>
    </dxf>
    <dxf>
      <font>
        <b/>
        <i val="0"/>
        <color rgb="FFC00000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u val="none"/>
        <color rgb="FFC00000"/>
      </font>
    </dxf>
    <dxf>
      <border>
        <left style="thin">
          <color rgb="FFC00000"/>
        </left>
        <right style="thin">
          <color rgb="FFC00000"/>
        </right>
        <top style="thin">
          <color rgb="FFC00000"/>
        </top>
        <bottom style="thin">
          <color rgb="FFC00000"/>
        </bottom>
        <vertical/>
        <horizontal/>
      </border>
    </dxf>
    <dxf>
      <font>
        <b/>
        <i val="0"/>
        <color rgb="FFC00000"/>
      </font>
    </dxf>
    <dxf>
      <border>
        <left style="thin">
          <color rgb="FFC00000"/>
        </left>
        <right style="thin">
          <color rgb="FFC00000"/>
        </right>
        <top style="thin">
          <color rgb="FFC00000"/>
        </top>
        <bottom style="thin">
          <color rgb="FFC00000"/>
        </bottom>
        <vertical/>
        <horizontal/>
      </border>
    </dxf>
    <dxf>
      <font>
        <b/>
        <i val="0"/>
        <color rgb="FFC00000"/>
      </font>
    </dxf>
    <dxf>
      <border>
        <left style="thin">
          <color rgb="FFC00000"/>
        </left>
        <right style="thin">
          <color rgb="FFC00000"/>
        </right>
        <top style="thin">
          <color rgb="FFC00000"/>
        </top>
        <bottom style="thin">
          <color rgb="FFC00000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border>
        <left style="thin">
          <color rgb="FFC00000"/>
        </left>
        <right style="thin">
          <color rgb="FFC00000"/>
        </right>
        <top style="thin">
          <color rgb="FFC00000"/>
        </top>
        <bottom style="thin">
          <color rgb="FFC00000"/>
        </bottom>
        <vertical/>
        <horizontal/>
      </border>
    </dxf>
    <dxf>
      <font>
        <b/>
        <i val="0"/>
        <color rgb="FFC00000"/>
      </font>
    </dxf>
    <dxf>
      <font>
        <b/>
        <i val="0"/>
        <color rgb="FFC00000"/>
      </font>
    </dxf>
    <dxf>
      <border>
        <left style="thin">
          <color rgb="FFC00000"/>
        </left>
        <right style="thin">
          <color rgb="FFC00000"/>
        </right>
        <top style="thin">
          <color rgb="FFC00000"/>
        </top>
        <bottom style="thin">
          <color rgb="FFC00000"/>
        </bottom>
        <vertical/>
        <horizontal/>
      </border>
    </dxf>
    <dxf>
      <font>
        <b/>
        <i val="0"/>
        <color rgb="FFC00000"/>
      </font>
    </dxf>
    <dxf>
      <border>
        <left style="thin">
          <color rgb="FFC00000"/>
        </left>
        <right style="thin">
          <color rgb="FFC00000"/>
        </right>
        <top style="thin">
          <color rgb="FFC00000"/>
        </top>
        <bottom style="thin">
          <color rgb="FFC00000"/>
        </bottom>
        <vertical/>
        <horizontal/>
      </border>
    </dxf>
    <dxf>
      <font>
        <b/>
        <i val="0"/>
        <color rgb="FFC00000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u val="none"/>
        <color rgb="FFC00000"/>
      </font>
    </dxf>
    <dxf>
      <border>
        <left style="thin">
          <color rgb="FFC00000"/>
        </left>
        <right style="thin">
          <color rgb="FFC00000"/>
        </right>
        <top style="thin">
          <color rgb="FFC00000"/>
        </top>
        <bottom style="thin">
          <color rgb="FFC00000"/>
        </bottom>
        <vertical/>
        <horizontal/>
      </border>
    </dxf>
    <dxf>
      <font>
        <b/>
        <i val="0"/>
        <color rgb="FFFF0000"/>
      </font>
      <numFmt numFmtId="164" formatCode="0.000"/>
    </dxf>
    <dxf>
      <font>
        <color rgb="FFFFBDBD"/>
      </font>
    </dxf>
    <dxf>
      <font>
        <b/>
        <i val="0"/>
        <strike/>
        <color rgb="FFFF0000"/>
      </font>
    </dxf>
    <dxf>
      <font>
        <b/>
        <i val="0"/>
        <strike/>
        <color rgb="FFFF0000"/>
      </font>
    </dxf>
    <dxf>
      <font>
        <color rgb="FF9C0006"/>
      </font>
    </dxf>
    <dxf>
      <font>
        <color rgb="FF9C0006"/>
      </font>
    </dxf>
    <dxf>
      <font>
        <color theme="0"/>
      </font>
    </dxf>
    <dxf>
      <font>
        <color rgb="FFFF0000"/>
      </font>
    </dxf>
    <dxf>
      <font>
        <color rgb="FF9C0006"/>
      </font>
      <fill>
        <patternFill>
          <bgColor rgb="FFFFC7CE"/>
        </patternFill>
      </fill>
    </dxf>
    <dxf>
      <border>
        <left style="thin">
          <color rgb="FFC00000"/>
        </left>
        <right style="thin">
          <color rgb="FFC00000"/>
        </right>
        <top style="thin">
          <color rgb="FFC00000"/>
        </top>
        <bottom style="thin">
          <color rgb="FFC00000"/>
        </bottom>
        <vertical/>
        <horizontal/>
      </border>
    </dxf>
    <dxf>
      <font>
        <b/>
        <i val="0"/>
        <color rgb="FFC00000"/>
      </font>
    </dxf>
    <dxf>
      <font>
        <b/>
        <i val="0"/>
        <color rgb="FFC00000"/>
      </font>
    </dxf>
    <dxf>
      <border>
        <left style="thin">
          <color rgb="FFC00000"/>
        </left>
        <right style="thin">
          <color rgb="FFC00000"/>
        </right>
        <top style="thin">
          <color rgb="FFC00000"/>
        </top>
        <bottom style="thin">
          <color rgb="FFC00000"/>
        </bottom>
        <vertical/>
        <horizontal/>
      </border>
    </dxf>
    <dxf>
      <font>
        <b/>
        <i val="0"/>
        <color rgb="FFC00000"/>
      </font>
    </dxf>
    <dxf>
      <border>
        <left style="thin">
          <color rgb="FFC00000"/>
        </left>
        <right style="thin">
          <color rgb="FFC00000"/>
        </right>
        <top style="thin">
          <color rgb="FFC00000"/>
        </top>
        <bottom style="thin">
          <color rgb="FFC00000"/>
        </bottom>
        <vertical/>
        <horizontal/>
      </border>
    </dxf>
    <dxf>
      <font>
        <b/>
        <i val="0"/>
        <color rgb="FFC00000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u val="none"/>
        <color rgb="FFC00000"/>
      </font>
    </dxf>
    <dxf>
      <border>
        <left style="thin">
          <color rgb="FFC00000"/>
        </left>
        <right style="thin">
          <color rgb="FFC00000"/>
        </right>
        <top style="thin">
          <color rgb="FFC00000"/>
        </top>
        <bottom style="thin">
          <color rgb="FFC00000"/>
        </bottom>
        <vertical/>
        <horizontal/>
      </border>
    </dxf>
    <dxf>
      <fill>
        <patternFill>
          <bgColor rgb="FFFF0000"/>
        </patternFill>
      </fill>
    </dxf>
    <dxf>
      <font>
        <color rgb="FFFFBDBD"/>
      </font>
    </dxf>
    <dxf>
      <font>
        <color theme="0"/>
      </font>
    </dxf>
  </dxfs>
  <tableStyles count="0" defaultTableStyle="TableStyleMedium2" defaultPivotStyle="PivotStyleLight16"/>
  <colors>
    <mruColors>
      <color rgb="FFFF3300"/>
      <color rgb="FF0371EB"/>
      <color rgb="FF4BFF9C"/>
      <color rgb="FFFF6600"/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externalLink" Target="externalLinks/externalLink4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externalLink" Target="externalLinks/externalLink3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externalLink" Target="externalLinks/externalLink2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externalLink" Target="externalLinks/externalLink1.xml"/><Relationship Id="rId28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externalLink" Target="externalLinks/externalLink5.xml"/><Relationship Id="rId30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BO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rAngAx val="0"/>
      <c:perspective val="30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0.11882944538474745"/>
          <c:y val="0.18684105164820522"/>
          <c:w val="0.69706085804694951"/>
          <c:h val="0.8018595133235481"/>
        </c:manualLayout>
      </c:layout>
      <c:pie3DChart>
        <c:varyColors val="1"/>
        <c:ser>
          <c:idx val="0"/>
          <c:order val="0"/>
          <c:dPt>
            <c:idx val="0"/>
            <c:bubble3D val="0"/>
            <c:spPr>
              <a:solidFill>
                <a:srgbClr val="00B0F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90CA-4556-9C6E-6F54DD6C19AD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90CA-4556-9C6E-6F54DD6C19AD}"/>
              </c:ext>
            </c:extLst>
          </c:dPt>
          <c:dLbls>
            <c:dLbl>
              <c:idx val="0"/>
              <c:layout>
                <c:manualLayout>
                  <c:x val="0.19350532796303688"/>
                  <c:y val="-7.3546013695738674E-7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/>
                <a:lstStyle/>
                <a:p>
                  <a:pPr>
                    <a:defRPr lang="es-BO" sz="1100" b="1">
                      <a:solidFill>
                        <a:srgbClr val="0070C0"/>
                      </a:solidFill>
                    </a:defRPr>
                  </a:pPr>
                  <a:endParaRPr lang="es-BO"/>
                </a:p>
              </c:txPr>
              <c:showLegendKey val="0"/>
              <c:showVal val="0"/>
              <c:showCatName val="0"/>
              <c:showSerName val="0"/>
              <c:showPercent val="1"/>
              <c:showBubbleSize val="0"/>
            </c:dLbl>
            <c:dLbl>
              <c:idx val="1"/>
              <c:layout>
                <c:manualLayout>
                  <c:x val="-0.15153670307340614"/>
                  <c:y val="-7.7929356112004695E-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/>
                <a:lstStyle/>
                <a:p>
                  <a:pPr>
                    <a:defRPr lang="es-BO" sz="1100" b="1">
                      <a:solidFill>
                        <a:srgbClr val="FF0000"/>
                      </a:solidFill>
                    </a:defRPr>
                  </a:pPr>
                  <a:endParaRPr lang="es-BO"/>
                </a:p>
              </c:txPr>
              <c:showLegendKey val="0"/>
              <c:showVal val="0"/>
              <c:showCatName val="0"/>
              <c:showSerName val="0"/>
              <c:showPercent val="1"/>
              <c:showBubbleSize val="0"/>
              <c:extLst xmlns:c16r2="http://schemas.microsoft.com/office/drawing/2015/06/chart"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3-90CA-4556-9C6E-6F54DD6C19AD}"/>
                </c:ext>
              </c:extLst>
            </c:dLbl>
            <c:dLbl>
              <c:idx val="2"/>
              <c:layout>
                <c:manualLayout>
                  <c:x val="0.19991992526357935"/>
                  <c:y val="-0.21143912095733838"/>
                </c:manualLayout>
              </c:layout>
              <c:showLegendKey val="0"/>
              <c:showVal val="0"/>
              <c:showCatName val="0"/>
              <c:showSerName val="0"/>
              <c:showPercent val="1"/>
              <c:showBubbleSize val="0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90CA-4556-9C6E-6F54DD6C19A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lang="es-BO" sz="1100" b="1"/>
                </a:pPr>
                <a:endParaRPr lang="es-BO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val>
            <c:numRef>
              <c:f>'VAL. 1° B'!$AQ$7:$AQ$8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6-90CA-4556-9C6E-6F54DD6C19AD}"/>
            </c:ext>
          </c:extLst>
        </c:ser>
        <c:ser>
          <c:idx val="1"/>
          <c:order val="1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lang="es-BO"/>
                </a:pPr>
                <a:endParaRPr lang="es-BO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val>
            <c:numRef>
              <c:f>'VAL. 1° B'!$AR$6:$AR$8</c:f>
              <c:numCache>
                <c:formatCode>General</c:formatCode>
                <c:ptCount val="3"/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7-90CA-4556-9C6E-6F54DD6C19AD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</c:pie3DChart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BO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rAngAx val="0"/>
      <c:perspective val="30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0.11882944538474745"/>
          <c:y val="0.18684105164820522"/>
          <c:w val="0.69706085804694951"/>
          <c:h val="0.8018595133235481"/>
        </c:manualLayout>
      </c:layout>
      <c:pie3DChart>
        <c:varyColors val="1"/>
        <c:ser>
          <c:idx val="0"/>
          <c:order val="0"/>
          <c:dPt>
            <c:idx val="0"/>
            <c:bubble3D val="0"/>
            <c:spPr>
              <a:solidFill>
                <a:srgbClr val="00B0F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DC5D-42BB-9357-DBE4B50E016C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DC5D-42BB-9357-DBE4B50E016C}"/>
              </c:ext>
            </c:extLst>
          </c:dPt>
          <c:dLbls>
            <c:dLbl>
              <c:idx val="0"/>
              <c:layout>
                <c:manualLayout>
                  <c:x val="0.29068797340110619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/>
                <a:lstStyle/>
                <a:p>
                  <a:pPr>
                    <a:defRPr lang="es-BO" sz="1100" b="1">
                      <a:solidFill>
                        <a:srgbClr val="0070C0"/>
                      </a:solidFill>
                    </a:defRPr>
                  </a:pPr>
                  <a:endParaRPr lang="es-BO"/>
                </a:p>
              </c:txPr>
              <c:showLegendKey val="0"/>
              <c:showVal val="0"/>
              <c:showCatName val="0"/>
              <c:showSerName val="0"/>
              <c:showPercent val="1"/>
              <c:showBubbleSize val="0"/>
            </c:dLbl>
            <c:dLbl>
              <c:idx val="1"/>
              <c:layout>
                <c:manualLayout>
                  <c:x val="0.23771532495300823"/>
                  <c:y val="1.3670953001378425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/>
                <a:lstStyle/>
                <a:p>
                  <a:pPr>
                    <a:defRPr lang="es-BO" sz="1100" b="1">
                      <a:solidFill>
                        <a:srgbClr val="FF3300"/>
                      </a:solidFill>
                    </a:defRPr>
                  </a:pPr>
                  <a:endParaRPr lang="es-BO"/>
                </a:p>
              </c:txPr>
              <c:showLegendKey val="0"/>
              <c:showVal val="0"/>
              <c:showCatName val="0"/>
              <c:showSerName val="0"/>
              <c:showPercent val="1"/>
              <c:showBubbleSize val="0"/>
            </c:dLbl>
            <c:dLbl>
              <c:idx val="2"/>
              <c:layout>
                <c:manualLayout>
                  <c:x val="0.19991992526357935"/>
                  <c:y val="-0.21143912095733838"/>
                </c:manualLayout>
              </c:layout>
              <c:showLegendKey val="0"/>
              <c:showVal val="0"/>
              <c:showCatName val="0"/>
              <c:showSerName val="0"/>
              <c:showPercent val="1"/>
              <c:showBubbleSize val="0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DC5D-42BB-9357-DBE4B50E016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lang="es-BO" sz="1100" b="1"/>
                </a:pPr>
                <a:endParaRPr lang="es-BO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val>
            <c:numRef>
              <c:f>'VAL. 2° B'!$AQ$7:$AQ$8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6-DC5D-42BB-9357-DBE4B50E016C}"/>
            </c:ext>
          </c:extLst>
        </c:ser>
        <c:ser>
          <c:idx val="1"/>
          <c:order val="1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lang="es-BO"/>
                </a:pPr>
                <a:endParaRPr lang="es-BO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val>
            <c:numRef>
              <c:f>'VAL. 2° B'!$AR$6:$AR$8</c:f>
              <c:numCache>
                <c:formatCode>General</c:formatCode>
                <c:ptCount val="3"/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7-DC5D-42BB-9357-DBE4B50E016C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</c:pie3DChart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BO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rAngAx val="0"/>
      <c:perspective val="30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0.11882944538474745"/>
          <c:y val="0.18684105164820522"/>
          <c:w val="0.69706085804694951"/>
          <c:h val="0.8018595133235481"/>
        </c:manualLayout>
      </c:layout>
      <c:pie3DChart>
        <c:varyColors val="1"/>
        <c:ser>
          <c:idx val="0"/>
          <c:order val="0"/>
          <c:dPt>
            <c:idx val="0"/>
            <c:bubble3D val="0"/>
            <c:spPr>
              <a:solidFill>
                <a:srgbClr val="00B0F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B2F0-4908-9011-D565E6C40C39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B2F0-4908-9011-D565E6C40C39}"/>
              </c:ext>
            </c:extLst>
          </c:dPt>
          <c:dLbls>
            <c:dLbl>
              <c:idx val="0"/>
              <c:layout>
                <c:manualLayout>
                  <c:x val="0.2002763411796577"/>
                  <c:y val="1.1115736334792965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/>
                <a:lstStyle/>
                <a:p>
                  <a:pPr>
                    <a:defRPr lang="es-BO" sz="1100" b="1">
                      <a:solidFill>
                        <a:srgbClr val="0070C0"/>
                      </a:solidFill>
                    </a:defRPr>
                  </a:pPr>
                  <a:endParaRPr lang="es-BO"/>
                </a:p>
              </c:txPr>
              <c:showLegendKey val="0"/>
              <c:showVal val="0"/>
              <c:showCatName val="0"/>
              <c:showSerName val="0"/>
              <c:showPercent val="1"/>
              <c:showBubbleSize val="0"/>
            </c:dLbl>
            <c:dLbl>
              <c:idx val="1"/>
              <c:layout>
                <c:manualLayout>
                  <c:x val="0.4536734001450089"/>
                  <c:y val="-4.0453219621473656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/>
                <a:lstStyle/>
                <a:p>
                  <a:pPr>
                    <a:defRPr lang="es-BO" sz="1100" b="1">
                      <a:solidFill>
                        <a:srgbClr val="FF0000"/>
                      </a:solidFill>
                    </a:defRPr>
                  </a:pPr>
                  <a:endParaRPr lang="es-BO"/>
                </a:p>
              </c:txPr>
              <c:showLegendKey val="0"/>
              <c:showVal val="0"/>
              <c:showCatName val="0"/>
              <c:showSerName val="0"/>
              <c:showPercent val="1"/>
              <c:showBubbleSize val="0"/>
            </c:dLbl>
            <c:dLbl>
              <c:idx val="2"/>
              <c:layout>
                <c:manualLayout>
                  <c:x val="0.19991992526357935"/>
                  <c:y val="-0.21143912095733838"/>
                </c:manualLayout>
              </c:layout>
              <c:showLegendKey val="0"/>
              <c:showVal val="0"/>
              <c:showCatName val="0"/>
              <c:showSerName val="0"/>
              <c:showPercent val="1"/>
              <c:showBubbleSize val="0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B2F0-4908-9011-D565E6C40C3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lang="es-BO" sz="1100" b="1"/>
                </a:pPr>
                <a:endParaRPr lang="es-BO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val>
            <c:numRef>
              <c:f>'VAL. 3° B'!$AQ$7:$AQ$8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6-B2F0-4908-9011-D565E6C40C39}"/>
            </c:ext>
          </c:extLst>
        </c:ser>
        <c:ser>
          <c:idx val="1"/>
          <c:order val="1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lang="es-BO"/>
                </a:pPr>
                <a:endParaRPr lang="es-BO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val>
            <c:numRef>
              <c:f>'VAL. 3° B'!$AR$6:$AR$8</c:f>
              <c:numCache>
                <c:formatCode>General</c:formatCode>
                <c:ptCount val="3"/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7-B2F0-4908-9011-D565E6C40C39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</c:pie3DChart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BO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rAngAx val="0"/>
      <c:perspective val="30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0.11882944538474745"/>
          <c:y val="0.18684105164820522"/>
          <c:w val="0.69706085804694951"/>
          <c:h val="0.8018595133235481"/>
        </c:manualLayout>
      </c:layout>
      <c:pie3DChart>
        <c:varyColors val="1"/>
        <c:ser>
          <c:idx val="0"/>
          <c:order val="0"/>
          <c:dPt>
            <c:idx val="0"/>
            <c:bubble3D val="0"/>
            <c:spPr>
              <a:solidFill>
                <a:srgbClr val="00B0F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C636-40A0-9513-1B18A452DADA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C636-40A0-9513-1B18A452DADA}"/>
              </c:ext>
            </c:extLst>
          </c:dPt>
          <c:dLbls>
            <c:dLbl>
              <c:idx val="0"/>
              <c:layout>
                <c:manualLayout>
                  <c:x val="0.22305486014824424"/>
                  <c:y val="-7.553012707943881E-7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/>
                <a:lstStyle/>
                <a:p>
                  <a:pPr>
                    <a:defRPr lang="es-BO" sz="1100" b="1">
                      <a:solidFill>
                        <a:srgbClr val="0070C0"/>
                      </a:solidFill>
                    </a:defRPr>
                  </a:pPr>
                  <a:endParaRPr lang="es-BO"/>
                </a:p>
              </c:txPr>
              <c:showLegendKey val="0"/>
              <c:showVal val="0"/>
              <c:showCatName val="0"/>
              <c:showSerName val="0"/>
              <c:showPercent val="1"/>
              <c:showBubbleSize val="0"/>
            </c:dLbl>
            <c:dLbl>
              <c:idx val="1"/>
              <c:layout>
                <c:manualLayout>
                  <c:x val="0.44313414169593074"/>
                  <c:y val="3.4008950320058913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/>
                <a:lstStyle/>
                <a:p>
                  <a:pPr>
                    <a:defRPr lang="es-BO" sz="1100" b="1">
                      <a:solidFill>
                        <a:srgbClr val="FF0000"/>
                      </a:solidFill>
                    </a:defRPr>
                  </a:pPr>
                  <a:endParaRPr lang="es-BO"/>
                </a:p>
              </c:txPr>
              <c:showLegendKey val="0"/>
              <c:showVal val="0"/>
              <c:showCatName val="0"/>
              <c:showSerName val="0"/>
              <c:showPercent val="1"/>
              <c:showBubbleSize val="0"/>
            </c:dLbl>
            <c:dLbl>
              <c:idx val="2"/>
              <c:layout>
                <c:manualLayout>
                  <c:x val="0.19991992526357935"/>
                  <c:y val="-0.21143912095733838"/>
                </c:manualLayout>
              </c:layout>
              <c:showLegendKey val="0"/>
              <c:showVal val="0"/>
              <c:showCatName val="0"/>
              <c:showSerName val="0"/>
              <c:showPercent val="1"/>
              <c:showBubbleSize val="0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C636-40A0-9513-1B18A452DAD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lang="es-BO" sz="1100" b="1"/>
                </a:pPr>
                <a:endParaRPr lang="es-BO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val>
            <c:numRef>
              <c:f>'VAL. 4° B'!$AQ$7:$AQ$8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6-C636-40A0-9513-1B18A452DADA}"/>
            </c:ext>
          </c:extLst>
        </c:ser>
        <c:ser>
          <c:idx val="1"/>
          <c:order val="1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lang="es-BO"/>
                </a:pPr>
                <a:endParaRPr lang="es-BO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val>
            <c:numRef>
              <c:f>'VAL. 4° B'!$AR$6:$AR$8</c:f>
              <c:numCache>
                <c:formatCode>General</c:formatCode>
                <c:ptCount val="3"/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7-C636-40A0-9513-1B18A452DADA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</c:pie3DChart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BO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8769903762029992E-2"/>
          <c:y val="0.11282060393345766"/>
          <c:w val="0.8075263925342665"/>
          <c:h val="0.77435879213308656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0070C0"/>
            </a:solidFill>
          </c:spPr>
          <c:invertIfNegative val="0"/>
          <c:val>
            <c:numRef>
              <c:f>CENTRALIZADOR!$S$9:$Z$9</c:f>
              <c:numCache>
                <c:formatCode>General</c:formatCode>
                <c:ptCount val="8"/>
                <c:pt idx="0">
                  <c:v>0</c:v>
                </c:pt>
                <c:pt idx="2">
                  <c:v>0</c:v>
                </c:pt>
                <c:pt idx="4">
                  <c:v>0</c:v>
                </c:pt>
                <c:pt idx="6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8-7BA6-40D4-A64C-C0BBB96F1D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2063360"/>
        <c:axId val="192064896"/>
      </c:barChart>
      <c:catAx>
        <c:axId val="192063360"/>
        <c:scaling>
          <c:orientation val="minMax"/>
        </c:scaling>
        <c:delete val="1"/>
        <c:axPos val="b"/>
        <c:majorTickMark val="out"/>
        <c:minorTickMark val="none"/>
        <c:tickLblPos val="nextTo"/>
        <c:crossAx val="192064896"/>
        <c:crosses val="autoZero"/>
        <c:auto val="1"/>
        <c:lblAlgn val="ctr"/>
        <c:lblOffset val="100"/>
        <c:noMultiLvlLbl val="0"/>
      </c:catAx>
      <c:valAx>
        <c:axId val="19206489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es-BO" sz="800"/>
            </a:pPr>
            <a:endParaRPr lang="es-BO"/>
          </a:p>
        </c:txPr>
        <c:crossAx val="19206336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BO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30"/>
      <c:rotY val="0"/>
      <c:rAngAx val="0"/>
      <c:perspective val="30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3.6592331889568952E-2"/>
          <c:y val="8.9260769715999708E-2"/>
          <c:w val="0.89937108730368565"/>
          <c:h val="0.75453288328100099"/>
        </c:manualLayout>
      </c:layout>
      <c:pie3DChart>
        <c:varyColors val="1"/>
        <c:ser>
          <c:idx val="0"/>
          <c:order val="0"/>
          <c:dPt>
            <c:idx val="0"/>
            <c:bubble3D val="0"/>
            <c:spPr>
              <a:solidFill>
                <a:srgbClr val="0070C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A122-4DBF-8219-BF51798461AB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A122-4DBF-8219-BF51798461AB}"/>
              </c:ext>
            </c:extLst>
          </c:dPt>
          <c:dLbls>
            <c:dLbl>
              <c:idx val="0"/>
              <c:layout>
                <c:manualLayout>
                  <c:x val="0.32020777472966921"/>
                  <c:y val="-4.9736151402127365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/>
                <a:lstStyle/>
                <a:p>
                  <a:pPr>
                    <a:defRPr lang="es-BO" sz="1400" b="1">
                      <a:solidFill>
                        <a:srgbClr val="0070C0"/>
                      </a:solidFill>
                    </a:defRPr>
                  </a:pPr>
                  <a:endParaRPr lang="es-BO"/>
                </a:p>
              </c:txPr>
              <c:dLblPos val="bestFit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"/>
              <c:layout>
                <c:manualLayout>
                  <c:x val="-0.33595993305642713"/>
                  <c:y val="7.4359126161861549E-4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/>
                <a:lstStyle/>
                <a:p>
                  <a:pPr>
                    <a:defRPr lang="es-BO" sz="1400" b="1">
                      <a:solidFill>
                        <a:srgbClr val="FF0000"/>
                      </a:solidFill>
                    </a:defRPr>
                  </a:pPr>
                  <a:endParaRPr lang="es-BO"/>
                </a:p>
              </c:txPr>
              <c:dLblPos val="bestFit"/>
              <c:showLegendKey val="0"/>
              <c:showVal val="1"/>
              <c:showCatName val="0"/>
              <c:showSerName val="0"/>
              <c:showPercent val="0"/>
              <c:showBubbleSize val="0"/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lang="es-BO" sz="1400" b="1">
                    <a:solidFill>
                      <a:schemeClr val="bg1"/>
                    </a:solidFill>
                  </a:defRPr>
                </a:pPr>
                <a:endParaRPr lang="es-BO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 xmlns:c16r2="http://schemas.microsoft.com/office/drawing/2015/06/chart">
              <c:ext xmlns:c15="http://schemas.microsoft.com/office/drawing/2012/chart" uri="{CE6537A1-D6FC-4f65-9D91-7224C49458BB}">
                <c15:layout/>
              </c:ext>
            </c:extLst>
          </c:dLbls>
          <c:val>
            <c:numRef>
              <c:f>CENTRALIZADOR!$AG$9:$AG$10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A122-4DBF-8219-BF51798461AB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</c:pie3DChart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BO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1"/>
    <c:view3D>
      <c:rotX val="15"/>
      <c:rotY val="20"/>
      <c:rAngAx val="1"/>
    </c:view3D>
    <c:floor>
      <c:thickness val="0"/>
      <c:spPr>
        <a:solidFill>
          <a:schemeClr val="accent1">
            <a:lumMod val="20000"/>
            <a:lumOff val="80000"/>
          </a:schemeClr>
        </a:solidFill>
      </c:spPr>
    </c:floor>
    <c:sideWall>
      <c:thickness val="0"/>
    </c:sideWall>
    <c:backWall>
      <c:thickness val="0"/>
    </c:backWall>
    <c:plotArea>
      <c:layout/>
      <c:bar3DChart>
        <c:barDir val="col"/>
        <c:grouping val="stacked"/>
        <c:varyColors val="0"/>
        <c:ser>
          <c:idx val="0"/>
          <c:order val="0"/>
          <c:invertIfNegative val="0"/>
          <c:dPt>
            <c:idx val="0"/>
            <c:invertIfNegative val="0"/>
            <c:bubble3D val="0"/>
            <c:spPr>
              <a:solidFill>
                <a:srgbClr val="0070C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5010-4535-976F-3DFD5A75D1E0}"/>
              </c:ext>
            </c:extLst>
          </c:dPt>
          <c:dPt>
            <c:idx val="1"/>
            <c:invertIfNegative val="0"/>
            <c:bubble3D val="0"/>
            <c:spPr>
              <a:solidFill>
                <a:srgbClr val="FF000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5010-4535-976F-3DFD5A75D1E0}"/>
              </c:ext>
            </c:extLst>
          </c:dPt>
          <c:dLbls>
            <c:dLbl>
              <c:idx val="0"/>
              <c:layout>
                <c:manualLayout>
                  <c:x val="8.0328296053413881E-3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/>
                <a:lstStyle/>
                <a:p>
                  <a:pPr>
                    <a:defRPr lang="es-BO" sz="1100" b="1">
                      <a:solidFill>
                        <a:schemeClr val="bg1"/>
                      </a:solidFill>
                    </a:defRPr>
                  </a:pPr>
                  <a:endParaRPr lang="es-BO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"/>
              <c:layout>
                <c:manualLayout>
                  <c:x val="2.1420878947577039E-2"/>
                  <c:y val="-4.5612263832826863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/>
                <a:lstStyle/>
                <a:p>
                  <a:pPr>
                    <a:defRPr lang="es-BO" sz="1100" b="1">
                      <a:solidFill>
                        <a:schemeClr val="bg1"/>
                      </a:solidFill>
                    </a:defRPr>
                  </a:pPr>
                  <a:endParaRPr lang="es-BO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lang="es-BO"/>
                </a:pPr>
                <a:endParaRPr lang="es-B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CENTRALIZADOR!$AG$9:$AG$10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FDAA-BE4B-BF6E-4B5A7BA74C75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shape val="cylinder"/>
        <c:axId val="194069632"/>
        <c:axId val="194071168"/>
        <c:axId val="0"/>
      </c:bar3DChart>
      <c:catAx>
        <c:axId val="194069632"/>
        <c:scaling>
          <c:orientation val="minMax"/>
        </c:scaling>
        <c:delete val="1"/>
        <c:axPos val="b"/>
        <c:majorTickMark val="out"/>
        <c:minorTickMark val="none"/>
        <c:tickLblPos val="nextTo"/>
        <c:crossAx val="194071168"/>
        <c:crosses val="autoZero"/>
        <c:auto val="1"/>
        <c:lblAlgn val="ctr"/>
        <c:lblOffset val="100"/>
        <c:noMultiLvlLbl val="0"/>
      </c:catAx>
      <c:valAx>
        <c:axId val="19407116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es-BO"/>
            </a:pPr>
            <a:endParaRPr lang="es-BO"/>
          </a:p>
        </c:txPr>
        <c:crossAx val="194069632"/>
        <c:crosses val="autoZero"/>
        <c:crossBetween val="between"/>
      </c:valAx>
    </c:plotArea>
    <c:plotVisOnly val="1"/>
    <c:dispBlanksAs val="gap"/>
    <c:showDLblsOverMax val="0"/>
  </c:chart>
  <c:spPr>
    <a:noFill/>
    <a:ln>
      <a:noFill/>
    </a:ln>
  </c:sp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BO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15"/>
      <c:rotY val="20"/>
      <c:rAngAx val="1"/>
    </c:view3D>
    <c:floor>
      <c:thickness val="0"/>
      <c:spPr>
        <a:solidFill>
          <a:schemeClr val="bg2"/>
        </a:solidFill>
      </c:spPr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0.11588061448249358"/>
          <c:y val="8.2966654769038514E-2"/>
          <c:w val="0.51539369653441292"/>
          <c:h val="0.8340666904619225"/>
        </c:manualLayout>
      </c:layout>
      <c:bar3DChart>
        <c:barDir val="col"/>
        <c:grouping val="clustered"/>
        <c:varyColors val="0"/>
        <c:ser>
          <c:idx val="0"/>
          <c:order val="0"/>
          <c:invertIfNegative val="0"/>
          <c:dPt>
            <c:idx val="0"/>
            <c:invertIfNegative val="0"/>
            <c:bubble3D val="0"/>
            <c:spPr>
              <a:solidFill>
                <a:srgbClr val="00B05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62B8-4B2B-B7F2-C97E425DF9F9}"/>
              </c:ext>
            </c:extLst>
          </c:dPt>
          <c:dPt>
            <c:idx val="1"/>
            <c:invertIfNegative val="0"/>
            <c:bubble3D val="0"/>
            <c:spPr>
              <a:solidFill>
                <a:srgbClr val="FF000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62B8-4B2B-B7F2-C97E425DF9F9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6">
                  <a:lumMod val="75000"/>
                </a:schemeClr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5-62B8-4B2B-B7F2-C97E425DF9F9}"/>
              </c:ext>
            </c:extLst>
          </c:dPt>
          <c:dPt>
            <c:idx val="3"/>
            <c:invertIfNegative val="0"/>
            <c:bubble3D val="0"/>
            <c:spPr>
              <a:solidFill>
                <a:srgbClr val="00B0F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7-62B8-4B2B-B7F2-C97E425DF9F9}"/>
              </c:ext>
            </c:extLst>
          </c:dPt>
          <c:cat>
            <c:strRef>
              <c:f>'% REP-APR'!$C$13:$C$16</c:f>
              <c:strCache>
                <c:ptCount val="4"/>
                <c:pt idx="0">
                  <c:v>INSCRITO </c:v>
                </c:pt>
                <c:pt idx="1">
                  <c:v>RETIRO O ABANDONO</c:v>
                </c:pt>
                <c:pt idx="2">
                  <c:v>NO INCORPORADO</c:v>
                </c:pt>
                <c:pt idx="3">
                  <c:v>EFECTIVO</c:v>
                </c:pt>
              </c:strCache>
            </c:strRef>
          </c:cat>
          <c:val>
            <c:numRef>
              <c:f>'% REP-APR'!$D$13:$D$16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8-62B8-4B2B-B7F2-C97E425DF9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194000768"/>
        <c:axId val="194002304"/>
        <c:axId val="0"/>
      </c:bar3DChart>
      <c:catAx>
        <c:axId val="194000768"/>
        <c:scaling>
          <c:orientation val="minMax"/>
        </c:scaling>
        <c:delete val="1"/>
        <c:axPos val="b"/>
        <c:numFmt formatCode="General" sourceLinked="0"/>
        <c:majorTickMark val="out"/>
        <c:minorTickMark val="none"/>
        <c:tickLblPos val="nextTo"/>
        <c:crossAx val="194002304"/>
        <c:crosses val="autoZero"/>
        <c:auto val="1"/>
        <c:lblAlgn val="ctr"/>
        <c:lblOffset val="100"/>
        <c:noMultiLvlLbl val="0"/>
      </c:catAx>
      <c:valAx>
        <c:axId val="19400230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es-BO" sz="800"/>
            </a:pPr>
            <a:endParaRPr lang="es-BO"/>
          </a:p>
        </c:txPr>
        <c:crossAx val="194000768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 lang="es-BO" sz="900"/>
          </a:pPr>
          <a:endParaRPr lang="es-BO"/>
        </a:p>
      </c:txPr>
    </c:legend>
    <c:plotVisOnly val="1"/>
    <c:dispBlanksAs val="gap"/>
    <c:showDLblsOverMax val="0"/>
  </c:chart>
  <c:spPr>
    <a:noFill/>
    <a:ln>
      <a:noFill/>
    </a:ln>
  </c:sp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BO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1834270624454085E-2"/>
          <c:y val="8.6784955949025008E-2"/>
          <c:w val="0.94564082076613765"/>
          <c:h val="0.63623871391777265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'CEN. POR AREA'!$BV$14:$BV$58</c:f>
              <c:numCache>
                <c:formatCode>0</c:formatCode>
                <c:ptCount val="4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7735-4FED-AA5F-9753AF916D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4349312"/>
        <c:axId val="194363776"/>
      </c:barChart>
      <c:catAx>
        <c:axId val="19434931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s-BO"/>
                  <a:t>NÚMERO DE LISTA DEL ESTUDIANTE </a:t>
                </a:r>
              </a:p>
            </c:rich>
          </c:tx>
          <c:layout>
            <c:manualLayout>
              <c:xMode val="edge"/>
              <c:yMode val="edge"/>
              <c:x val="0.49230341228000551"/>
              <c:y val="0.85986641479166059"/>
            </c:manualLayout>
          </c:layout>
          <c:overlay val="0"/>
        </c:title>
        <c:majorTickMark val="out"/>
        <c:minorTickMark val="none"/>
        <c:tickLblPos val="nextTo"/>
        <c:crossAx val="194363776"/>
        <c:crosses val="autoZero"/>
        <c:auto val="1"/>
        <c:lblAlgn val="ctr"/>
        <c:lblOffset val="100"/>
        <c:noMultiLvlLbl val="0"/>
      </c:catAx>
      <c:valAx>
        <c:axId val="19436377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s-BO"/>
                  <a:t>NÚMERO DE MATERIAS </a:t>
                </a:r>
              </a:p>
            </c:rich>
          </c:tx>
          <c:layout>
            <c:manualLayout>
              <c:xMode val="edge"/>
              <c:yMode val="edge"/>
              <c:x val="2.2772561108016002E-3"/>
              <c:y val="8.8888826674487234E-2"/>
            </c:manualLayout>
          </c:layout>
          <c:overlay val="0"/>
        </c:title>
        <c:numFmt formatCode="0" sourceLinked="1"/>
        <c:majorTickMark val="out"/>
        <c:minorTickMark val="none"/>
        <c:tickLblPos val="nextTo"/>
        <c:crossAx val="194349312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>
      <a:noFill/>
    </a:ln>
  </c:spPr>
  <c:txPr>
    <a:bodyPr/>
    <a:lstStyle/>
    <a:p>
      <a:pPr>
        <a:defRPr sz="800" b="1"/>
      </a:pPr>
      <a:endParaRPr lang="es-BO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emf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microsoft.com/office/2007/relationships/hdphoto" Target="../media/hdphoto1.wdp"/><Relationship Id="rId2" Type="http://schemas.openxmlformats.org/officeDocument/2006/relationships/image" Target="../media/image4.png"/><Relationship Id="rId1" Type="http://schemas.openxmlformats.org/officeDocument/2006/relationships/image" Target="../media/image1.png"/><Relationship Id="rId4" Type="http://schemas.openxmlformats.org/officeDocument/2006/relationships/image" Target="../media/image2.emf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jpeg"/><Relationship Id="rId1" Type="http://schemas.openxmlformats.org/officeDocument/2006/relationships/image" Target="../media/image5.jpe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wmf"/><Relationship Id="rId2" Type="http://schemas.openxmlformats.org/officeDocument/2006/relationships/image" Target="../media/image8.wmf"/><Relationship Id="rId1" Type="http://schemas.openxmlformats.org/officeDocument/2006/relationships/image" Target="../media/image7.png"/><Relationship Id="rId5" Type="http://schemas.openxmlformats.org/officeDocument/2006/relationships/image" Target="../media/image11.jpeg"/><Relationship Id="rId4" Type="http://schemas.openxmlformats.org/officeDocument/2006/relationships/image" Target="../media/image10.jpe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1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2.emf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1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85725</xdr:colOff>
      <xdr:row>2</xdr:row>
      <xdr:rowOff>47625</xdr:rowOff>
    </xdr:from>
    <xdr:to>
      <xdr:col>5</xdr:col>
      <xdr:colOff>114582</xdr:colOff>
      <xdr:row>6</xdr:row>
      <xdr:rowOff>161924</xdr:rowOff>
    </xdr:to>
    <xdr:pic>
      <xdr:nvPicPr>
        <xdr:cNvPr id="18" name="Picture 27" descr="D:\Mis Documentos\Logotipos MINEDU   V.E.R\minedu_negro.png">
          <a:extLst>
            <a:ext uri="{FF2B5EF4-FFF2-40B4-BE49-F238E27FC236}">
              <a16:creationId xmlns="" xmlns:a16="http://schemas.microsoft.com/office/drawing/2014/main" id="{00000000-0008-0000-0000-00001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847725" y="438150"/>
          <a:ext cx="2629182" cy="876299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5</xdr:col>
      <xdr:colOff>190500</xdr:colOff>
      <xdr:row>2</xdr:row>
      <xdr:rowOff>180975</xdr:rowOff>
    </xdr:from>
    <xdr:to>
      <xdr:col>6</xdr:col>
      <xdr:colOff>552450</xdr:colOff>
      <xdr:row>5</xdr:row>
      <xdr:rowOff>85725</xdr:rowOff>
    </xdr:to>
    <xdr:sp macro="[0]!CARATULA" textlink="">
      <xdr:nvSpPr>
        <xdr:cNvPr id="3" name="2 Rectángulo">
          <a:extLst>
            <a:ext uri="{FF2B5EF4-FFF2-40B4-BE49-F238E27FC236}">
              <a16:creationId xmlns="" xmlns:a16="http://schemas.microsoft.com/office/drawing/2014/main" id="{00000000-0008-0000-0000-000003000000}"/>
            </a:ext>
          </a:extLst>
        </xdr:cNvPr>
        <xdr:cNvSpPr/>
      </xdr:nvSpPr>
      <xdr:spPr>
        <a:xfrm>
          <a:off x="3552825" y="571500"/>
          <a:ext cx="1123950" cy="476250"/>
        </a:xfrm>
        <a:prstGeom prst="rect">
          <a:avLst/>
        </a:prstGeom>
        <a:solidFill>
          <a:srgbClr val="FF000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400" b="1"/>
            <a:t>CARÁTULA </a:t>
          </a:r>
        </a:p>
      </xdr:txBody>
    </xdr:sp>
    <xdr:clientData/>
  </xdr:twoCellAnchor>
  <xdr:twoCellAnchor>
    <xdr:from>
      <xdr:col>2</xdr:col>
      <xdr:colOff>9525</xdr:colOff>
      <xdr:row>7</xdr:row>
      <xdr:rowOff>0</xdr:rowOff>
    </xdr:from>
    <xdr:to>
      <xdr:col>4</xdr:col>
      <xdr:colOff>542925</xdr:colOff>
      <xdr:row>9</xdr:row>
      <xdr:rowOff>85725</xdr:rowOff>
    </xdr:to>
    <xdr:sp macro="[0]!C_FILIACION" textlink="">
      <xdr:nvSpPr>
        <xdr:cNvPr id="4" name="3 Rectángulo">
          <a:extLst>
            <a:ext uri="{FF2B5EF4-FFF2-40B4-BE49-F238E27FC236}">
              <a16:creationId xmlns="" xmlns:a16="http://schemas.microsoft.com/office/drawing/2014/main" id="{00000000-0008-0000-0000-000004000000}"/>
            </a:ext>
          </a:extLst>
        </xdr:cNvPr>
        <xdr:cNvSpPr/>
      </xdr:nvSpPr>
      <xdr:spPr>
        <a:xfrm>
          <a:off x="1085850" y="1343025"/>
          <a:ext cx="2057400" cy="466725"/>
        </a:xfrm>
        <a:prstGeom prst="rect">
          <a:avLst/>
        </a:prstGeom>
        <a:solidFill>
          <a:srgbClr val="FFC00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400" b="1"/>
            <a:t>CUADRO DE AFILIACIÓN</a:t>
          </a:r>
          <a:r>
            <a:rPr lang="es-BO" sz="1400" b="1" baseline="0"/>
            <a:t> </a:t>
          </a:r>
          <a:r>
            <a:rPr lang="es-BO" sz="1400" b="1"/>
            <a:t> </a:t>
          </a:r>
        </a:p>
      </xdr:txBody>
    </xdr:sp>
    <xdr:clientData/>
  </xdr:twoCellAnchor>
  <xdr:twoCellAnchor>
    <xdr:from>
      <xdr:col>7</xdr:col>
      <xdr:colOff>66675</xdr:colOff>
      <xdr:row>7</xdr:row>
      <xdr:rowOff>9525</xdr:rowOff>
    </xdr:from>
    <xdr:to>
      <xdr:col>9</xdr:col>
      <xdr:colOff>600075</xdr:colOff>
      <xdr:row>9</xdr:row>
      <xdr:rowOff>95250</xdr:rowOff>
    </xdr:to>
    <xdr:sp macro="[0]!CODIGOYFOTOGRAFIA" textlink="">
      <xdr:nvSpPr>
        <xdr:cNvPr id="5" name="4 Rectángulo">
          <a:extLst>
            <a:ext uri="{FF2B5EF4-FFF2-40B4-BE49-F238E27FC236}">
              <a16:creationId xmlns="" xmlns:a16="http://schemas.microsoft.com/office/drawing/2014/main" id="{00000000-0008-0000-0000-000005000000}"/>
            </a:ext>
          </a:extLst>
        </xdr:cNvPr>
        <xdr:cNvSpPr/>
      </xdr:nvSpPr>
      <xdr:spPr>
        <a:xfrm>
          <a:off x="4953000" y="1352550"/>
          <a:ext cx="2057400" cy="466725"/>
        </a:xfrm>
        <a:prstGeom prst="rect">
          <a:avLst/>
        </a:prstGeom>
        <a:solidFill>
          <a:srgbClr val="FFFF0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400" b="1">
              <a:solidFill>
                <a:schemeClr val="tx1"/>
              </a:solidFill>
            </a:rPr>
            <a:t>CÓDIGO Y FOTOGRAFÍA</a:t>
          </a:r>
          <a:r>
            <a:rPr lang="es-BO" sz="1400" b="1" baseline="0">
              <a:solidFill>
                <a:schemeClr val="tx1"/>
              </a:solidFill>
            </a:rPr>
            <a:t> </a:t>
          </a:r>
          <a:endParaRPr lang="es-BO" sz="1400" b="1">
            <a:solidFill>
              <a:schemeClr val="tx1"/>
            </a:solidFill>
          </a:endParaRPr>
        </a:p>
      </xdr:txBody>
    </xdr:sp>
    <xdr:clientData/>
  </xdr:twoCellAnchor>
  <xdr:twoCellAnchor>
    <xdr:from>
      <xdr:col>2</xdr:col>
      <xdr:colOff>19049</xdr:colOff>
      <xdr:row>9</xdr:row>
      <xdr:rowOff>180975</xdr:rowOff>
    </xdr:from>
    <xdr:to>
      <xdr:col>3</xdr:col>
      <xdr:colOff>561975</xdr:colOff>
      <xdr:row>12</xdr:row>
      <xdr:rowOff>85725</xdr:rowOff>
    </xdr:to>
    <xdr:sp macro="[0]!ASIS_1B" textlink="">
      <xdr:nvSpPr>
        <xdr:cNvPr id="6" name="5 Rectángulo">
          <a:extLst>
            <a:ext uri="{FF2B5EF4-FFF2-40B4-BE49-F238E27FC236}">
              <a16:creationId xmlns="" xmlns:a16="http://schemas.microsoft.com/office/drawing/2014/main" id="{00000000-0008-0000-0000-000006000000}"/>
            </a:ext>
          </a:extLst>
        </xdr:cNvPr>
        <xdr:cNvSpPr/>
      </xdr:nvSpPr>
      <xdr:spPr>
        <a:xfrm>
          <a:off x="1095374" y="1905000"/>
          <a:ext cx="1304926" cy="476250"/>
        </a:xfrm>
        <a:prstGeom prst="rect">
          <a:avLst/>
        </a:prstGeom>
        <a:solidFill>
          <a:srgbClr val="00B05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100" b="1">
              <a:latin typeface="Arial" pitchFamily="34" charset="0"/>
              <a:cs typeface="Arial" pitchFamily="34" charset="0"/>
            </a:rPr>
            <a:t>ASISTENCIA</a:t>
          </a:r>
        </a:p>
        <a:p>
          <a:pPr algn="ctr"/>
          <a:r>
            <a:rPr lang="es-BO" sz="1100" b="1" baseline="0">
              <a:latin typeface="Arial" pitchFamily="34" charset="0"/>
              <a:cs typeface="Arial" pitchFamily="34" charset="0"/>
            </a:rPr>
            <a:t> 1° BIMESTRE</a:t>
          </a:r>
          <a:r>
            <a:rPr lang="es-BO" sz="1100" b="1">
              <a:latin typeface="Arial" pitchFamily="34" charset="0"/>
              <a:cs typeface="Arial" pitchFamily="34" charset="0"/>
            </a:rPr>
            <a:t> </a:t>
          </a:r>
        </a:p>
      </xdr:txBody>
    </xdr:sp>
    <xdr:clientData/>
  </xdr:twoCellAnchor>
  <xdr:twoCellAnchor>
    <xdr:from>
      <xdr:col>2</xdr:col>
      <xdr:colOff>0</xdr:colOff>
      <xdr:row>12</xdr:row>
      <xdr:rowOff>171450</xdr:rowOff>
    </xdr:from>
    <xdr:to>
      <xdr:col>3</xdr:col>
      <xdr:colOff>561975</xdr:colOff>
      <xdr:row>15</xdr:row>
      <xdr:rowOff>76200</xdr:rowOff>
    </xdr:to>
    <xdr:sp macro="[0]!VAL_1B" textlink="">
      <xdr:nvSpPr>
        <xdr:cNvPr id="7" name="6 Rectángulo">
          <a:extLst>
            <a:ext uri="{FF2B5EF4-FFF2-40B4-BE49-F238E27FC236}">
              <a16:creationId xmlns="" xmlns:a16="http://schemas.microsoft.com/office/drawing/2014/main" id="{00000000-0008-0000-0000-000007000000}"/>
            </a:ext>
          </a:extLst>
        </xdr:cNvPr>
        <xdr:cNvSpPr/>
      </xdr:nvSpPr>
      <xdr:spPr>
        <a:xfrm>
          <a:off x="1076325" y="2466975"/>
          <a:ext cx="1323975" cy="476250"/>
        </a:xfrm>
        <a:prstGeom prst="rect">
          <a:avLst/>
        </a:prstGeom>
        <a:solidFill>
          <a:srgbClr val="00B05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100" b="1">
              <a:latin typeface="Arial" pitchFamily="34" charset="0"/>
              <a:cs typeface="Arial" pitchFamily="34" charset="0"/>
            </a:rPr>
            <a:t>VALORACIÓN</a:t>
          </a:r>
          <a:r>
            <a:rPr lang="es-BO" sz="1100" b="1" baseline="0">
              <a:latin typeface="Arial" pitchFamily="34" charset="0"/>
              <a:cs typeface="Arial" pitchFamily="34" charset="0"/>
            </a:rPr>
            <a:t> </a:t>
          </a:r>
        </a:p>
        <a:p>
          <a:pPr algn="ctr"/>
          <a:r>
            <a:rPr lang="es-BO" sz="1100" b="1" baseline="0">
              <a:latin typeface="Arial" pitchFamily="34" charset="0"/>
              <a:cs typeface="Arial" pitchFamily="34" charset="0"/>
            </a:rPr>
            <a:t>1° BIMESTRE </a:t>
          </a:r>
          <a:r>
            <a:rPr lang="es-BO" sz="1100" b="1">
              <a:latin typeface="Arial" pitchFamily="34" charset="0"/>
              <a:cs typeface="Arial" pitchFamily="34" charset="0"/>
            </a:rPr>
            <a:t> </a:t>
          </a:r>
        </a:p>
      </xdr:txBody>
    </xdr:sp>
    <xdr:clientData/>
  </xdr:twoCellAnchor>
  <xdr:twoCellAnchor>
    <xdr:from>
      <xdr:col>4</xdr:col>
      <xdr:colOff>19049</xdr:colOff>
      <xdr:row>10</xdr:row>
      <xdr:rowOff>0</xdr:rowOff>
    </xdr:from>
    <xdr:to>
      <xdr:col>5</xdr:col>
      <xdr:colOff>561975</xdr:colOff>
      <xdr:row>12</xdr:row>
      <xdr:rowOff>95250</xdr:rowOff>
    </xdr:to>
    <xdr:sp macro="[0]!ASIS_2B" textlink="">
      <xdr:nvSpPr>
        <xdr:cNvPr id="8" name="7 Rectángulo">
          <a:extLst>
            <a:ext uri="{FF2B5EF4-FFF2-40B4-BE49-F238E27FC236}">
              <a16:creationId xmlns="" xmlns:a16="http://schemas.microsoft.com/office/drawing/2014/main" id="{00000000-0008-0000-0000-000008000000}"/>
            </a:ext>
          </a:extLst>
        </xdr:cNvPr>
        <xdr:cNvSpPr/>
      </xdr:nvSpPr>
      <xdr:spPr>
        <a:xfrm>
          <a:off x="2619374" y="1914525"/>
          <a:ext cx="1304926" cy="476250"/>
        </a:xfrm>
        <a:prstGeom prst="rect">
          <a:avLst/>
        </a:prstGeom>
        <a:solidFill>
          <a:srgbClr val="00B0F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100" b="1">
              <a:latin typeface="Arial" pitchFamily="34" charset="0"/>
              <a:cs typeface="Arial" pitchFamily="34" charset="0"/>
            </a:rPr>
            <a:t>ASISTENCIA</a:t>
          </a:r>
        </a:p>
        <a:p>
          <a:pPr algn="ctr"/>
          <a:r>
            <a:rPr lang="es-BO" sz="1100" b="1" baseline="0">
              <a:latin typeface="Arial" pitchFamily="34" charset="0"/>
              <a:cs typeface="Arial" pitchFamily="34" charset="0"/>
            </a:rPr>
            <a:t> 2° BIMESTRE</a:t>
          </a:r>
          <a:r>
            <a:rPr lang="es-BO" sz="1100" b="1">
              <a:latin typeface="Arial" pitchFamily="34" charset="0"/>
              <a:cs typeface="Arial" pitchFamily="34" charset="0"/>
            </a:rPr>
            <a:t> </a:t>
          </a:r>
        </a:p>
      </xdr:txBody>
    </xdr:sp>
    <xdr:clientData/>
  </xdr:twoCellAnchor>
  <xdr:twoCellAnchor>
    <xdr:from>
      <xdr:col>4</xdr:col>
      <xdr:colOff>9525</xdr:colOff>
      <xdr:row>12</xdr:row>
      <xdr:rowOff>180975</xdr:rowOff>
    </xdr:from>
    <xdr:to>
      <xdr:col>5</xdr:col>
      <xdr:colOff>581025</xdr:colOff>
      <xdr:row>15</xdr:row>
      <xdr:rowOff>85725</xdr:rowOff>
    </xdr:to>
    <xdr:sp macro="[0]!VAL_2B" textlink="">
      <xdr:nvSpPr>
        <xdr:cNvPr id="9" name="8 Rectángulo">
          <a:extLst>
            <a:ext uri="{FF2B5EF4-FFF2-40B4-BE49-F238E27FC236}">
              <a16:creationId xmlns="" xmlns:a16="http://schemas.microsoft.com/office/drawing/2014/main" id="{00000000-0008-0000-0000-000009000000}"/>
            </a:ext>
          </a:extLst>
        </xdr:cNvPr>
        <xdr:cNvSpPr/>
      </xdr:nvSpPr>
      <xdr:spPr>
        <a:xfrm>
          <a:off x="2609850" y="2476500"/>
          <a:ext cx="1333500" cy="476250"/>
        </a:xfrm>
        <a:prstGeom prst="rect">
          <a:avLst/>
        </a:prstGeom>
        <a:solidFill>
          <a:srgbClr val="00B0F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100" b="1">
              <a:latin typeface="Arial" pitchFamily="34" charset="0"/>
              <a:cs typeface="Arial" pitchFamily="34" charset="0"/>
            </a:rPr>
            <a:t>VALORACIÓN</a:t>
          </a:r>
          <a:r>
            <a:rPr lang="es-BO" sz="1100" b="1" baseline="0">
              <a:latin typeface="Arial" pitchFamily="34" charset="0"/>
              <a:cs typeface="Arial" pitchFamily="34" charset="0"/>
            </a:rPr>
            <a:t> </a:t>
          </a:r>
        </a:p>
        <a:p>
          <a:pPr algn="ctr"/>
          <a:r>
            <a:rPr lang="es-BO" sz="1100" b="1" baseline="0">
              <a:latin typeface="Arial" pitchFamily="34" charset="0"/>
              <a:cs typeface="Arial" pitchFamily="34" charset="0"/>
            </a:rPr>
            <a:t>2° BIMESTRE </a:t>
          </a:r>
          <a:r>
            <a:rPr lang="es-BO" sz="1100" b="1">
              <a:latin typeface="Arial" pitchFamily="34" charset="0"/>
              <a:cs typeface="Arial" pitchFamily="34" charset="0"/>
            </a:rPr>
            <a:t> </a:t>
          </a:r>
        </a:p>
      </xdr:txBody>
    </xdr:sp>
    <xdr:clientData/>
  </xdr:twoCellAnchor>
  <xdr:twoCellAnchor>
    <xdr:from>
      <xdr:col>6</xdr:col>
      <xdr:colOff>19049</xdr:colOff>
      <xdr:row>10</xdr:row>
      <xdr:rowOff>0</xdr:rowOff>
    </xdr:from>
    <xdr:to>
      <xdr:col>7</xdr:col>
      <xdr:colOff>561975</xdr:colOff>
      <xdr:row>12</xdr:row>
      <xdr:rowOff>95250</xdr:rowOff>
    </xdr:to>
    <xdr:sp macro="[0]!ASIS_3B" textlink="">
      <xdr:nvSpPr>
        <xdr:cNvPr id="10" name="9 Rectángulo">
          <a:extLst>
            <a:ext uri="{FF2B5EF4-FFF2-40B4-BE49-F238E27FC236}">
              <a16:creationId xmlns="" xmlns:a16="http://schemas.microsoft.com/office/drawing/2014/main" id="{00000000-0008-0000-0000-00000A000000}"/>
            </a:ext>
          </a:extLst>
        </xdr:cNvPr>
        <xdr:cNvSpPr/>
      </xdr:nvSpPr>
      <xdr:spPr>
        <a:xfrm>
          <a:off x="4143374" y="1914525"/>
          <a:ext cx="1304926" cy="476250"/>
        </a:xfrm>
        <a:prstGeom prst="rect">
          <a:avLst/>
        </a:prstGeom>
        <a:solidFill>
          <a:schemeClr val="accent6">
            <a:lumMod val="5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100" b="1">
              <a:latin typeface="Arial" pitchFamily="34" charset="0"/>
              <a:cs typeface="Arial" pitchFamily="34" charset="0"/>
            </a:rPr>
            <a:t>ASISTENCIA</a:t>
          </a:r>
        </a:p>
        <a:p>
          <a:pPr algn="ctr"/>
          <a:r>
            <a:rPr lang="es-BO" sz="1100" b="1" baseline="0">
              <a:latin typeface="Arial" pitchFamily="34" charset="0"/>
              <a:cs typeface="Arial" pitchFamily="34" charset="0"/>
            </a:rPr>
            <a:t> 3° BIMESTRE</a:t>
          </a:r>
          <a:r>
            <a:rPr lang="es-BO" sz="1100" b="1">
              <a:latin typeface="Arial" pitchFamily="34" charset="0"/>
              <a:cs typeface="Arial" pitchFamily="34" charset="0"/>
            </a:rPr>
            <a:t> </a:t>
          </a:r>
        </a:p>
      </xdr:txBody>
    </xdr:sp>
    <xdr:clientData/>
  </xdr:twoCellAnchor>
  <xdr:twoCellAnchor>
    <xdr:from>
      <xdr:col>6</xdr:col>
      <xdr:colOff>9525</xdr:colOff>
      <xdr:row>12</xdr:row>
      <xdr:rowOff>180975</xdr:rowOff>
    </xdr:from>
    <xdr:to>
      <xdr:col>7</xdr:col>
      <xdr:colOff>581025</xdr:colOff>
      <xdr:row>15</xdr:row>
      <xdr:rowOff>85725</xdr:rowOff>
    </xdr:to>
    <xdr:sp macro="[0]!VAL_3B" textlink="">
      <xdr:nvSpPr>
        <xdr:cNvPr id="11" name="10 Rectángulo">
          <a:extLst>
            <a:ext uri="{FF2B5EF4-FFF2-40B4-BE49-F238E27FC236}">
              <a16:creationId xmlns="" xmlns:a16="http://schemas.microsoft.com/office/drawing/2014/main" id="{00000000-0008-0000-0000-00000B000000}"/>
            </a:ext>
          </a:extLst>
        </xdr:cNvPr>
        <xdr:cNvSpPr/>
      </xdr:nvSpPr>
      <xdr:spPr>
        <a:xfrm>
          <a:off x="4133850" y="2476500"/>
          <a:ext cx="1333500" cy="476250"/>
        </a:xfrm>
        <a:prstGeom prst="rect">
          <a:avLst/>
        </a:prstGeom>
        <a:solidFill>
          <a:schemeClr val="accent6">
            <a:lumMod val="5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100" b="1">
              <a:latin typeface="Arial" pitchFamily="34" charset="0"/>
              <a:cs typeface="Arial" pitchFamily="34" charset="0"/>
            </a:rPr>
            <a:t>VALORACIÓN</a:t>
          </a:r>
          <a:r>
            <a:rPr lang="es-BO" sz="1100" b="1" baseline="0">
              <a:latin typeface="Arial" pitchFamily="34" charset="0"/>
              <a:cs typeface="Arial" pitchFamily="34" charset="0"/>
            </a:rPr>
            <a:t> </a:t>
          </a:r>
        </a:p>
        <a:p>
          <a:pPr algn="ctr"/>
          <a:r>
            <a:rPr lang="es-BO" sz="1100" b="1" baseline="0">
              <a:latin typeface="Arial" pitchFamily="34" charset="0"/>
              <a:cs typeface="Arial" pitchFamily="34" charset="0"/>
            </a:rPr>
            <a:t>3° BIMESTRE </a:t>
          </a:r>
          <a:r>
            <a:rPr lang="es-BO" sz="1100" b="1">
              <a:latin typeface="Arial" pitchFamily="34" charset="0"/>
              <a:cs typeface="Arial" pitchFamily="34" charset="0"/>
            </a:rPr>
            <a:t> </a:t>
          </a:r>
        </a:p>
      </xdr:txBody>
    </xdr:sp>
    <xdr:clientData/>
  </xdr:twoCellAnchor>
  <xdr:twoCellAnchor>
    <xdr:from>
      <xdr:col>8</xdr:col>
      <xdr:colOff>47624</xdr:colOff>
      <xdr:row>10</xdr:row>
      <xdr:rowOff>0</xdr:rowOff>
    </xdr:from>
    <xdr:to>
      <xdr:col>9</xdr:col>
      <xdr:colOff>590550</xdr:colOff>
      <xdr:row>12</xdr:row>
      <xdr:rowOff>95250</xdr:rowOff>
    </xdr:to>
    <xdr:sp macro="[0]!ASIS_4B" textlink="">
      <xdr:nvSpPr>
        <xdr:cNvPr id="12" name="11 Rectángulo">
          <a:extLst>
            <a:ext uri="{FF2B5EF4-FFF2-40B4-BE49-F238E27FC236}">
              <a16:creationId xmlns="" xmlns:a16="http://schemas.microsoft.com/office/drawing/2014/main" id="{00000000-0008-0000-0000-00000C000000}"/>
            </a:ext>
          </a:extLst>
        </xdr:cNvPr>
        <xdr:cNvSpPr/>
      </xdr:nvSpPr>
      <xdr:spPr>
        <a:xfrm>
          <a:off x="5695949" y="1914525"/>
          <a:ext cx="1304926" cy="476250"/>
        </a:xfrm>
        <a:prstGeom prst="rect">
          <a:avLst/>
        </a:prstGeom>
        <a:solidFill>
          <a:schemeClr val="accent1">
            <a:lumMod val="5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100" b="1">
              <a:latin typeface="Arial" pitchFamily="34" charset="0"/>
              <a:cs typeface="Arial" pitchFamily="34" charset="0"/>
            </a:rPr>
            <a:t>ASISTENCIA</a:t>
          </a:r>
        </a:p>
        <a:p>
          <a:pPr algn="ctr"/>
          <a:r>
            <a:rPr lang="es-BO" sz="1100" b="1" baseline="0">
              <a:latin typeface="Arial" pitchFamily="34" charset="0"/>
              <a:cs typeface="Arial" pitchFamily="34" charset="0"/>
            </a:rPr>
            <a:t> 4° BIMESTRE</a:t>
          </a:r>
          <a:r>
            <a:rPr lang="es-BO" sz="1100" b="1">
              <a:latin typeface="Arial" pitchFamily="34" charset="0"/>
              <a:cs typeface="Arial" pitchFamily="34" charset="0"/>
            </a:rPr>
            <a:t> </a:t>
          </a:r>
        </a:p>
      </xdr:txBody>
    </xdr:sp>
    <xdr:clientData/>
  </xdr:twoCellAnchor>
  <xdr:twoCellAnchor>
    <xdr:from>
      <xdr:col>8</xdr:col>
      <xdr:colOff>38100</xdr:colOff>
      <xdr:row>12</xdr:row>
      <xdr:rowOff>180975</xdr:rowOff>
    </xdr:from>
    <xdr:to>
      <xdr:col>9</xdr:col>
      <xdr:colOff>609600</xdr:colOff>
      <xdr:row>15</xdr:row>
      <xdr:rowOff>85725</xdr:rowOff>
    </xdr:to>
    <xdr:sp macro="[0]!VAL_4B" textlink="">
      <xdr:nvSpPr>
        <xdr:cNvPr id="13" name="12 Rectángulo">
          <a:extLst>
            <a:ext uri="{FF2B5EF4-FFF2-40B4-BE49-F238E27FC236}">
              <a16:creationId xmlns="" xmlns:a16="http://schemas.microsoft.com/office/drawing/2014/main" id="{00000000-0008-0000-0000-00000D000000}"/>
            </a:ext>
          </a:extLst>
        </xdr:cNvPr>
        <xdr:cNvSpPr/>
      </xdr:nvSpPr>
      <xdr:spPr>
        <a:xfrm>
          <a:off x="5686425" y="2476500"/>
          <a:ext cx="1333500" cy="476250"/>
        </a:xfrm>
        <a:prstGeom prst="rect">
          <a:avLst/>
        </a:prstGeom>
        <a:solidFill>
          <a:schemeClr val="accent1">
            <a:lumMod val="5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100" b="1">
              <a:latin typeface="Arial" pitchFamily="34" charset="0"/>
              <a:cs typeface="Arial" pitchFamily="34" charset="0"/>
            </a:rPr>
            <a:t>VALORACIÓN</a:t>
          </a:r>
          <a:r>
            <a:rPr lang="es-BO" sz="1100" b="1" baseline="0">
              <a:latin typeface="Arial" pitchFamily="34" charset="0"/>
              <a:cs typeface="Arial" pitchFamily="34" charset="0"/>
            </a:rPr>
            <a:t> </a:t>
          </a:r>
        </a:p>
        <a:p>
          <a:pPr algn="ctr"/>
          <a:r>
            <a:rPr lang="es-BO" sz="1100" b="1" baseline="0">
              <a:latin typeface="Arial" pitchFamily="34" charset="0"/>
              <a:cs typeface="Arial" pitchFamily="34" charset="0"/>
            </a:rPr>
            <a:t>4° BIMESTRE </a:t>
          </a:r>
          <a:r>
            <a:rPr lang="es-BO" sz="1100" b="1">
              <a:latin typeface="Arial" pitchFamily="34" charset="0"/>
              <a:cs typeface="Arial" pitchFamily="34" charset="0"/>
            </a:rPr>
            <a:t> </a:t>
          </a:r>
        </a:p>
      </xdr:txBody>
    </xdr:sp>
    <xdr:clientData/>
  </xdr:twoCellAnchor>
  <xdr:twoCellAnchor>
    <xdr:from>
      <xdr:col>3</xdr:col>
      <xdr:colOff>657224</xdr:colOff>
      <xdr:row>19</xdr:row>
      <xdr:rowOff>9525</xdr:rowOff>
    </xdr:from>
    <xdr:to>
      <xdr:col>5</xdr:col>
      <xdr:colOff>180975</xdr:colOff>
      <xdr:row>21</xdr:row>
      <xdr:rowOff>104775</xdr:rowOff>
    </xdr:to>
    <xdr:sp macro="[0]!REP_APR" textlink="">
      <xdr:nvSpPr>
        <xdr:cNvPr id="14" name="13 Rectángulo">
          <a:extLst>
            <a:ext uri="{FF2B5EF4-FFF2-40B4-BE49-F238E27FC236}">
              <a16:creationId xmlns="" xmlns:a16="http://schemas.microsoft.com/office/drawing/2014/main" id="{00000000-0008-0000-0000-00000E000000}"/>
            </a:ext>
          </a:extLst>
        </xdr:cNvPr>
        <xdr:cNvSpPr/>
      </xdr:nvSpPr>
      <xdr:spPr>
        <a:xfrm>
          <a:off x="2495549" y="3638550"/>
          <a:ext cx="1047751" cy="476250"/>
        </a:xfrm>
        <a:prstGeom prst="rect">
          <a:avLst/>
        </a:prstGeom>
        <a:solidFill>
          <a:srgbClr val="00B05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200" b="1"/>
            <a:t>% REP</a:t>
          </a:r>
          <a:r>
            <a:rPr lang="es-BO" sz="1200" b="1" baseline="0"/>
            <a:t> -APRO</a:t>
          </a:r>
          <a:r>
            <a:rPr lang="es-BO" sz="1200" b="1"/>
            <a:t> </a:t>
          </a:r>
        </a:p>
      </xdr:txBody>
    </xdr:sp>
    <xdr:clientData/>
  </xdr:twoCellAnchor>
  <xdr:twoCellAnchor>
    <xdr:from>
      <xdr:col>5</xdr:col>
      <xdr:colOff>371475</xdr:colOff>
      <xdr:row>19</xdr:row>
      <xdr:rowOff>9525</xdr:rowOff>
    </xdr:from>
    <xdr:to>
      <xdr:col>8</xdr:col>
      <xdr:colOff>142875</xdr:colOff>
      <xdr:row>21</xdr:row>
      <xdr:rowOff>95250</xdr:rowOff>
    </xdr:to>
    <xdr:sp macro="[0]!CEN_POR_AREA" textlink="">
      <xdr:nvSpPr>
        <xdr:cNvPr id="15" name="14 Rectángulo">
          <a:extLst>
            <a:ext uri="{FF2B5EF4-FFF2-40B4-BE49-F238E27FC236}">
              <a16:creationId xmlns="" xmlns:a16="http://schemas.microsoft.com/office/drawing/2014/main" id="{00000000-0008-0000-0000-00000F000000}"/>
            </a:ext>
          </a:extLst>
        </xdr:cNvPr>
        <xdr:cNvSpPr/>
      </xdr:nvSpPr>
      <xdr:spPr>
        <a:xfrm>
          <a:off x="3733800" y="3638550"/>
          <a:ext cx="2057400" cy="466725"/>
        </a:xfrm>
        <a:prstGeom prst="rect">
          <a:avLst/>
        </a:prstGeom>
        <a:solidFill>
          <a:srgbClr val="FFFF0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200" b="1">
              <a:solidFill>
                <a:schemeClr val="tx1"/>
              </a:solidFill>
            </a:rPr>
            <a:t>CENTRALIZADOR POR ÁREA</a:t>
          </a:r>
        </a:p>
      </xdr:txBody>
    </xdr:sp>
    <xdr:clientData/>
  </xdr:twoCellAnchor>
  <xdr:twoCellAnchor>
    <xdr:from>
      <xdr:col>1</xdr:col>
      <xdr:colOff>314324</xdr:colOff>
      <xdr:row>18</xdr:row>
      <xdr:rowOff>180975</xdr:rowOff>
    </xdr:from>
    <xdr:to>
      <xdr:col>3</xdr:col>
      <xdr:colOff>476250</xdr:colOff>
      <xdr:row>21</xdr:row>
      <xdr:rowOff>85725</xdr:rowOff>
    </xdr:to>
    <xdr:sp macro="[0]!CENTRALIZADOR" textlink="">
      <xdr:nvSpPr>
        <xdr:cNvPr id="16" name="15 Rectángulo">
          <a:extLst>
            <a:ext uri="{FF2B5EF4-FFF2-40B4-BE49-F238E27FC236}">
              <a16:creationId xmlns="" xmlns:a16="http://schemas.microsoft.com/office/drawing/2014/main" id="{00000000-0008-0000-0000-000010000000}"/>
            </a:ext>
          </a:extLst>
        </xdr:cNvPr>
        <xdr:cNvSpPr/>
      </xdr:nvSpPr>
      <xdr:spPr>
        <a:xfrm>
          <a:off x="1076324" y="3619500"/>
          <a:ext cx="1238251" cy="476250"/>
        </a:xfrm>
        <a:prstGeom prst="rect">
          <a:avLst/>
        </a:prstGeom>
        <a:solidFill>
          <a:srgbClr val="FF000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100" b="1"/>
            <a:t>CENTRALIZADOR </a:t>
          </a:r>
        </a:p>
      </xdr:txBody>
    </xdr:sp>
    <xdr:clientData/>
  </xdr:twoCellAnchor>
  <xdr:twoCellAnchor>
    <xdr:from>
      <xdr:col>8</xdr:col>
      <xdr:colOff>333374</xdr:colOff>
      <xdr:row>19</xdr:row>
      <xdr:rowOff>9525</xdr:rowOff>
    </xdr:from>
    <xdr:to>
      <xdr:col>9</xdr:col>
      <xdr:colOff>619125</xdr:colOff>
      <xdr:row>21</xdr:row>
      <xdr:rowOff>104775</xdr:rowOff>
    </xdr:to>
    <xdr:sp macro="[0]!BOLETINES" textlink="">
      <xdr:nvSpPr>
        <xdr:cNvPr id="17" name="16 Rectángulo">
          <a:extLst>
            <a:ext uri="{FF2B5EF4-FFF2-40B4-BE49-F238E27FC236}">
              <a16:creationId xmlns="" xmlns:a16="http://schemas.microsoft.com/office/drawing/2014/main" id="{00000000-0008-0000-0000-000011000000}"/>
            </a:ext>
          </a:extLst>
        </xdr:cNvPr>
        <xdr:cNvSpPr/>
      </xdr:nvSpPr>
      <xdr:spPr>
        <a:xfrm>
          <a:off x="5981699" y="3638550"/>
          <a:ext cx="1047751" cy="476250"/>
        </a:xfrm>
        <a:prstGeom prst="rect">
          <a:avLst/>
        </a:prstGeom>
        <a:solidFill>
          <a:srgbClr val="FFFF0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200" b="1">
              <a:solidFill>
                <a:schemeClr val="tx1"/>
              </a:solidFill>
            </a:rPr>
            <a:t>BOLETINES</a:t>
          </a:r>
        </a:p>
      </xdr:txBody>
    </xdr:sp>
    <xdr:clientData/>
  </xdr:twoCellAnchor>
  <xdr:twoCellAnchor editAs="oneCell">
    <xdr:from>
      <xdr:col>8</xdr:col>
      <xdr:colOff>685801</xdr:colOff>
      <xdr:row>2</xdr:row>
      <xdr:rowOff>70361</xdr:rowOff>
    </xdr:from>
    <xdr:to>
      <xdr:col>10</xdr:col>
      <xdr:colOff>133351</xdr:colOff>
      <xdr:row>6</xdr:row>
      <xdr:rowOff>144903</xdr:rowOff>
    </xdr:to>
    <xdr:pic>
      <xdr:nvPicPr>
        <xdr:cNvPr id="20" name="Imagen 38">
          <a:extLst>
            <a:ext uri="{FF2B5EF4-FFF2-40B4-BE49-F238E27FC236}">
              <a16:creationId xmlns="" xmlns:a16="http://schemas.microsoft.com/office/drawing/2014/main" id="{00000000-0008-0000-0000-00001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334126" y="460886"/>
          <a:ext cx="971550" cy="836542"/>
        </a:xfrm>
        <a:prstGeom prst="rect">
          <a:avLst/>
        </a:prstGeom>
        <a:noFill/>
        <a:effectLst>
          <a:outerShdw blurRad="50800" dist="38100" dir="8100000" algn="tr" rotWithShape="0">
            <a:prstClr val="black">
              <a:alpha val="40000"/>
            </a:prst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228601</xdr:colOff>
      <xdr:row>2</xdr:row>
      <xdr:rowOff>79886</xdr:rowOff>
    </xdr:from>
    <xdr:to>
      <xdr:col>8</xdr:col>
      <xdr:colOff>438151</xdr:colOff>
      <xdr:row>6</xdr:row>
      <xdr:rowOff>154428</xdr:rowOff>
    </xdr:to>
    <xdr:pic>
      <xdr:nvPicPr>
        <xdr:cNvPr id="19" name="Imagen 38">
          <a:extLst>
            <a:ext uri="{FF2B5EF4-FFF2-40B4-BE49-F238E27FC236}">
              <a16:creationId xmlns="" xmlns:a16="http://schemas.microsoft.com/office/drawing/2014/main" id="{00000000-0008-0000-0000-00001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14926" y="470411"/>
          <a:ext cx="971550" cy="836542"/>
        </a:xfrm>
        <a:prstGeom prst="rect">
          <a:avLst/>
        </a:prstGeom>
        <a:noFill/>
        <a:effectLst>
          <a:outerShdw blurRad="50800" dist="38100" dir="8100000" algn="tr" rotWithShape="0">
            <a:prstClr val="black">
              <a:alpha val="40000"/>
            </a:prst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419100</xdr:colOff>
      <xdr:row>21</xdr:row>
      <xdr:rowOff>180975</xdr:rowOff>
    </xdr:from>
    <xdr:to>
      <xdr:col>7</xdr:col>
      <xdr:colOff>190500</xdr:colOff>
      <xdr:row>24</xdr:row>
      <xdr:rowOff>76200</xdr:rowOff>
    </xdr:to>
    <xdr:sp macro="[0]!EST_DEST" textlink="">
      <xdr:nvSpPr>
        <xdr:cNvPr id="21" name="14 Rectángulo">
          <a:extLst>
            <a:ext uri="{FF2B5EF4-FFF2-40B4-BE49-F238E27FC236}">
              <a16:creationId xmlns="" xmlns:a16="http://schemas.microsoft.com/office/drawing/2014/main" id="{00000000-0008-0000-0000-00000F000000}"/>
            </a:ext>
          </a:extLst>
        </xdr:cNvPr>
        <xdr:cNvSpPr/>
      </xdr:nvSpPr>
      <xdr:spPr>
        <a:xfrm>
          <a:off x="3019425" y="4191000"/>
          <a:ext cx="2057400" cy="466725"/>
        </a:xfrm>
        <a:prstGeom prst="rect">
          <a:avLst/>
        </a:prstGeom>
        <a:blipFill>
          <a:blip xmlns:r="http://schemas.openxmlformats.org/officeDocument/2006/relationships" r:embed="rId3"/>
          <a:tile tx="0" ty="0" sx="100000" sy="100000" flip="none" algn="tl"/>
        </a:blip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200" b="1">
              <a:solidFill>
                <a:schemeClr val="tx1"/>
              </a:solidFill>
            </a:rPr>
            <a:t>ESTUDIANTES</a:t>
          </a:r>
          <a:r>
            <a:rPr lang="es-BO" sz="1200" b="1" baseline="0">
              <a:solidFill>
                <a:schemeClr val="tx1"/>
              </a:solidFill>
            </a:rPr>
            <a:t> DESTACADOS</a:t>
          </a:r>
          <a:endParaRPr lang="es-BO" sz="1200" b="1">
            <a:solidFill>
              <a:schemeClr val="tx1"/>
            </a:solidFill>
          </a:endParaRPr>
        </a:p>
      </xdr:txBody>
    </xdr:sp>
    <xdr:clientData/>
  </xdr:twoCellAnchor>
  <xdr:twoCellAnchor>
    <xdr:from>
      <xdr:col>1</xdr:col>
      <xdr:colOff>304800</xdr:colOff>
      <xdr:row>15</xdr:row>
      <xdr:rowOff>180975</xdr:rowOff>
    </xdr:from>
    <xdr:to>
      <xdr:col>3</xdr:col>
      <xdr:colOff>561975</xdr:colOff>
      <xdr:row>18</xdr:row>
      <xdr:rowOff>47625</xdr:rowOff>
    </xdr:to>
    <xdr:sp macro="[0]!REGOBS1" textlink="">
      <xdr:nvSpPr>
        <xdr:cNvPr id="2" name="1 Rectángulo"/>
        <xdr:cNvSpPr/>
      </xdr:nvSpPr>
      <xdr:spPr>
        <a:xfrm>
          <a:off x="1066800" y="3048000"/>
          <a:ext cx="1333500" cy="438150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BO" sz="1100" b="1"/>
            <a:t>REG-OBSERVACIÓN</a:t>
          </a:r>
          <a:r>
            <a:rPr lang="es-BO" sz="1100" b="1" baseline="0"/>
            <a:t> 1° BIMESTRE </a:t>
          </a:r>
          <a:endParaRPr lang="es-BO" sz="1100" b="1"/>
        </a:p>
      </xdr:txBody>
    </xdr:sp>
    <xdr:clientData/>
  </xdr:twoCellAnchor>
  <xdr:twoCellAnchor>
    <xdr:from>
      <xdr:col>4</xdr:col>
      <xdr:colOff>9525</xdr:colOff>
      <xdr:row>16</xdr:row>
      <xdr:rowOff>9525</xdr:rowOff>
    </xdr:from>
    <xdr:to>
      <xdr:col>5</xdr:col>
      <xdr:colOff>581025</xdr:colOff>
      <xdr:row>18</xdr:row>
      <xdr:rowOff>66675</xdr:rowOff>
    </xdr:to>
    <xdr:sp macro="[0]!REGOBS2" textlink="">
      <xdr:nvSpPr>
        <xdr:cNvPr id="22" name="21 Rectángulo"/>
        <xdr:cNvSpPr/>
      </xdr:nvSpPr>
      <xdr:spPr>
        <a:xfrm>
          <a:off x="2609850" y="3067050"/>
          <a:ext cx="1333500" cy="438150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BO" sz="1100" b="1"/>
            <a:t>REG-OBSERVACIÓN</a:t>
          </a:r>
          <a:r>
            <a:rPr lang="es-BO" sz="1100" b="1" baseline="0"/>
            <a:t> 2° BIMESTRE </a:t>
          </a:r>
          <a:endParaRPr lang="es-BO" sz="1100" b="1"/>
        </a:p>
      </xdr:txBody>
    </xdr:sp>
    <xdr:clientData/>
  </xdr:twoCellAnchor>
  <xdr:twoCellAnchor>
    <xdr:from>
      <xdr:col>6</xdr:col>
      <xdr:colOff>9525</xdr:colOff>
      <xdr:row>16</xdr:row>
      <xdr:rowOff>9525</xdr:rowOff>
    </xdr:from>
    <xdr:to>
      <xdr:col>7</xdr:col>
      <xdr:colOff>581025</xdr:colOff>
      <xdr:row>18</xdr:row>
      <xdr:rowOff>66675</xdr:rowOff>
    </xdr:to>
    <xdr:sp macro="[0]!REGOBS3" textlink="">
      <xdr:nvSpPr>
        <xdr:cNvPr id="23" name="22 Rectángulo"/>
        <xdr:cNvSpPr/>
      </xdr:nvSpPr>
      <xdr:spPr>
        <a:xfrm>
          <a:off x="4133850" y="3067050"/>
          <a:ext cx="1333500" cy="438150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BO" sz="1100" b="1"/>
            <a:t>REG-OBSERVACIÓN</a:t>
          </a:r>
          <a:r>
            <a:rPr lang="es-BO" sz="1100" b="1" baseline="0"/>
            <a:t> 3° BIMESTRE </a:t>
          </a:r>
          <a:endParaRPr lang="es-BO" sz="1100" b="1"/>
        </a:p>
      </xdr:txBody>
    </xdr:sp>
    <xdr:clientData/>
  </xdr:twoCellAnchor>
  <xdr:twoCellAnchor>
    <xdr:from>
      <xdr:col>8</xdr:col>
      <xdr:colOff>57150</xdr:colOff>
      <xdr:row>16</xdr:row>
      <xdr:rowOff>28575</xdr:rowOff>
    </xdr:from>
    <xdr:to>
      <xdr:col>9</xdr:col>
      <xdr:colOff>628650</xdr:colOff>
      <xdr:row>18</xdr:row>
      <xdr:rowOff>85725</xdr:rowOff>
    </xdr:to>
    <xdr:sp macro="[0]!REGOBS4" textlink="">
      <xdr:nvSpPr>
        <xdr:cNvPr id="24" name="23 Rectángulo"/>
        <xdr:cNvSpPr/>
      </xdr:nvSpPr>
      <xdr:spPr>
        <a:xfrm>
          <a:off x="5705475" y="3086100"/>
          <a:ext cx="1333500" cy="438150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BO" sz="1100" b="1"/>
            <a:t>REG-OBSERVACIÓN</a:t>
          </a:r>
          <a:r>
            <a:rPr lang="es-BO" sz="1100" b="1" baseline="0"/>
            <a:t> 4° BIMESTRE </a:t>
          </a:r>
          <a:endParaRPr lang="es-BO" sz="11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917145</xdr:colOff>
      <xdr:row>4</xdr:row>
      <xdr:rowOff>19050</xdr:rowOff>
    </xdr:from>
    <xdr:to>
      <xdr:col>7</xdr:col>
      <xdr:colOff>40278</xdr:colOff>
      <xdr:row>9</xdr:row>
      <xdr:rowOff>133045</xdr:rowOff>
    </xdr:to>
    <xdr:pic>
      <xdr:nvPicPr>
        <xdr:cNvPr id="2" name="Picture 27" descr="D:\Mis Documentos\Logotipos MINEDU   V.E.R\minedu_negro.png">
          <a:extLst>
            <a:ext uri="{FF2B5EF4-FFF2-40B4-BE49-F238E27FC236}">
              <a16:creationId xmlns="" xmlns:a16="http://schemas.microsoft.com/office/drawing/2014/main" id="{00000000-0008-0000-01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91833" y="669925"/>
          <a:ext cx="3203008" cy="106649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</xdr:col>
      <xdr:colOff>15875</xdr:colOff>
      <xdr:row>3</xdr:row>
      <xdr:rowOff>104775</xdr:rowOff>
    </xdr:from>
    <xdr:to>
      <xdr:col>3</xdr:col>
      <xdr:colOff>730249</xdr:colOff>
      <xdr:row>7</xdr:row>
      <xdr:rowOff>190311</xdr:rowOff>
    </xdr:to>
    <xdr:pic>
      <xdr:nvPicPr>
        <xdr:cNvPr id="3" name="2 Imagen" descr="images_011.jpg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ackgroundRemoval t="3415" b="98049" l="2846" r="98374">
                      <a14:foregroundMark x1="32927" y1="10244" x2="46748" y2="16585"/>
                      <a14:foregroundMark x1="39024" y1="8780" x2="41463" y2="4878"/>
                      <a14:foregroundMark x1="59350" y1="7317" x2="59350" y2="7317"/>
                      <a14:foregroundMark x1="61382" y1="6341" x2="61382" y2="6341"/>
                      <a14:foregroundMark x1="62602" y1="6829" x2="62602" y2="6829"/>
                      <a14:foregroundMark x1="21545" y1="25854" x2="17073" y2="18049"/>
                      <a14:foregroundMark x1="14228" y1="29756" x2="11789" y2="26341"/>
                      <a14:foregroundMark x1="10569" y1="38049" x2="5285" y2="32683"/>
                      <a14:foregroundMark x1="5691" y1="32683" x2="5691" y2="32683"/>
                      <a14:foregroundMark x1="65041" y1="30732" x2="65041" y2="30732"/>
                      <a14:foregroundMark x1="68699" y1="30732" x2="68699" y2="30732"/>
                      <a14:foregroundMark x1="67480" y1="24390" x2="67480" y2="24390"/>
                      <a14:foregroundMark x1="51220" y1="91220" x2="51220" y2="91220"/>
                      <a14:foregroundMark x1="50407" y1="87805" x2="50407" y2="87805"/>
                      <a14:foregroundMark x1="46748" y1="93659" x2="46748" y2="93659"/>
                      <a14:foregroundMark x1="51220" y1="93659" x2="51220" y2="93659"/>
                      <a14:foregroundMark x1="47967" y1="22439" x2="47967" y2="22439"/>
                      <a14:foregroundMark x1="47967" y1="19512" x2="47967" y2="19512"/>
                      <a14:foregroundMark x1="31301" y1="24390" x2="31301" y2="24390"/>
                      <a14:foregroundMark x1="28049" y1="20488" x2="28049" y2="20488"/>
                      <a14:foregroundMark x1="81301" y1="21951" x2="81301" y2="21951"/>
                      <a14:foregroundMark x1="82114" y1="19024" x2="82114" y2="19024"/>
                      <a14:foregroundMark x1="84959" y1="30244" x2="84959" y2="30244"/>
                      <a14:foregroundMark x1="83333" y1="35122" x2="84146" y2="37073"/>
                      <a14:foregroundMark x1="84146" y1="40976" x2="84146" y2="40976"/>
                      <a14:foregroundMark x1="92276" y1="38537" x2="92276" y2="38537"/>
                      <a14:foregroundMark x1="88618" y1="39024" x2="95122" y2="33171"/>
                    </a14:backgroundRemoval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293688" y="565150"/>
          <a:ext cx="1111249" cy="1020718"/>
        </a:xfrm>
        <a:prstGeom prst="rect">
          <a:avLst/>
        </a:prstGeom>
      </xdr:spPr>
    </xdr:pic>
    <xdr:clientData/>
  </xdr:twoCellAnchor>
  <xdr:twoCellAnchor editAs="oneCell">
    <xdr:from>
      <xdr:col>7</xdr:col>
      <xdr:colOff>312744</xdr:colOff>
      <xdr:row>4</xdr:row>
      <xdr:rowOff>102337</xdr:rowOff>
    </xdr:from>
    <xdr:to>
      <xdr:col>8</xdr:col>
      <xdr:colOff>207969</xdr:colOff>
      <xdr:row>8</xdr:row>
      <xdr:rowOff>152274</xdr:rowOff>
    </xdr:to>
    <xdr:pic>
      <xdr:nvPicPr>
        <xdr:cNvPr id="4" name="Imagen 38">
          <a:extLst>
            <a:ext uri="{FF2B5EF4-FFF2-40B4-BE49-F238E27FC236}">
              <a16:creationId xmlns="" xmlns:a16="http://schemas.microsoft.com/office/drawing/2014/main" id="{00000000-0008-0000-01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067307" y="753212"/>
          <a:ext cx="942975" cy="811937"/>
        </a:xfrm>
        <a:prstGeom prst="rect">
          <a:avLst/>
        </a:prstGeom>
        <a:noFill/>
        <a:effectLst>
          <a:outerShdw blurRad="50800" dist="38100" dir="8100000" algn="tr" rotWithShape="0">
            <a:prstClr val="black">
              <a:alpha val="40000"/>
            </a:prst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104775</xdr:colOff>
      <xdr:row>2</xdr:row>
      <xdr:rowOff>4762</xdr:rowOff>
    </xdr:from>
    <xdr:to>
      <xdr:col>12</xdr:col>
      <xdr:colOff>416719</xdr:colOff>
      <xdr:row>5</xdr:row>
      <xdr:rowOff>90487</xdr:rowOff>
    </xdr:to>
    <xdr:sp macro="[0]!MENU" textlink="">
      <xdr:nvSpPr>
        <xdr:cNvPr id="5" name="4 Rectángulo">
          <a:extLst>
            <a:ext uri="{FF2B5EF4-FFF2-40B4-BE49-F238E27FC236}">
              <a16:creationId xmlns="" xmlns:a16="http://schemas.microsoft.com/office/drawing/2014/main" id="{00000000-0008-0000-0100-000005000000}"/>
            </a:ext>
          </a:extLst>
        </xdr:cNvPr>
        <xdr:cNvSpPr/>
      </xdr:nvSpPr>
      <xdr:spPr>
        <a:xfrm>
          <a:off x="6272213" y="385762"/>
          <a:ext cx="1371600" cy="538163"/>
        </a:xfrm>
        <a:prstGeom prst="rect">
          <a:avLst/>
        </a:prstGeom>
        <a:solidFill>
          <a:schemeClr val="bg2">
            <a:lumMod val="9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800" b="1">
              <a:solidFill>
                <a:schemeClr val="tx1"/>
              </a:solidFill>
            </a:rPr>
            <a:t>MENÚ</a:t>
          </a:r>
        </a:p>
      </xdr:txBody>
    </xdr:sp>
    <xdr:clientData/>
  </xdr:twoCellAnchor>
  <xdr:twoCellAnchor>
    <xdr:from>
      <xdr:col>10</xdr:col>
      <xdr:colOff>121443</xdr:colOff>
      <xdr:row>6</xdr:row>
      <xdr:rowOff>2381</xdr:rowOff>
    </xdr:from>
    <xdr:to>
      <xdr:col>12</xdr:col>
      <xdr:colOff>461962</xdr:colOff>
      <xdr:row>9</xdr:row>
      <xdr:rowOff>183356</xdr:rowOff>
    </xdr:to>
    <xdr:sp macro="[0]!C_FILIACION" textlink="">
      <xdr:nvSpPr>
        <xdr:cNvPr id="6" name="5 Flecha derecha">
          <a:extLst>
            <a:ext uri="{FF2B5EF4-FFF2-40B4-BE49-F238E27FC236}">
              <a16:creationId xmlns="" xmlns:a16="http://schemas.microsoft.com/office/drawing/2014/main" id="{00000000-0008-0000-0100-000006000000}"/>
            </a:ext>
          </a:extLst>
        </xdr:cNvPr>
        <xdr:cNvSpPr/>
      </xdr:nvSpPr>
      <xdr:spPr>
        <a:xfrm>
          <a:off x="6288881" y="1026319"/>
          <a:ext cx="1400175" cy="752475"/>
        </a:xfrm>
        <a:prstGeom prst="rightArrow">
          <a:avLst/>
        </a:prstGeom>
        <a:solidFill>
          <a:srgbClr val="0070C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BO" sz="1100"/>
        </a:p>
      </xdr:txBody>
    </xdr:sp>
    <xdr:clientData/>
  </xdr:twoCellAnchor>
  <xdr:twoCellAnchor>
    <xdr:from>
      <xdr:col>10</xdr:col>
      <xdr:colOff>107156</xdr:colOff>
      <xdr:row>9</xdr:row>
      <xdr:rowOff>133350</xdr:rowOff>
    </xdr:from>
    <xdr:to>
      <xdr:col>12</xdr:col>
      <xdr:colOff>466726</xdr:colOff>
      <xdr:row>13</xdr:row>
      <xdr:rowOff>9525</xdr:rowOff>
    </xdr:to>
    <xdr:sp macro="[0]!MENU" textlink="">
      <xdr:nvSpPr>
        <xdr:cNvPr id="7" name="6 Flecha izquierda">
          <a:extLst>
            <a:ext uri="{FF2B5EF4-FFF2-40B4-BE49-F238E27FC236}">
              <a16:creationId xmlns="" xmlns:a16="http://schemas.microsoft.com/office/drawing/2014/main" id="{00000000-0008-0000-0100-000007000000}"/>
            </a:ext>
          </a:extLst>
        </xdr:cNvPr>
        <xdr:cNvSpPr/>
      </xdr:nvSpPr>
      <xdr:spPr>
        <a:xfrm>
          <a:off x="6274594" y="1728788"/>
          <a:ext cx="1419226" cy="781050"/>
        </a:xfrm>
        <a:prstGeom prst="leftArrow">
          <a:avLst/>
        </a:prstGeom>
        <a:solidFill>
          <a:srgbClr val="FF000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BO" sz="1100"/>
        </a:p>
      </xdr:txBody>
    </xdr:sp>
    <xdr:clientData/>
  </xdr:twoCellAnchor>
  <xdr:twoCellAnchor>
    <xdr:from>
      <xdr:col>13</xdr:col>
      <xdr:colOff>17321</xdr:colOff>
      <xdr:row>1</xdr:row>
      <xdr:rowOff>155861</xdr:rowOff>
    </xdr:from>
    <xdr:to>
      <xdr:col>18</xdr:col>
      <xdr:colOff>398321</xdr:colOff>
      <xdr:row>6</xdr:row>
      <xdr:rowOff>181841</xdr:rowOff>
    </xdr:to>
    <xdr:sp macro="" textlink="">
      <xdr:nvSpPr>
        <xdr:cNvPr id="8" name="7 CuadroTexto"/>
        <xdr:cNvSpPr txBox="1"/>
      </xdr:nvSpPr>
      <xdr:spPr>
        <a:xfrm>
          <a:off x="8503230" y="346361"/>
          <a:ext cx="3247159" cy="103909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BO" sz="1400" b="1">
              <a:solidFill>
                <a:srgbClr val="FFC000"/>
              </a:solidFill>
              <a:effectLst/>
              <a:latin typeface="Arial" pitchFamily="34" charset="0"/>
              <a:ea typeface="+mn-ea"/>
              <a:cs typeface="Arial" pitchFamily="34" charset="0"/>
            </a:rPr>
            <a:t>PROGRAMACIÓN DE FECHAS DE INICIO Y  FINAL DE BIMESTRE </a:t>
          </a:r>
        </a:p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s-BO" sz="1200" b="1">
            <a:solidFill>
              <a:schemeClr val="dk1"/>
            </a:solidFill>
            <a:effectLst/>
            <a:latin typeface="Arial" pitchFamily="34" charset="0"/>
            <a:ea typeface="+mn-ea"/>
            <a:cs typeface="Arial" pitchFamily="34" charset="0"/>
          </a:endParaRPr>
        </a:p>
        <a:p>
          <a:pPr algn="ctr"/>
          <a:r>
            <a:rPr lang="es-BO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1ER BIMESTRE </a:t>
          </a:r>
        </a:p>
        <a:p>
          <a:pPr algn="ctr"/>
          <a:r>
            <a:rPr lang="es-BO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INICIO                   FINAL </a:t>
          </a:r>
        </a:p>
      </xdr:txBody>
    </xdr:sp>
    <xdr:clientData/>
  </xdr:twoCellAnchor>
  <xdr:twoCellAnchor>
    <xdr:from>
      <xdr:col>13</xdr:col>
      <xdr:colOff>5196</xdr:colOff>
      <xdr:row>10</xdr:row>
      <xdr:rowOff>25975</xdr:rowOff>
    </xdr:from>
    <xdr:to>
      <xdr:col>18</xdr:col>
      <xdr:colOff>386196</xdr:colOff>
      <xdr:row>12</xdr:row>
      <xdr:rowOff>13854</xdr:rowOff>
    </xdr:to>
    <xdr:sp macro="" textlink="">
      <xdr:nvSpPr>
        <xdr:cNvPr id="17" name="16 CuadroTexto"/>
        <xdr:cNvSpPr txBox="1"/>
      </xdr:nvSpPr>
      <xdr:spPr>
        <a:xfrm>
          <a:off x="8491105" y="1991589"/>
          <a:ext cx="3247159" cy="51608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BO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2DO BIMESTRE </a:t>
          </a:r>
        </a:p>
        <a:p>
          <a:pPr algn="ctr"/>
          <a:r>
            <a:rPr lang="es-BO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INICIO                   FINAL </a:t>
          </a:r>
        </a:p>
      </xdr:txBody>
    </xdr:sp>
    <xdr:clientData/>
  </xdr:twoCellAnchor>
  <xdr:twoCellAnchor>
    <xdr:from>
      <xdr:col>13</xdr:col>
      <xdr:colOff>45025</xdr:colOff>
      <xdr:row>15</xdr:row>
      <xdr:rowOff>91785</xdr:rowOff>
    </xdr:from>
    <xdr:to>
      <xdr:col>18</xdr:col>
      <xdr:colOff>426025</xdr:colOff>
      <xdr:row>18</xdr:row>
      <xdr:rowOff>10391</xdr:rowOff>
    </xdr:to>
    <xdr:sp macro="" textlink="">
      <xdr:nvSpPr>
        <xdr:cNvPr id="18" name="17 CuadroTexto"/>
        <xdr:cNvSpPr txBox="1"/>
      </xdr:nvSpPr>
      <xdr:spPr>
        <a:xfrm>
          <a:off x="8530934" y="3157103"/>
          <a:ext cx="3247159" cy="51608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BO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3ER BIMESTRE </a:t>
          </a:r>
        </a:p>
        <a:p>
          <a:pPr algn="ctr"/>
          <a:r>
            <a:rPr lang="es-BO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INICIO                   FINAL</a:t>
          </a:r>
          <a:r>
            <a:rPr lang="es-BO" sz="1200" b="1">
              <a:latin typeface="Arial" pitchFamily="34" charset="0"/>
              <a:cs typeface="Arial" pitchFamily="34" charset="0"/>
            </a:rPr>
            <a:t> </a:t>
          </a:r>
        </a:p>
      </xdr:txBody>
    </xdr:sp>
    <xdr:clientData/>
  </xdr:twoCellAnchor>
  <xdr:twoCellAnchor>
    <xdr:from>
      <xdr:col>13</xdr:col>
      <xdr:colOff>15585</xdr:colOff>
      <xdr:row>20</xdr:row>
      <xdr:rowOff>192233</xdr:rowOff>
    </xdr:from>
    <xdr:to>
      <xdr:col>18</xdr:col>
      <xdr:colOff>396585</xdr:colOff>
      <xdr:row>23</xdr:row>
      <xdr:rowOff>110839</xdr:rowOff>
    </xdr:to>
    <xdr:sp macro="" textlink="">
      <xdr:nvSpPr>
        <xdr:cNvPr id="19" name="18 CuadroTexto"/>
        <xdr:cNvSpPr txBox="1"/>
      </xdr:nvSpPr>
      <xdr:spPr>
        <a:xfrm>
          <a:off x="8501494" y="4253347"/>
          <a:ext cx="3247159" cy="51608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BO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4TO BIMESTRE </a:t>
          </a:r>
        </a:p>
        <a:p>
          <a:pPr algn="ctr"/>
          <a:r>
            <a:rPr lang="es-BO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INICIO                   FINAL 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330487</xdr:colOff>
      <xdr:row>6</xdr:row>
      <xdr:rowOff>28575</xdr:rowOff>
    </xdr:from>
    <xdr:to>
      <xdr:col>13</xdr:col>
      <xdr:colOff>1114422</xdr:colOff>
      <xdr:row>10</xdr:row>
      <xdr:rowOff>152399</xdr:rowOff>
    </xdr:to>
    <xdr:pic>
      <xdr:nvPicPr>
        <xdr:cNvPr id="2" name="1 Imagen" descr="Resultado de imagen para FEMENINO Y MASCULINO">
          <a:extLst>
            <a:ext uri="{FF2B5EF4-FFF2-40B4-BE49-F238E27FC236}">
              <a16:creationId xmlns="" xmlns:a16="http://schemas.microsoft.com/office/drawing/2014/main" id="{00000000-0008-0000-0200-000002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 bwMode="auto">
        <a:xfrm>
          <a:off x="11836687" y="1047750"/>
          <a:ext cx="783935" cy="92392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374796</xdr:colOff>
      <xdr:row>6</xdr:row>
      <xdr:rowOff>9525</xdr:rowOff>
    </xdr:from>
    <xdr:to>
      <xdr:col>14</xdr:col>
      <xdr:colOff>1132034</xdr:colOff>
      <xdr:row>10</xdr:row>
      <xdr:rowOff>152400</xdr:rowOff>
    </xdr:to>
    <xdr:pic>
      <xdr:nvPicPr>
        <xdr:cNvPr id="3" name="2 Imagen" descr="Resultado de imagen para FEMENINO Y MASCULINO">
          <a:extLst>
            <a:ext uri="{FF2B5EF4-FFF2-40B4-BE49-F238E27FC236}">
              <a16:creationId xmlns="" xmlns:a16="http://schemas.microsoft.com/office/drawing/2014/main" id="{00000000-0008-0000-0200-000003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 bwMode="auto">
        <a:xfrm>
          <a:off x="13309746" y="1028700"/>
          <a:ext cx="757238" cy="942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18</xdr:col>
      <xdr:colOff>202827</xdr:colOff>
      <xdr:row>0</xdr:row>
      <xdr:rowOff>142315</xdr:rowOff>
    </xdr:from>
    <xdr:to>
      <xdr:col>20</xdr:col>
      <xdr:colOff>50427</xdr:colOff>
      <xdr:row>4</xdr:row>
      <xdr:rowOff>69476</xdr:rowOff>
    </xdr:to>
    <xdr:sp macro="[0]!MENU" textlink="">
      <xdr:nvSpPr>
        <xdr:cNvPr id="4" name="3 Rectángulo">
          <a:extLst>
            <a:ext uri="{FF2B5EF4-FFF2-40B4-BE49-F238E27FC236}">
              <a16:creationId xmlns="" xmlns:a16="http://schemas.microsoft.com/office/drawing/2014/main" id="{00000000-0008-0000-0200-000004000000}"/>
            </a:ext>
          </a:extLst>
        </xdr:cNvPr>
        <xdr:cNvSpPr/>
      </xdr:nvSpPr>
      <xdr:spPr>
        <a:xfrm>
          <a:off x="17426268" y="142315"/>
          <a:ext cx="1371600" cy="543485"/>
        </a:xfrm>
        <a:prstGeom prst="rect">
          <a:avLst/>
        </a:prstGeom>
        <a:solidFill>
          <a:schemeClr val="bg2">
            <a:lumMod val="9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800" b="1">
              <a:solidFill>
                <a:schemeClr val="tx1"/>
              </a:solidFill>
            </a:rPr>
            <a:t>MENÚ</a:t>
          </a:r>
        </a:p>
      </xdr:txBody>
    </xdr:sp>
    <xdr:clientData/>
  </xdr:twoCellAnchor>
  <xdr:twoCellAnchor>
    <xdr:from>
      <xdr:col>18</xdr:col>
      <xdr:colOff>228600</xdr:colOff>
      <xdr:row>4</xdr:row>
      <xdr:rowOff>138392</xdr:rowOff>
    </xdr:from>
    <xdr:to>
      <xdr:col>20</xdr:col>
      <xdr:colOff>104775</xdr:colOff>
      <xdr:row>8</xdr:row>
      <xdr:rowOff>97491</xdr:rowOff>
    </xdr:to>
    <xdr:sp macro="[0]!CODIGOYFOTOGRAFIA" textlink="">
      <xdr:nvSpPr>
        <xdr:cNvPr id="5" name="4 Flecha derecha">
          <a:extLst>
            <a:ext uri="{FF2B5EF4-FFF2-40B4-BE49-F238E27FC236}">
              <a16:creationId xmlns="" xmlns:a16="http://schemas.microsoft.com/office/drawing/2014/main" id="{00000000-0008-0000-0200-000005000000}"/>
            </a:ext>
          </a:extLst>
        </xdr:cNvPr>
        <xdr:cNvSpPr/>
      </xdr:nvSpPr>
      <xdr:spPr>
        <a:xfrm>
          <a:off x="17452041" y="754716"/>
          <a:ext cx="1400175" cy="765922"/>
        </a:xfrm>
        <a:prstGeom prst="rightArrow">
          <a:avLst/>
        </a:prstGeom>
        <a:solidFill>
          <a:srgbClr val="0070C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BO" sz="1100"/>
        </a:p>
      </xdr:txBody>
    </xdr:sp>
    <xdr:clientData/>
  </xdr:twoCellAnchor>
  <xdr:twoCellAnchor>
    <xdr:from>
      <xdr:col>18</xdr:col>
      <xdr:colOff>200026</xdr:colOff>
      <xdr:row>7</xdr:row>
      <xdr:rowOff>198344</xdr:rowOff>
    </xdr:from>
    <xdr:to>
      <xdr:col>20</xdr:col>
      <xdr:colOff>95252</xdr:colOff>
      <xdr:row>12</xdr:row>
      <xdr:rowOff>129428</xdr:rowOff>
    </xdr:to>
    <xdr:sp macro="[0]!CARATULA" textlink="">
      <xdr:nvSpPr>
        <xdr:cNvPr id="6" name="5 Flecha izquierda">
          <a:extLst>
            <a:ext uri="{FF2B5EF4-FFF2-40B4-BE49-F238E27FC236}">
              <a16:creationId xmlns="" xmlns:a16="http://schemas.microsoft.com/office/drawing/2014/main" id="{00000000-0008-0000-0200-000006000000}"/>
            </a:ext>
          </a:extLst>
        </xdr:cNvPr>
        <xdr:cNvSpPr/>
      </xdr:nvSpPr>
      <xdr:spPr>
        <a:xfrm>
          <a:off x="17423467" y="1419785"/>
          <a:ext cx="1419226" cy="782731"/>
        </a:xfrm>
        <a:prstGeom prst="leftArrow">
          <a:avLst/>
        </a:prstGeom>
        <a:solidFill>
          <a:srgbClr val="FF000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BO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64345</xdr:colOff>
      <xdr:row>2</xdr:row>
      <xdr:rowOff>184489</xdr:rowOff>
    </xdr:from>
    <xdr:to>
      <xdr:col>3</xdr:col>
      <xdr:colOff>2036845</xdr:colOff>
      <xdr:row>2</xdr:row>
      <xdr:rowOff>1708489</xdr:rowOff>
    </xdr:to>
    <xdr:pic>
      <xdr:nvPicPr>
        <xdr:cNvPr id="2" name="Imagen 1">
          <a:extLst>
            <a:ext uri="{FF2B5EF4-FFF2-40B4-BE49-F238E27FC236}">
              <a16:creationId xmlns=""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36170" y="565489"/>
          <a:ext cx="1972500" cy="1524000"/>
        </a:xfrm>
        <a:prstGeom prst="rect">
          <a:avLst/>
        </a:prstGeom>
      </xdr:spPr>
    </xdr:pic>
    <xdr:clientData/>
  </xdr:twoCellAnchor>
  <xdr:twoCellAnchor editAs="oneCell">
    <xdr:from>
      <xdr:col>3</xdr:col>
      <xdr:colOff>352425</xdr:colOff>
      <xdr:row>3</xdr:row>
      <xdr:rowOff>59948</xdr:rowOff>
    </xdr:from>
    <xdr:to>
      <xdr:col>3</xdr:col>
      <xdr:colOff>1835268</xdr:colOff>
      <xdr:row>3</xdr:row>
      <xdr:rowOff>1904999</xdr:rowOff>
    </xdr:to>
    <xdr:pic>
      <xdr:nvPicPr>
        <xdr:cNvPr id="3" name="2 Imagen" descr="C:\Program Files\Microsoft Office\MEDIA\CAGCAT10\j0090070.wmf">
          <a:extLst>
            <a:ext uri="{FF2B5EF4-FFF2-40B4-BE49-F238E27FC236}">
              <a16:creationId xmlns="" xmlns:a16="http://schemas.microsoft.com/office/drawing/2014/main" id="{00000000-0008-0000-03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24250" y="2345948"/>
          <a:ext cx="1482843" cy="184505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198069</xdr:colOff>
      <xdr:row>5</xdr:row>
      <xdr:rowOff>171450</xdr:rowOff>
    </xdr:from>
    <xdr:to>
      <xdr:col>3</xdr:col>
      <xdr:colOff>1926358</xdr:colOff>
      <xdr:row>6</xdr:row>
      <xdr:rowOff>28575</xdr:rowOff>
    </xdr:to>
    <xdr:pic>
      <xdr:nvPicPr>
        <xdr:cNvPr id="4" name="3 Imagen" descr="C:\Program Files\Microsoft Office\MEDIA\CAGCAT10\j0149481.wmf">
          <a:extLst>
            <a:ext uri="{FF2B5EF4-FFF2-40B4-BE49-F238E27FC236}">
              <a16:creationId xmlns="" xmlns:a16="http://schemas.microsoft.com/office/drawing/2014/main" id="{00000000-0008-0000-03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69894" y="6267450"/>
          <a:ext cx="1728289" cy="17621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228600</xdr:colOff>
      <xdr:row>2</xdr:row>
      <xdr:rowOff>0</xdr:rowOff>
    </xdr:from>
    <xdr:to>
      <xdr:col>6</xdr:col>
      <xdr:colOff>0</xdr:colOff>
      <xdr:row>2</xdr:row>
      <xdr:rowOff>542925</xdr:rowOff>
    </xdr:to>
    <xdr:sp macro="[0]!MENU" textlink="">
      <xdr:nvSpPr>
        <xdr:cNvPr id="5" name="4 Rectángulo">
          <a:extLst>
            <a:ext uri="{FF2B5EF4-FFF2-40B4-BE49-F238E27FC236}">
              <a16:creationId xmlns="" xmlns:a16="http://schemas.microsoft.com/office/drawing/2014/main" id="{00000000-0008-0000-0300-000005000000}"/>
            </a:ext>
          </a:extLst>
        </xdr:cNvPr>
        <xdr:cNvSpPr/>
      </xdr:nvSpPr>
      <xdr:spPr>
        <a:xfrm>
          <a:off x="5943600" y="381000"/>
          <a:ext cx="1371600" cy="542925"/>
        </a:xfrm>
        <a:prstGeom prst="rect">
          <a:avLst/>
        </a:prstGeom>
        <a:solidFill>
          <a:schemeClr val="bg2">
            <a:lumMod val="9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800" b="1">
              <a:solidFill>
                <a:schemeClr val="tx1"/>
              </a:solidFill>
            </a:rPr>
            <a:t>MENÚ</a:t>
          </a:r>
        </a:p>
      </xdr:txBody>
    </xdr:sp>
    <xdr:clientData/>
  </xdr:twoCellAnchor>
  <xdr:twoCellAnchor>
    <xdr:from>
      <xdr:col>4</xdr:col>
      <xdr:colOff>257175</xdr:colOff>
      <xdr:row>2</xdr:row>
      <xdr:rowOff>704850</xdr:rowOff>
    </xdr:from>
    <xdr:to>
      <xdr:col>6</xdr:col>
      <xdr:colOff>57150</xdr:colOff>
      <xdr:row>2</xdr:row>
      <xdr:rowOff>1457325</xdr:rowOff>
    </xdr:to>
    <xdr:sp macro="[0]!ASIS_1B" textlink="">
      <xdr:nvSpPr>
        <xdr:cNvPr id="6" name="5 Flecha derecha">
          <a:extLst>
            <a:ext uri="{FF2B5EF4-FFF2-40B4-BE49-F238E27FC236}">
              <a16:creationId xmlns="" xmlns:a16="http://schemas.microsoft.com/office/drawing/2014/main" id="{00000000-0008-0000-0300-000006000000}"/>
            </a:ext>
          </a:extLst>
        </xdr:cNvPr>
        <xdr:cNvSpPr/>
      </xdr:nvSpPr>
      <xdr:spPr>
        <a:xfrm>
          <a:off x="5972175" y="1085850"/>
          <a:ext cx="1400175" cy="752475"/>
        </a:xfrm>
        <a:prstGeom prst="rightArrow">
          <a:avLst/>
        </a:prstGeom>
        <a:solidFill>
          <a:srgbClr val="0070C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BO" sz="1100"/>
        </a:p>
      </xdr:txBody>
    </xdr:sp>
    <xdr:clientData/>
  </xdr:twoCellAnchor>
  <xdr:twoCellAnchor>
    <xdr:from>
      <xdr:col>4</xdr:col>
      <xdr:colOff>219075</xdr:colOff>
      <xdr:row>2</xdr:row>
      <xdr:rowOff>1466850</xdr:rowOff>
    </xdr:from>
    <xdr:to>
      <xdr:col>6</xdr:col>
      <xdr:colOff>38101</xdr:colOff>
      <xdr:row>3</xdr:row>
      <xdr:rowOff>342900</xdr:rowOff>
    </xdr:to>
    <xdr:sp macro="[0]!C_FILIACION" textlink="">
      <xdr:nvSpPr>
        <xdr:cNvPr id="7" name="6 Flecha izquierda">
          <a:extLst>
            <a:ext uri="{FF2B5EF4-FFF2-40B4-BE49-F238E27FC236}">
              <a16:creationId xmlns="" xmlns:a16="http://schemas.microsoft.com/office/drawing/2014/main" id="{00000000-0008-0000-0300-000007000000}"/>
            </a:ext>
          </a:extLst>
        </xdr:cNvPr>
        <xdr:cNvSpPr/>
      </xdr:nvSpPr>
      <xdr:spPr>
        <a:xfrm>
          <a:off x="5934075" y="1847850"/>
          <a:ext cx="1419226" cy="781050"/>
        </a:xfrm>
        <a:prstGeom prst="leftArrow">
          <a:avLst/>
        </a:prstGeom>
        <a:solidFill>
          <a:srgbClr val="FF000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BO" sz="1100"/>
        </a:p>
      </xdr:txBody>
    </xdr:sp>
    <xdr:clientData/>
  </xdr:twoCellAnchor>
  <xdr:twoCellAnchor editAs="oneCell">
    <xdr:from>
      <xdr:col>3</xdr:col>
      <xdr:colOff>171450</xdr:colOff>
      <xdr:row>6</xdr:row>
      <xdr:rowOff>161925</xdr:rowOff>
    </xdr:from>
    <xdr:to>
      <xdr:col>3</xdr:col>
      <xdr:colOff>1971450</xdr:colOff>
      <xdr:row>6</xdr:row>
      <xdr:rowOff>1511925</xdr:rowOff>
    </xdr:to>
    <xdr:pic>
      <xdr:nvPicPr>
        <xdr:cNvPr id="14" name="Imagen 13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343275" y="8162925"/>
          <a:ext cx="1800000" cy="1350000"/>
        </a:xfrm>
        <a:prstGeom prst="rect">
          <a:avLst/>
        </a:prstGeom>
      </xdr:spPr>
    </xdr:pic>
    <xdr:clientData/>
  </xdr:twoCellAnchor>
  <xdr:twoCellAnchor editAs="oneCell">
    <xdr:from>
      <xdr:col>3</xdr:col>
      <xdr:colOff>419100</xdr:colOff>
      <xdr:row>4</xdr:row>
      <xdr:rowOff>177749</xdr:rowOff>
    </xdr:from>
    <xdr:to>
      <xdr:col>3</xdr:col>
      <xdr:colOff>1615230</xdr:colOff>
      <xdr:row>4</xdr:row>
      <xdr:rowOff>1866900</xdr:rowOff>
    </xdr:to>
    <xdr:pic>
      <xdr:nvPicPr>
        <xdr:cNvPr id="9" name="8 Imagen"/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90925" y="4368749"/>
          <a:ext cx="1196130" cy="1689151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43</xdr:col>
      <xdr:colOff>136812</xdr:colOff>
      <xdr:row>4</xdr:row>
      <xdr:rowOff>38100</xdr:rowOff>
    </xdr:from>
    <xdr:to>
      <xdr:col>49</xdr:col>
      <xdr:colOff>90053</xdr:colOff>
      <xdr:row>5</xdr:row>
      <xdr:rowOff>162075</xdr:rowOff>
    </xdr:to>
    <xdr:sp macro="[0]!MENU" textlink="">
      <xdr:nvSpPr>
        <xdr:cNvPr id="2" name="1 Rectángulo">
          <a:extLst>
            <a:ext uri="{FF2B5EF4-FFF2-40B4-BE49-F238E27FC236}">
              <a16:creationId xmlns="" xmlns:a16="http://schemas.microsoft.com/office/drawing/2014/main" id="{00000000-0008-0000-0400-000002000000}"/>
            </a:ext>
          </a:extLst>
        </xdr:cNvPr>
        <xdr:cNvSpPr/>
      </xdr:nvSpPr>
      <xdr:spPr>
        <a:xfrm>
          <a:off x="10080912" y="647700"/>
          <a:ext cx="1039091" cy="324000"/>
        </a:xfrm>
        <a:prstGeom prst="rect">
          <a:avLst/>
        </a:prstGeom>
        <a:solidFill>
          <a:schemeClr val="bg2">
            <a:lumMod val="9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800" b="1">
              <a:solidFill>
                <a:schemeClr val="tx1"/>
              </a:solidFill>
            </a:rPr>
            <a:t>MENÚ</a:t>
          </a:r>
        </a:p>
      </xdr:txBody>
    </xdr:sp>
    <xdr:clientData/>
  </xdr:twoCellAnchor>
  <xdr:twoCellAnchor>
    <xdr:from>
      <xdr:col>43</xdr:col>
      <xdr:colOff>146337</xdr:colOff>
      <xdr:row>6</xdr:row>
      <xdr:rowOff>57150</xdr:rowOff>
    </xdr:from>
    <xdr:to>
      <xdr:col>49</xdr:col>
      <xdr:colOff>108237</xdr:colOff>
      <xdr:row>8</xdr:row>
      <xdr:rowOff>125100</xdr:rowOff>
    </xdr:to>
    <xdr:sp macro="[0]!VAL_1B" textlink="">
      <xdr:nvSpPr>
        <xdr:cNvPr id="3" name="2 Flecha derecha">
          <a:extLst>
            <a:ext uri="{FF2B5EF4-FFF2-40B4-BE49-F238E27FC236}">
              <a16:creationId xmlns="" xmlns:a16="http://schemas.microsoft.com/office/drawing/2014/main" id="{00000000-0008-0000-0400-000003000000}"/>
            </a:ext>
          </a:extLst>
        </xdr:cNvPr>
        <xdr:cNvSpPr/>
      </xdr:nvSpPr>
      <xdr:spPr>
        <a:xfrm>
          <a:off x="10090437" y="1066800"/>
          <a:ext cx="1047750" cy="468000"/>
        </a:xfrm>
        <a:prstGeom prst="rightArrow">
          <a:avLst/>
        </a:prstGeom>
        <a:solidFill>
          <a:srgbClr val="0070C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BO" sz="1100"/>
        </a:p>
      </xdr:txBody>
    </xdr:sp>
    <xdr:clientData/>
  </xdr:twoCellAnchor>
  <xdr:twoCellAnchor>
    <xdr:from>
      <xdr:col>43</xdr:col>
      <xdr:colOff>146336</xdr:colOff>
      <xdr:row>8</xdr:row>
      <xdr:rowOff>85725</xdr:rowOff>
    </xdr:from>
    <xdr:to>
      <xdr:col>49</xdr:col>
      <xdr:colOff>99577</xdr:colOff>
      <xdr:row>10</xdr:row>
      <xdr:rowOff>153675</xdr:rowOff>
    </xdr:to>
    <xdr:sp macro="[0]!CODIGOYFOTOGRAFIA" textlink="">
      <xdr:nvSpPr>
        <xdr:cNvPr id="4" name="3 Flecha izquierda">
          <a:extLst>
            <a:ext uri="{FF2B5EF4-FFF2-40B4-BE49-F238E27FC236}">
              <a16:creationId xmlns="" xmlns:a16="http://schemas.microsoft.com/office/drawing/2014/main" id="{00000000-0008-0000-0400-000004000000}"/>
            </a:ext>
          </a:extLst>
        </xdr:cNvPr>
        <xdr:cNvSpPr/>
      </xdr:nvSpPr>
      <xdr:spPr>
        <a:xfrm>
          <a:off x="10090436" y="1495425"/>
          <a:ext cx="1039091" cy="468000"/>
        </a:xfrm>
        <a:prstGeom prst="leftArrow">
          <a:avLst/>
        </a:prstGeom>
        <a:solidFill>
          <a:srgbClr val="FF000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BO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43</xdr:col>
      <xdr:colOff>30957</xdr:colOff>
      <xdr:row>2</xdr:row>
      <xdr:rowOff>116682</xdr:rowOff>
    </xdr:from>
    <xdr:to>
      <xdr:col>50</xdr:col>
      <xdr:colOff>2382</xdr:colOff>
      <xdr:row>11</xdr:row>
      <xdr:rowOff>142875</xdr:rowOff>
    </xdr:to>
    <xdr:graphicFrame macro="">
      <xdr:nvGraphicFramePr>
        <xdr:cNvPr id="3" name="2 Gráfico">
          <a:extLst>
            <a:ext uri="{FF2B5EF4-FFF2-40B4-BE49-F238E27FC236}">
              <a16:creationId xmlns="" xmlns:a16="http://schemas.microsoft.com/office/drawing/2014/main" id="{00000000-0008-0000-05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152399</xdr:colOff>
      <xdr:row>13</xdr:row>
      <xdr:rowOff>59532</xdr:rowOff>
    </xdr:from>
    <xdr:to>
      <xdr:col>2</xdr:col>
      <xdr:colOff>1523999</xdr:colOff>
      <xdr:row>15</xdr:row>
      <xdr:rowOff>102394</xdr:rowOff>
    </xdr:to>
    <xdr:sp macro="[0]!MENU" textlink="">
      <xdr:nvSpPr>
        <xdr:cNvPr id="4" name="3 Rectángulo">
          <a:extLst>
            <a:ext uri="{FF2B5EF4-FFF2-40B4-BE49-F238E27FC236}">
              <a16:creationId xmlns="" xmlns:a16="http://schemas.microsoft.com/office/drawing/2014/main" id="{00000000-0008-0000-0500-000004000000}"/>
            </a:ext>
          </a:extLst>
        </xdr:cNvPr>
        <xdr:cNvSpPr/>
      </xdr:nvSpPr>
      <xdr:spPr>
        <a:xfrm>
          <a:off x="878680" y="1738313"/>
          <a:ext cx="1371600" cy="542925"/>
        </a:xfrm>
        <a:prstGeom prst="rect">
          <a:avLst/>
        </a:prstGeom>
        <a:solidFill>
          <a:schemeClr val="bg2">
            <a:lumMod val="9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800" b="1">
              <a:solidFill>
                <a:schemeClr val="tx1"/>
              </a:solidFill>
            </a:rPr>
            <a:t>MENÚ</a:t>
          </a:r>
        </a:p>
      </xdr:txBody>
    </xdr:sp>
    <xdr:clientData/>
  </xdr:twoCellAnchor>
  <xdr:twoCellAnchor>
    <xdr:from>
      <xdr:col>2</xdr:col>
      <xdr:colOff>192881</xdr:colOff>
      <xdr:row>16</xdr:row>
      <xdr:rowOff>14288</xdr:rowOff>
    </xdr:from>
    <xdr:to>
      <xdr:col>2</xdr:col>
      <xdr:colOff>1524881</xdr:colOff>
      <xdr:row>16</xdr:row>
      <xdr:rowOff>626288</xdr:rowOff>
    </xdr:to>
    <xdr:sp macro="[0]!ASIS_2B" textlink="">
      <xdr:nvSpPr>
        <xdr:cNvPr id="5" name="4 Flecha derecha">
          <a:extLst>
            <a:ext uri="{FF2B5EF4-FFF2-40B4-BE49-F238E27FC236}">
              <a16:creationId xmlns="" xmlns:a16="http://schemas.microsoft.com/office/drawing/2014/main" id="{00000000-0008-0000-0500-000005000000}"/>
            </a:ext>
          </a:extLst>
        </xdr:cNvPr>
        <xdr:cNvSpPr/>
      </xdr:nvSpPr>
      <xdr:spPr>
        <a:xfrm>
          <a:off x="919162" y="2383632"/>
          <a:ext cx="1332000" cy="612000"/>
        </a:xfrm>
        <a:prstGeom prst="rightArrow">
          <a:avLst/>
        </a:prstGeom>
        <a:solidFill>
          <a:srgbClr val="0070C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BO" sz="1100"/>
        </a:p>
      </xdr:txBody>
    </xdr:sp>
    <xdr:clientData/>
  </xdr:twoCellAnchor>
  <xdr:twoCellAnchor>
    <xdr:from>
      <xdr:col>2</xdr:col>
      <xdr:colOff>154779</xdr:colOff>
      <xdr:row>16</xdr:row>
      <xdr:rowOff>550065</xdr:rowOff>
    </xdr:from>
    <xdr:to>
      <xdr:col>2</xdr:col>
      <xdr:colOff>1486779</xdr:colOff>
      <xdr:row>16</xdr:row>
      <xdr:rowOff>1126065</xdr:rowOff>
    </xdr:to>
    <xdr:sp macro="[0]!ASIS_1B" textlink="">
      <xdr:nvSpPr>
        <xdr:cNvPr id="6" name="5 Flecha izquierda">
          <a:extLst>
            <a:ext uri="{FF2B5EF4-FFF2-40B4-BE49-F238E27FC236}">
              <a16:creationId xmlns="" xmlns:a16="http://schemas.microsoft.com/office/drawing/2014/main" id="{00000000-0008-0000-0500-000006000000}"/>
            </a:ext>
          </a:extLst>
        </xdr:cNvPr>
        <xdr:cNvSpPr/>
      </xdr:nvSpPr>
      <xdr:spPr>
        <a:xfrm>
          <a:off x="881060" y="2919409"/>
          <a:ext cx="1332000" cy="576000"/>
        </a:xfrm>
        <a:prstGeom prst="leftArrow">
          <a:avLst/>
        </a:prstGeom>
        <a:solidFill>
          <a:srgbClr val="FF000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BO" sz="1100"/>
        </a:p>
      </xdr:txBody>
    </xdr:sp>
    <xdr:clientData/>
  </xdr:twoCellAnchor>
  <xdr:twoCellAnchor>
    <xdr:from>
      <xdr:col>54</xdr:col>
      <xdr:colOff>21431</xdr:colOff>
      <xdr:row>17</xdr:row>
      <xdr:rowOff>176213</xdr:rowOff>
    </xdr:from>
    <xdr:to>
      <xdr:col>54</xdr:col>
      <xdr:colOff>1559718</xdr:colOff>
      <xdr:row>17</xdr:row>
      <xdr:rowOff>592931</xdr:rowOff>
    </xdr:to>
    <xdr:sp macro="[0]!GRAVAR1" textlink="">
      <xdr:nvSpPr>
        <xdr:cNvPr id="7" name="6 Rectángulo redondeado"/>
        <xdr:cNvSpPr/>
      </xdr:nvSpPr>
      <xdr:spPr>
        <a:xfrm>
          <a:off x="15189994" y="3759994"/>
          <a:ext cx="1538287" cy="416718"/>
        </a:xfrm>
        <a:prstGeom prst="roundRect">
          <a:avLst/>
        </a:prstGeom>
        <a:solidFill>
          <a:srgbClr val="00B0F0"/>
        </a:solidFill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200" b="1">
              <a:latin typeface="Arial" pitchFamily="34" charset="0"/>
              <a:cs typeface="Arial" pitchFamily="34" charset="0"/>
            </a:rPr>
            <a:t>GRABAR DATOS 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219075</xdr:colOff>
      <xdr:row>0</xdr:row>
      <xdr:rowOff>180975</xdr:rowOff>
    </xdr:from>
    <xdr:to>
      <xdr:col>7</xdr:col>
      <xdr:colOff>64294</xdr:colOff>
      <xdr:row>2</xdr:row>
      <xdr:rowOff>76200</xdr:rowOff>
    </xdr:to>
    <xdr:sp macro="[0]!MENU" textlink="">
      <xdr:nvSpPr>
        <xdr:cNvPr id="2" name="1 Rectángulo">
          <a:extLst>
            <a:ext uri="{FF2B5EF4-FFF2-40B4-BE49-F238E27FC236}">
              <a16:creationId xmlns="" xmlns:a16="http://schemas.microsoft.com/office/drawing/2014/main" id="{00000000-0008-0000-0100-000005000000}"/>
            </a:ext>
          </a:extLst>
        </xdr:cNvPr>
        <xdr:cNvSpPr/>
      </xdr:nvSpPr>
      <xdr:spPr>
        <a:xfrm>
          <a:off x="8648700" y="180975"/>
          <a:ext cx="1369219" cy="428625"/>
        </a:xfrm>
        <a:prstGeom prst="rect">
          <a:avLst/>
        </a:prstGeom>
        <a:solidFill>
          <a:schemeClr val="bg2">
            <a:lumMod val="9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800" b="1">
              <a:solidFill>
                <a:schemeClr val="tx1"/>
              </a:solidFill>
            </a:rPr>
            <a:t>MENÚ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45</xdr:col>
      <xdr:colOff>152399</xdr:colOff>
      <xdr:row>4</xdr:row>
      <xdr:rowOff>38100</xdr:rowOff>
    </xdr:from>
    <xdr:to>
      <xdr:col>51</xdr:col>
      <xdr:colOff>180974</xdr:colOff>
      <xdr:row>5</xdr:row>
      <xdr:rowOff>162075</xdr:rowOff>
    </xdr:to>
    <xdr:sp macro="[0]!MENU" textlink="">
      <xdr:nvSpPr>
        <xdr:cNvPr id="2" name="1 Rectángulo">
          <a:extLst>
            <a:ext uri="{FF2B5EF4-FFF2-40B4-BE49-F238E27FC236}">
              <a16:creationId xmlns="" xmlns:a16="http://schemas.microsoft.com/office/drawing/2014/main" id="{00000000-0008-0000-0600-000002000000}"/>
            </a:ext>
          </a:extLst>
        </xdr:cNvPr>
        <xdr:cNvSpPr/>
      </xdr:nvSpPr>
      <xdr:spPr>
        <a:xfrm>
          <a:off x="10467974" y="647700"/>
          <a:ext cx="1114425" cy="324000"/>
        </a:xfrm>
        <a:prstGeom prst="rect">
          <a:avLst/>
        </a:prstGeom>
        <a:solidFill>
          <a:schemeClr val="bg2">
            <a:lumMod val="9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800" b="1">
              <a:solidFill>
                <a:schemeClr val="tx1"/>
              </a:solidFill>
            </a:rPr>
            <a:t>MENÚ</a:t>
          </a:r>
        </a:p>
      </xdr:txBody>
    </xdr:sp>
    <xdr:clientData/>
  </xdr:twoCellAnchor>
  <xdr:twoCellAnchor>
    <xdr:from>
      <xdr:col>45</xdr:col>
      <xdr:colOff>152399</xdr:colOff>
      <xdr:row>6</xdr:row>
      <xdr:rowOff>19050</xdr:rowOff>
    </xdr:from>
    <xdr:to>
      <xdr:col>52</xdr:col>
      <xdr:colOff>37574</xdr:colOff>
      <xdr:row>8</xdr:row>
      <xdr:rowOff>123000</xdr:rowOff>
    </xdr:to>
    <xdr:sp macro="[0]!VAL_2B" textlink="">
      <xdr:nvSpPr>
        <xdr:cNvPr id="3" name="2 Flecha derecha">
          <a:extLst>
            <a:ext uri="{FF2B5EF4-FFF2-40B4-BE49-F238E27FC236}">
              <a16:creationId xmlns="" xmlns:a16="http://schemas.microsoft.com/office/drawing/2014/main" id="{00000000-0008-0000-0600-000003000000}"/>
            </a:ext>
          </a:extLst>
        </xdr:cNvPr>
        <xdr:cNvSpPr/>
      </xdr:nvSpPr>
      <xdr:spPr>
        <a:xfrm>
          <a:off x="10467974" y="1028700"/>
          <a:ext cx="1152000" cy="504000"/>
        </a:xfrm>
        <a:prstGeom prst="rightArrow">
          <a:avLst/>
        </a:prstGeom>
        <a:solidFill>
          <a:srgbClr val="0070C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BO" sz="1100"/>
        </a:p>
      </xdr:txBody>
    </xdr:sp>
    <xdr:clientData/>
  </xdr:twoCellAnchor>
  <xdr:twoCellAnchor>
    <xdr:from>
      <xdr:col>45</xdr:col>
      <xdr:colOff>161925</xdr:colOff>
      <xdr:row>8</xdr:row>
      <xdr:rowOff>66675</xdr:rowOff>
    </xdr:from>
    <xdr:to>
      <xdr:col>52</xdr:col>
      <xdr:colOff>11100</xdr:colOff>
      <xdr:row>10</xdr:row>
      <xdr:rowOff>170625</xdr:rowOff>
    </xdr:to>
    <xdr:sp macro="[0]!VAL_1B" textlink="">
      <xdr:nvSpPr>
        <xdr:cNvPr id="4" name="3 Flecha izquierda">
          <a:extLst>
            <a:ext uri="{FF2B5EF4-FFF2-40B4-BE49-F238E27FC236}">
              <a16:creationId xmlns="" xmlns:a16="http://schemas.microsoft.com/office/drawing/2014/main" id="{00000000-0008-0000-0600-000004000000}"/>
            </a:ext>
          </a:extLst>
        </xdr:cNvPr>
        <xdr:cNvSpPr/>
      </xdr:nvSpPr>
      <xdr:spPr>
        <a:xfrm>
          <a:off x="10477500" y="1476375"/>
          <a:ext cx="1116000" cy="504000"/>
        </a:xfrm>
        <a:prstGeom prst="leftArrow">
          <a:avLst/>
        </a:prstGeom>
        <a:solidFill>
          <a:srgbClr val="FF000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BO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43</xdr:col>
      <xdr:colOff>66675</xdr:colOff>
      <xdr:row>3</xdr:row>
      <xdr:rowOff>9524</xdr:rowOff>
    </xdr:from>
    <xdr:to>
      <xdr:col>50</xdr:col>
      <xdr:colOff>38100</xdr:colOff>
      <xdr:row>11</xdr:row>
      <xdr:rowOff>158749</xdr:rowOff>
    </xdr:to>
    <xdr:graphicFrame macro="">
      <xdr:nvGraphicFramePr>
        <xdr:cNvPr id="2" name="1 Gráfico">
          <a:extLst>
            <a:ext uri="{FF2B5EF4-FFF2-40B4-BE49-F238E27FC236}">
              <a16:creationId xmlns=""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98161</xdr:colOff>
      <xdr:row>13</xdr:row>
      <xdr:rowOff>66146</xdr:rowOff>
    </xdr:from>
    <xdr:to>
      <xdr:col>2</xdr:col>
      <xdr:colOff>1469761</xdr:colOff>
      <xdr:row>15</xdr:row>
      <xdr:rowOff>109009</xdr:rowOff>
    </xdr:to>
    <xdr:sp macro="[0]!MENU" textlink="">
      <xdr:nvSpPr>
        <xdr:cNvPr id="3" name="2 Rectángulo">
          <a:extLst>
            <a:ext uri="{FF2B5EF4-FFF2-40B4-BE49-F238E27FC236}">
              <a16:creationId xmlns="" xmlns:a16="http://schemas.microsoft.com/office/drawing/2014/main" id="{00000000-0008-0000-0700-000003000000}"/>
            </a:ext>
          </a:extLst>
        </xdr:cNvPr>
        <xdr:cNvSpPr/>
      </xdr:nvSpPr>
      <xdr:spPr>
        <a:xfrm>
          <a:off x="775494" y="1717146"/>
          <a:ext cx="1371600" cy="540280"/>
        </a:xfrm>
        <a:prstGeom prst="rect">
          <a:avLst/>
        </a:prstGeom>
        <a:solidFill>
          <a:schemeClr val="bg2">
            <a:lumMod val="9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800" b="1">
              <a:solidFill>
                <a:schemeClr val="tx1"/>
              </a:solidFill>
            </a:rPr>
            <a:t>MENÚ</a:t>
          </a:r>
        </a:p>
      </xdr:txBody>
    </xdr:sp>
    <xdr:clientData/>
  </xdr:twoCellAnchor>
  <xdr:twoCellAnchor>
    <xdr:from>
      <xdr:col>2</xdr:col>
      <xdr:colOff>169069</xdr:colOff>
      <xdr:row>15</xdr:row>
      <xdr:rowOff>186267</xdr:rowOff>
    </xdr:from>
    <xdr:to>
      <xdr:col>2</xdr:col>
      <xdr:colOff>1429069</xdr:colOff>
      <xdr:row>16</xdr:row>
      <xdr:rowOff>607767</xdr:rowOff>
    </xdr:to>
    <xdr:sp macro="[0]!ASIS_3B" textlink="">
      <xdr:nvSpPr>
        <xdr:cNvPr id="4" name="3 Flecha derecha">
          <a:extLst>
            <a:ext uri="{FF2B5EF4-FFF2-40B4-BE49-F238E27FC236}">
              <a16:creationId xmlns="" xmlns:a16="http://schemas.microsoft.com/office/drawing/2014/main" id="{00000000-0008-0000-0700-000004000000}"/>
            </a:ext>
          </a:extLst>
        </xdr:cNvPr>
        <xdr:cNvSpPr/>
      </xdr:nvSpPr>
      <xdr:spPr>
        <a:xfrm>
          <a:off x="846402" y="2334684"/>
          <a:ext cx="1260000" cy="612000"/>
        </a:xfrm>
        <a:prstGeom prst="rightArrow">
          <a:avLst/>
        </a:prstGeom>
        <a:solidFill>
          <a:srgbClr val="0070C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BO" sz="1100"/>
        </a:p>
      </xdr:txBody>
    </xdr:sp>
    <xdr:clientData/>
  </xdr:twoCellAnchor>
  <xdr:twoCellAnchor>
    <xdr:from>
      <xdr:col>2</xdr:col>
      <xdr:colOff>158752</xdr:colOff>
      <xdr:row>16</xdr:row>
      <xdr:rowOff>582087</xdr:rowOff>
    </xdr:from>
    <xdr:to>
      <xdr:col>2</xdr:col>
      <xdr:colOff>1375835</xdr:colOff>
      <xdr:row>16</xdr:row>
      <xdr:rowOff>1194087</xdr:rowOff>
    </xdr:to>
    <xdr:sp macro="[0]!ASIS_2B" textlink="">
      <xdr:nvSpPr>
        <xdr:cNvPr id="5" name="4 Flecha izquierda">
          <a:extLst>
            <a:ext uri="{FF2B5EF4-FFF2-40B4-BE49-F238E27FC236}">
              <a16:creationId xmlns="" xmlns:a16="http://schemas.microsoft.com/office/drawing/2014/main" id="{00000000-0008-0000-0700-000005000000}"/>
            </a:ext>
          </a:extLst>
        </xdr:cNvPr>
        <xdr:cNvSpPr/>
      </xdr:nvSpPr>
      <xdr:spPr>
        <a:xfrm>
          <a:off x="836085" y="2921004"/>
          <a:ext cx="1217083" cy="612000"/>
        </a:xfrm>
        <a:prstGeom prst="leftArrow">
          <a:avLst/>
        </a:prstGeom>
        <a:solidFill>
          <a:srgbClr val="FF000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BO" sz="1100"/>
        </a:p>
      </xdr:txBody>
    </xdr:sp>
    <xdr:clientData/>
  </xdr:twoCellAnchor>
  <xdr:twoCellAnchor>
    <xdr:from>
      <xdr:col>53</xdr:col>
      <xdr:colOff>571502</xdr:colOff>
      <xdr:row>17</xdr:row>
      <xdr:rowOff>250032</xdr:rowOff>
    </xdr:from>
    <xdr:to>
      <xdr:col>54</xdr:col>
      <xdr:colOff>1666876</xdr:colOff>
      <xdr:row>17</xdr:row>
      <xdr:rowOff>738188</xdr:rowOff>
    </xdr:to>
    <xdr:sp macro="[0]!GRABAR2" textlink="">
      <xdr:nvSpPr>
        <xdr:cNvPr id="6" name="5 Rectángulo redondeado"/>
        <xdr:cNvSpPr/>
      </xdr:nvSpPr>
      <xdr:spPr>
        <a:xfrm>
          <a:off x="15061408" y="3881438"/>
          <a:ext cx="1678781" cy="488156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200" b="1">
              <a:latin typeface="Lao UI" pitchFamily="34" charset="0"/>
              <a:cs typeface="Lao UI" pitchFamily="34" charset="0"/>
            </a:rPr>
            <a:t>GRABAR DATOS 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219075</xdr:colOff>
      <xdr:row>0</xdr:row>
      <xdr:rowOff>133351</xdr:rowOff>
    </xdr:from>
    <xdr:to>
      <xdr:col>7</xdr:col>
      <xdr:colOff>64294</xdr:colOff>
      <xdr:row>2</xdr:row>
      <xdr:rowOff>1</xdr:rowOff>
    </xdr:to>
    <xdr:sp macro="[0]!MENU" textlink="">
      <xdr:nvSpPr>
        <xdr:cNvPr id="2" name="1 Rectángulo">
          <a:extLst>
            <a:ext uri="{FF2B5EF4-FFF2-40B4-BE49-F238E27FC236}">
              <a16:creationId xmlns="" xmlns:a16="http://schemas.microsoft.com/office/drawing/2014/main" id="{00000000-0008-0000-0100-000005000000}"/>
            </a:ext>
          </a:extLst>
        </xdr:cNvPr>
        <xdr:cNvSpPr/>
      </xdr:nvSpPr>
      <xdr:spPr>
        <a:xfrm>
          <a:off x="8867775" y="133351"/>
          <a:ext cx="1369219" cy="409575"/>
        </a:xfrm>
        <a:prstGeom prst="rect">
          <a:avLst/>
        </a:prstGeom>
        <a:solidFill>
          <a:schemeClr val="bg2">
            <a:lumMod val="9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800" b="1">
              <a:solidFill>
                <a:schemeClr val="tx1"/>
              </a:solidFill>
            </a:rPr>
            <a:t>MENÚ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45</xdr:col>
      <xdr:colOff>134470</xdr:colOff>
      <xdr:row>4</xdr:row>
      <xdr:rowOff>33618</xdr:rowOff>
    </xdr:from>
    <xdr:to>
      <xdr:col>52</xdr:col>
      <xdr:colOff>47259</xdr:colOff>
      <xdr:row>5</xdr:row>
      <xdr:rowOff>191913</xdr:rowOff>
    </xdr:to>
    <xdr:sp macro="[0]!MENU" textlink="">
      <xdr:nvSpPr>
        <xdr:cNvPr id="2" name="1 Rectángulo">
          <a:extLst>
            <a:ext uri="{FF2B5EF4-FFF2-40B4-BE49-F238E27FC236}">
              <a16:creationId xmlns="" xmlns:a16="http://schemas.microsoft.com/office/drawing/2014/main" id="{00000000-0008-0000-0800-000002000000}"/>
            </a:ext>
          </a:extLst>
        </xdr:cNvPr>
        <xdr:cNvSpPr/>
      </xdr:nvSpPr>
      <xdr:spPr>
        <a:xfrm>
          <a:off x="10410264" y="649942"/>
          <a:ext cx="1167848" cy="360000"/>
        </a:xfrm>
        <a:prstGeom prst="rect">
          <a:avLst/>
        </a:prstGeom>
        <a:solidFill>
          <a:schemeClr val="bg2">
            <a:lumMod val="9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800" b="1">
              <a:solidFill>
                <a:schemeClr val="tx1"/>
              </a:solidFill>
            </a:rPr>
            <a:t>MENÚ</a:t>
          </a:r>
        </a:p>
      </xdr:txBody>
    </xdr:sp>
    <xdr:clientData/>
  </xdr:twoCellAnchor>
  <xdr:twoCellAnchor>
    <xdr:from>
      <xdr:col>45</xdr:col>
      <xdr:colOff>130572</xdr:colOff>
      <xdr:row>6</xdr:row>
      <xdr:rowOff>61633</xdr:rowOff>
    </xdr:from>
    <xdr:to>
      <xdr:col>52</xdr:col>
      <xdr:colOff>63824</xdr:colOff>
      <xdr:row>8</xdr:row>
      <xdr:rowOff>162221</xdr:rowOff>
    </xdr:to>
    <xdr:sp macro="[0]!VAL_3B" textlink="">
      <xdr:nvSpPr>
        <xdr:cNvPr id="3" name="2 Flecha derecha">
          <a:extLst>
            <a:ext uri="{FF2B5EF4-FFF2-40B4-BE49-F238E27FC236}">
              <a16:creationId xmlns="" xmlns:a16="http://schemas.microsoft.com/office/drawing/2014/main" id="{00000000-0008-0000-0800-000003000000}"/>
            </a:ext>
          </a:extLst>
        </xdr:cNvPr>
        <xdr:cNvSpPr/>
      </xdr:nvSpPr>
      <xdr:spPr>
        <a:xfrm>
          <a:off x="10406366" y="1081368"/>
          <a:ext cx="1188311" cy="504000"/>
        </a:xfrm>
        <a:prstGeom prst="rightArrow">
          <a:avLst/>
        </a:prstGeom>
        <a:solidFill>
          <a:srgbClr val="0070C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BO" sz="1100"/>
        </a:p>
      </xdr:txBody>
    </xdr:sp>
    <xdr:clientData/>
  </xdr:twoCellAnchor>
  <xdr:twoCellAnchor>
    <xdr:from>
      <xdr:col>45</xdr:col>
      <xdr:colOff>123265</xdr:colOff>
      <xdr:row>8</xdr:row>
      <xdr:rowOff>70037</xdr:rowOff>
    </xdr:from>
    <xdr:to>
      <xdr:col>52</xdr:col>
      <xdr:colOff>52619</xdr:colOff>
      <xdr:row>10</xdr:row>
      <xdr:rowOff>170625</xdr:rowOff>
    </xdr:to>
    <xdr:sp macro="[0]!VAL_2B" textlink="">
      <xdr:nvSpPr>
        <xdr:cNvPr id="4" name="3 Flecha izquierda">
          <a:extLst>
            <a:ext uri="{FF2B5EF4-FFF2-40B4-BE49-F238E27FC236}">
              <a16:creationId xmlns="" xmlns:a16="http://schemas.microsoft.com/office/drawing/2014/main" id="{00000000-0008-0000-0800-000004000000}"/>
            </a:ext>
          </a:extLst>
        </xdr:cNvPr>
        <xdr:cNvSpPr/>
      </xdr:nvSpPr>
      <xdr:spPr>
        <a:xfrm>
          <a:off x="10399059" y="1493184"/>
          <a:ext cx="1184413" cy="504000"/>
        </a:xfrm>
        <a:prstGeom prst="leftArrow">
          <a:avLst/>
        </a:prstGeom>
        <a:solidFill>
          <a:srgbClr val="FF000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BO" sz="1100"/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43</xdr:col>
      <xdr:colOff>161925</xdr:colOff>
      <xdr:row>3</xdr:row>
      <xdr:rowOff>9525</xdr:rowOff>
    </xdr:from>
    <xdr:to>
      <xdr:col>50</xdr:col>
      <xdr:colOff>133350</xdr:colOff>
      <xdr:row>11</xdr:row>
      <xdr:rowOff>154782</xdr:rowOff>
    </xdr:to>
    <xdr:graphicFrame macro="">
      <xdr:nvGraphicFramePr>
        <xdr:cNvPr id="2" name="1 Gráfico">
          <a:extLst>
            <a:ext uri="{FF2B5EF4-FFF2-40B4-BE49-F238E27FC236}">
              <a16:creationId xmlns=""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140493</xdr:colOff>
      <xdr:row>13</xdr:row>
      <xdr:rowOff>47624</xdr:rowOff>
    </xdr:from>
    <xdr:to>
      <xdr:col>2</xdr:col>
      <xdr:colOff>1512093</xdr:colOff>
      <xdr:row>15</xdr:row>
      <xdr:rowOff>90487</xdr:rowOff>
    </xdr:to>
    <xdr:sp macro="[0]!MENU" textlink="">
      <xdr:nvSpPr>
        <xdr:cNvPr id="3" name="2 Rectángulo">
          <a:extLst>
            <a:ext uri="{FF2B5EF4-FFF2-40B4-BE49-F238E27FC236}">
              <a16:creationId xmlns="" xmlns:a16="http://schemas.microsoft.com/office/drawing/2014/main" id="{00000000-0008-0000-0900-000003000000}"/>
            </a:ext>
          </a:extLst>
        </xdr:cNvPr>
        <xdr:cNvSpPr/>
      </xdr:nvSpPr>
      <xdr:spPr>
        <a:xfrm>
          <a:off x="795337" y="1726405"/>
          <a:ext cx="1371600" cy="542926"/>
        </a:xfrm>
        <a:prstGeom prst="rect">
          <a:avLst/>
        </a:prstGeom>
        <a:solidFill>
          <a:schemeClr val="bg2">
            <a:lumMod val="9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800" b="1">
              <a:solidFill>
                <a:schemeClr val="tx1"/>
              </a:solidFill>
            </a:rPr>
            <a:t>MENÚ</a:t>
          </a:r>
        </a:p>
      </xdr:txBody>
    </xdr:sp>
    <xdr:clientData/>
  </xdr:twoCellAnchor>
  <xdr:twoCellAnchor>
    <xdr:from>
      <xdr:col>2</xdr:col>
      <xdr:colOff>169068</xdr:colOff>
      <xdr:row>15</xdr:row>
      <xdr:rowOff>169069</xdr:rowOff>
    </xdr:from>
    <xdr:to>
      <xdr:col>2</xdr:col>
      <xdr:colOff>1501068</xdr:colOff>
      <xdr:row>16</xdr:row>
      <xdr:rowOff>554569</xdr:rowOff>
    </xdr:to>
    <xdr:sp macro="[0]!ASIS_4B" textlink="">
      <xdr:nvSpPr>
        <xdr:cNvPr id="4" name="3 Flecha derecha">
          <a:extLst>
            <a:ext uri="{FF2B5EF4-FFF2-40B4-BE49-F238E27FC236}">
              <a16:creationId xmlns="" xmlns:a16="http://schemas.microsoft.com/office/drawing/2014/main" id="{00000000-0008-0000-0900-000004000000}"/>
            </a:ext>
          </a:extLst>
        </xdr:cNvPr>
        <xdr:cNvSpPr/>
      </xdr:nvSpPr>
      <xdr:spPr>
        <a:xfrm>
          <a:off x="823912" y="2347913"/>
          <a:ext cx="1332000" cy="576000"/>
        </a:xfrm>
        <a:prstGeom prst="rightArrow">
          <a:avLst/>
        </a:prstGeom>
        <a:solidFill>
          <a:srgbClr val="0070C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BO" sz="1100"/>
        </a:p>
      </xdr:txBody>
    </xdr:sp>
    <xdr:clientData/>
  </xdr:twoCellAnchor>
  <xdr:twoCellAnchor>
    <xdr:from>
      <xdr:col>2</xdr:col>
      <xdr:colOff>154779</xdr:colOff>
      <xdr:row>16</xdr:row>
      <xdr:rowOff>490537</xdr:rowOff>
    </xdr:from>
    <xdr:to>
      <xdr:col>2</xdr:col>
      <xdr:colOff>1486779</xdr:colOff>
      <xdr:row>16</xdr:row>
      <xdr:rowOff>1102537</xdr:rowOff>
    </xdr:to>
    <xdr:sp macro="[0]!ASIS_3B" textlink="">
      <xdr:nvSpPr>
        <xdr:cNvPr id="5" name="4 Flecha izquierda">
          <a:extLst>
            <a:ext uri="{FF2B5EF4-FFF2-40B4-BE49-F238E27FC236}">
              <a16:creationId xmlns="" xmlns:a16="http://schemas.microsoft.com/office/drawing/2014/main" id="{00000000-0008-0000-0900-000005000000}"/>
            </a:ext>
          </a:extLst>
        </xdr:cNvPr>
        <xdr:cNvSpPr/>
      </xdr:nvSpPr>
      <xdr:spPr>
        <a:xfrm>
          <a:off x="809623" y="2859881"/>
          <a:ext cx="1332000" cy="612000"/>
        </a:xfrm>
        <a:prstGeom prst="leftArrow">
          <a:avLst/>
        </a:prstGeom>
        <a:solidFill>
          <a:srgbClr val="FF000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BO" sz="1100"/>
        </a:p>
      </xdr:txBody>
    </xdr:sp>
    <xdr:clientData/>
  </xdr:twoCellAnchor>
  <xdr:twoCellAnchor>
    <xdr:from>
      <xdr:col>53</xdr:col>
      <xdr:colOff>583406</xdr:colOff>
      <xdr:row>17</xdr:row>
      <xdr:rowOff>166688</xdr:rowOff>
    </xdr:from>
    <xdr:to>
      <xdr:col>54</xdr:col>
      <xdr:colOff>1524001</xdr:colOff>
      <xdr:row>17</xdr:row>
      <xdr:rowOff>619126</xdr:rowOff>
    </xdr:to>
    <xdr:sp macro="[0]!GRABAR3" textlink="">
      <xdr:nvSpPr>
        <xdr:cNvPr id="6" name="5 Rectángulo redondeado"/>
        <xdr:cNvSpPr/>
      </xdr:nvSpPr>
      <xdr:spPr>
        <a:xfrm>
          <a:off x="14989969" y="3833813"/>
          <a:ext cx="1547813" cy="452438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200" b="1">
              <a:solidFill>
                <a:schemeClr val="bg1"/>
              </a:solidFill>
            </a:rPr>
            <a:t>GRABAR DATOS 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190500</xdr:colOff>
      <xdr:row>0</xdr:row>
      <xdr:rowOff>104776</xdr:rowOff>
    </xdr:from>
    <xdr:to>
      <xdr:col>7</xdr:col>
      <xdr:colOff>35719</xdr:colOff>
      <xdr:row>2</xdr:row>
      <xdr:rowOff>28576</xdr:rowOff>
    </xdr:to>
    <xdr:sp macro="[0]!MENU" textlink="">
      <xdr:nvSpPr>
        <xdr:cNvPr id="2" name="1 Rectángulo">
          <a:extLst>
            <a:ext uri="{FF2B5EF4-FFF2-40B4-BE49-F238E27FC236}">
              <a16:creationId xmlns="" xmlns:a16="http://schemas.microsoft.com/office/drawing/2014/main" id="{00000000-0008-0000-0100-000005000000}"/>
            </a:ext>
          </a:extLst>
        </xdr:cNvPr>
        <xdr:cNvSpPr/>
      </xdr:nvSpPr>
      <xdr:spPr>
        <a:xfrm>
          <a:off x="9067800" y="104776"/>
          <a:ext cx="1369219" cy="457200"/>
        </a:xfrm>
        <a:prstGeom prst="rect">
          <a:avLst/>
        </a:prstGeom>
        <a:solidFill>
          <a:schemeClr val="bg2">
            <a:lumMod val="9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800" b="1">
              <a:solidFill>
                <a:schemeClr val="tx1"/>
              </a:solidFill>
            </a:rPr>
            <a:t>MENÚ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45</xdr:col>
      <xdr:colOff>33866</xdr:colOff>
      <xdr:row>4</xdr:row>
      <xdr:rowOff>30692</xdr:rowOff>
    </xdr:from>
    <xdr:to>
      <xdr:col>51</xdr:col>
      <xdr:colOff>161924</xdr:colOff>
      <xdr:row>5</xdr:row>
      <xdr:rowOff>189608</xdr:rowOff>
    </xdr:to>
    <xdr:sp macro="[0]!MENU" textlink="">
      <xdr:nvSpPr>
        <xdr:cNvPr id="2" name="1 Rectángulo">
          <a:extLst>
            <a:ext uri="{FF2B5EF4-FFF2-40B4-BE49-F238E27FC236}">
              <a16:creationId xmlns="" xmlns:a16="http://schemas.microsoft.com/office/drawing/2014/main" id="{00000000-0008-0000-0A00-000002000000}"/>
            </a:ext>
          </a:extLst>
        </xdr:cNvPr>
        <xdr:cNvSpPr/>
      </xdr:nvSpPr>
      <xdr:spPr>
        <a:xfrm>
          <a:off x="10352616" y="644525"/>
          <a:ext cx="1207558" cy="360000"/>
        </a:xfrm>
        <a:prstGeom prst="rect">
          <a:avLst/>
        </a:prstGeom>
        <a:solidFill>
          <a:schemeClr val="bg2">
            <a:lumMod val="9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800" b="1">
              <a:solidFill>
                <a:schemeClr val="tx1"/>
              </a:solidFill>
            </a:rPr>
            <a:t>MENÚ</a:t>
          </a:r>
        </a:p>
      </xdr:txBody>
    </xdr:sp>
    <xdr:clientData/>
  </xdr:twoCellAnchor>
  <xdr:twoCellAnchor>
    <xdr:from>
      <xdr:col>45</xdr:col>
      <xdr:colOff>44449</xdr:colOff>
      <xdr:row>6</xdr:row>
      <xdr:rowOff>30691</xdr:rowOff>
    </xdr:from>
    <xdr:to>
      <xdr:col>52</xdr:col>
      <xdr:colOff>11640</xdr:colOff>
      <xdr:row>8</xdr:row>
      <xdr:rowOff>132524</xdr:rowOff>
    </xdr:to>
    <xdr:sp macro="[0]!VAL_4B" textlink="">
      <xdr:nvSpPr>
        <xdr:cNvPr id="3" name="2 Flecha derecha">
          <a:extLst>
            <a:ext uri="{FF2B5EF4-FFF2-40B4-BE49-F238E27FC236}">
              <a16:creationId xmlns="" xmlns:a16="http://schemas.microsoft.com/office/drawing/2014/main" id="{00000000-0008-0000-0A00-000003000000}"/>
            </a:ext>
          </a:extLst>
        </xdr:cNvPr>
        <xdr:cNvSpPr/>
      </xdr:nvSpPr>
      <xdr:spPr>
        <a:xfrm>
          <a:off x="10363199" y="1046691"/>
          <a:ext cx="1226608" cy="504000"/>
        </a:xfrm>
        <a:prstGeom prst="rightArrow">
          <a:avLst/>
        </a:prstGeom>
        <a:solidFill>
          <a:srgbClr val="0070C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BO" sz="1100"/>
        </a:p>
      </xdr:txBody>
    </xdr:sp>
    <xdr:clientData/>
  </xdr:twoCellAnchor>
  <xdr:twoCellAnchor>
    <xdr:from>
      <xdr:col>45</xdr:col>
      <xdr:colOff>42333</xdr:colOff>
      <xdr:row>8</xdr:row>
      <xdr:rowOff>67731</xdr:rowOff>
    </xdr:from>
    <xdr:to>
      <xdr:col>52</xdr:col>
      <xdr:colOff>21166</xdr:colOff>
      <xdr:row>10</xdr:row>
      <xdr:rowOff>169565</xdr:rowOff>
    </xdr:to>
    <xdr:sp macro="[0]!VAL_3B" textlink="">
      <xdr:nvSpPr>
        <xdr:cNvPr id="4" name="3 Flecha izquierda">
          <a:extLst>
            <a:ext uri="{FF2B5EF4-FFF2-40B4-BE49-F238E27FC236}">
              <a16:creationId xmlns="" xmlns:a16="http://schemas.microsoft.com/office/drawing/2014/main" id="{00000000-0008-0000-0A00-000004000000}"/>
            </a:ext>
          </a:extLst>
        </xdr:cNvPr>
        <xdr:cNvSpPr/>
      </xdr:nvSpPr>
      <xdr:spPr>
        <a:xfrm>
          <a:off x="10361083" y="1485898"/>
          <a:ext cx="1238250" cy="504000"/>
        </a:xfrm>
        <a:prstGeom prst="leftArrow">
          <a:avLst/>
        </a:prstGeom>
        <a:solidFill>
          <a:srgbClr val="FF000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BO" sz="1100"/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43</xdr:col>
      <xdr:colOff>66675</xdr:colOff>
      <xdr:row>3</xdr:row>
      <xdr:rowOff>9525</xdr:rowOff>
    </xdr:from>
    <xdr:to>
      <xdr:col>50</xdr:col>
      <xdr:colOff>38100</xdr:colOff>
      <xdr:row>11</xdr:row>
      <xdr:rowOff>119063</xdr:rowOff>
    </xdr:to>
    <xdr:graphicFrame macro="">
      <xdr:nvGraphicFramePr>
        <xdr:cNvPr id="2" name="1 Gráfico">
          <a:extLst>
            <a:ext uri="{FF2B5EF4-FFF2-40B4-BE49-F238E27FC236}">
              <a16:creationId xmlns=""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152400</xdr:colOff>
      <xdr:row>13</xdr:row>
      <xdr:rowOff>47625</xdr:rowOff>
    </xdr:from>
    <xdr:to>
      <xdr:col>2</xdr:col>
      <xdr:colOff>1524000</xdr:colOff>
      <xdr:row>15</xdr:row>
      <xdr:rowOff>90488</xdr:rowOff>
    </xdr:to>
    <xdr:sp macro="[0]!MENU" textlink="">
      <xdr:nvSpPr>
        <xdr:cNvPr id="3" name="2 Rectángulo">
          <a:extLst>
            <a:ext uri="{FF2B5EF4-FFF2-40B4-BE49-F238E27FC236}">
              <a16:creationId xmlns="" xmlns:a16="http://schemas.microsoft.com/office/drawing/2014/main" id="{00000000-0008-0000-0B00-000003000000}"/>
            </a:ext>
          </a:extLst>
        </xdr:cNvPr>
        <xdr:cNvSpPr/>
      </xdr:nvSpPr>
      <xdr:spPr>
        <a:xfrm>
          <a:off x="783431" y="1726406"/>
          <a:ext cx="1371600" cy="542926"/>
        </a:xfrm>
        <a:prstGeom prst="rect">
          <a:avLst/>
        </a:prstGeom>
        <a:solidFill>
          <a:schemeClr val="bg2">
            <a:lumMod val="9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800" b="1">
              <a:solidFill>
                <a:schemeClr val="tx1"/>
              </a:solidFill>
            </a:rPr>
            <a:t>MENÚ</a:t>
          </a:r>
        </a:p>
      </xdr:txBody>
    </xdr:sp>
    <xdr:clientData/>
  </xdr:twoCellAnchor>
  <xdr:twoCellAnchor>
    <xdr:from>
      <xdr:col>2</xdr:col>
      <xdr:colOff>169069</xdr:colOff>
      <xdr:row>15</xdr:row>
      <xdr:rowOff>169068</xdr:rowOff>
    </xdr:from>
    <xdr:to>
      <xdr:col>2</xdr:col>
      <xdr:colOff>1537069</xdr:colOff>
      <xdr:row>16</xdr:row>
      <xdr:rowOff>554568</xdr:rowOff>
    </xdr:to>
    <xdr:sp macro="[0]!CENTRALIZADOR" textlink="">
      <xdr:nvSpPr>
        <xdr:cNvPr id="4" name="3 Flecha derecha">
          <a:extLst>
            <a:ext uri="{FF2B5EF4-FFF2-40B4-BE49-F238E27FC236}">
              <a16:creationId xmlns="" xmlns:a16="http://schemas.microsoft.com/office/drawing/2014/main" id="{00000000-0008-0000-0B00-000004000000}"/>
            </a:ext>
          </a:extLst>
        </xdr:cNvPr>
        <xdr:cNvSpPr/>
      </xdr:nvSpPr>
      <xdr:spPr>
        <a:xfrm>
          <a:off x="800100" y="2347912"/>
          <a:ext cx="1368000" cy="576000"/>
        </a:xfrm>
        <a:prstGeom prst="rightArrow">
          <a:avLst/>
        </a:prstGeom>
        <a:solidFill>
          <a:srgbClr val="0070C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BO" sz="1100"/>
        </a:p>
      </xdr:txBody>
    </xdr:sp>
    <xdr:clientData/>
  </xdr:twoCellAnchor>
  <xdr:twoCellAnchor>
    <xdr:from>
      <xdr:col>2</xdr:col>
      <xdr:colOff>154782</xdr:colOff>
      <xdr:row>16</xdr:row>
      <xdr:rowOff>478631</xdr:rowOff>
    </xdr:from>
    <xdr:to>
      <xdr:col>2</xdr:col>
      <xdr:colOff>1522782</xdr:colOff>
      <xdr:row>16</xdr:row>
      <xdr:rowOff>1054631</xdr:rowOff>
    </xdr:to>
    <xdr:sp macro="[0]!ASIS_4B" textlink="">
      <xdr:nvSpPr>
        <xdr:cNvPr id="5" name="4 Flecha izquierda">
          <a:extLst>
            <a:ext uri="{FF2B5EF4-FFF2-40B4-BE49-F238E27FC236}">
              <a16:creationId xmlns="" xmlns:a16="http://schemas.microsoft.com/office/drawing/2014/main" id="{00000000-0008-0000-0B00-000005000000}"/>
            </a:ext>
          </a:extLst>
        </xdr:cNvPr>
        <xdr:cNvSpPr/>
      </xdr:nvSpPr>
      <xdr:spPr>
        <a:xfrm>
          <a:off x="785813" y="2847975"/>
          <a:ext cx="1368000" cy="576000"/>
        </a:xfrm>
        <a:prstGeom prst="leftArrow">
          <a:avLst/>
        </a:prstGeom>
        <a:solidFill>
          <a:srgbClr val="FF000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BO" sz="1100"/>
        </a:p>
      </xdr:txBody>
    </xdr:sp>
    <xdr:clientData/>
  </xdr:twoCellAnchor>
  <xdr:twoCellAnchor>
    <xdr:from>
      <xdr:col>53</xdr:col>
      <xdr:colOff>607219</xdr:colOff>
      <xdr:row>17</xdr:row>
      <xdr:rowOff>261938</xdr:rowOff>
    </xdr:from>
    <xdr:to>
      <xdr:col>54</xdr:col>
      <xdr:colOff>1833562</xdr:colOff>
      <xdr:row>17</xdr:row>
      <xdr:rowOff>821531</xdr:rowOff>
    </xdr:to>
    <xdr:sp macro="[0]!GRABAR4" textlink="">
      <xdr:nvSpPr>
        <xdr:cNvPr id="6" name="5 Rectángulo redondeado"/>
        <xdr:cNvSpPr/>
      </xdr:nvSpPr>
      <xdr:spPr>
        <a:xfrm>
          <a:off x="14954250" y="4071938"/>
          <a:ext cx="1869281" cy="559593"/>
        </a:xfrm>
        <a:prstGeom prst="roundRect">
          <a:avLst/>
        </a:prstGeom>
        <a:solidFill>
          <a:srgbClr val="00B0F0"/>
        </a:solidFill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400" b="1">
              <a:latin typeface="Lao UI" pitchFamily="34" charset="0"/>
              <a:cs typeface="Lao UI" pitchFamily="34" charset="0"/>
            </a:rPr>
            <a:t>GRABAR DATOS 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133350</xdr:colOff>
      <xdr:row>0</xdr:row>
      <xdr:rowOff>114300</xdr:rowOff>
    </xdr:from>
    <xdr:to>
      <xdr:col>6</xdr:col>
      <xdr:colOff>740569</xdr:colOff>
      <xdr:row>2</xdr:row>
      <xdr:rowOff>47625</xdr:rowOff>
    </xdr:to>
    <xdr:sp macro="[0]!MENU" textlink="">
      <xdr:nvSpPr>
        <xdr:cNvPr id="2" name="1 Rectángulo">
          <a:extLst>
            <a:ext uri="{FF2B5EF4-FFF2-40B4-BE49-F238E27FC236}">
              <a16:creationId xmlns="" xmlns:a16="http://schemas.microsoft.com/office/drawing/2014/main" id="{00000000-0008-0000-0100-000005000000}"/>
            </a:ext>
          </a:extLst>
        </xdr:cNvPr>
        <xdr:cNvSpPr/>
      </xdr:nvSpPr>
      <xdr:spPr>
        <a:xfrm>
          <a:off x="9067800" y="114300"/>
          <a:ext cx="1369219" cy="485775"/>
        </a:xfrm>
        <a:prstGeom prst="rect">
          <a:avLst/>
        </a:prstGeom>
        <a:solidFill>
          <a:schemeClr val="bg2">
            <a:lumMod val="9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800" b="1">
              <a:solidFill>
                <a:schemeClr val="tx1"/>
              </a:solidFill>
            </a:rPr>
            <a:t>MENÚ</a:t>
          </a: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123825</xdr:colOff>
      <xdr:row>3</xdr:row>
      <xdr:rowOff>84993</xdr:rowOff>
    </xdr:from>
    <xdr:to>
      <xdr:col>27</xdr:col>
      <xdr:colOff>85725</xdr:colOff>
      <xdr:row>8</xdr:row>
      <xdr:rowOff>75467</xdr:rowOff>
    </xdr:to>
    <xdr:graphicFrame macro="">
      <xdr:nvGraphicFramePr>
        <xdr:cNvPr id="2" name="1 Gráfico">
          <a:extLst>
            <a:ext uri="{FF2B5EF4-FFF2-40B4-BE49-F238E27FC236}">
              <a16:creationId xmlns="" xmlns:a16="http://schemas.microsoft.com/office/drawing/2014/main" id="{00000000-0008-0000-0C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27</xdr:col>
      <xdr:colOff>9525</xdr:colOff>
      <xdr:row>3</xdr:row>
      <xdr:rowOff>9525</xdr:rowOff>
    </xdr:from>
    <xdr:to>
      <xdr:col>32</xdr:col>
      <xdr:colOff>657226</xdr:colOff>
      <xdr:row>8</xdr:row>
      <xdr:rowOff>28575</xdr:rowOff>
    </xdr:to>
    <xdr:graphicFrame macro="">
      <xdr:nvGraphicFramePr>
        <xdr:cNvPr id="4" name="3 Gráfico">
          <a:extLst>
            <a:ext uri="{FF2B5EF4-FFF2-40B4-BE49-F238E27FC236}">
              <a16:creationId xmlns="" xmlns:a16="http://schemas.microsoft.com/office/drawing/2014/main" id="{00000000-0008-0000-0C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33</xdr:col>
      <xdr:colOff>38100</xdr:colOff>
      <xdr:row>1</xdr:row>
      <xdr:rowOff>0</xdr:rowOff>
    </xdr:from>
    <xdr:to>
      <xdr:col>34</xdr:col>
      <xdr:colOff>647700</xdr:colOff>
      <xdr:row>3</xdr:row>
      <xdr:rowOff>200025</xdr:rowOff>
    </xdr:to>
    <xdr:sp macro="[0]!MENU" textlink="">
      <xdr:nvSpPr>
        <xdr:cNvPr id="5" name="4 Rectángulo">
          <a:extLst>
            <a:ext uri="{FF2B5EF4-FFF2-40B4-BE49-F238E27FC236}">
              <a16:creationId xmlns="" xmlns:a16="http://schemas.microsoft.com/office/drawing/2014/main" id="{00000000-0008-0000-0C00-000005000000}"/>
            </a:ext>
          </a:extLst>
        </xdr:cNvPr>
        <xdr:cNvSpPr/>
      </xdr:nvSpPr>
      <xdr:spPr>
        <a:xfrm>
          <a:off x="11591925" y="190500"/>
          <a:ext cx="1371600" cy="542925"/>
        </a:xfrm>
        <a:prstGeom prst="rect">
          <a:avLst/>
        </a:prstGeom>
        <a:solidFill>
          <a:schemeClr val="bg2">
            <a:lumMod val="9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800" b="1">
              <a:solidFill>
                <a:schemeClr val="tx1"/>
              </a:solidFill>
            </a:rPr>
            <a:t>MENÚ</a:t>
          </a:r>
        </a:p>
      </xdr:txBody>
    </xdr:sp>
    <xdr:clientData/>
  </xdr:twoCellAnchor>
  <xdr:twoCellAnchor>
    <xdr:from>
      <xdr:col>33</xdr:col>
      <xdr:colOff>47625</xdr:colOff>
      <xdr:row>3</xdr:row>
      <xdr:rowOff>257175</xdr:rowOff>
    </xdr:from>
    <xdr:to>
      <xdr:col>34</xdr:col>
      <xdr:colOff>685800</xdr:colOff>
      <xdr:row>6</xdr:row>
      <xdr:rowOff>142875</xdr:rowOff>
    </xdr:to>
    <xdr:sp macro="[0]!REP_APR" textlink="">
      <xdr:nvSpPr>
        <xdr:cNvPr id="6" name="5 Flecha derecha">
          <a:extLst>
            <a:ext uri="{FF2B5EF4-FFF2-40B4-BE49-F238E27FC236}">
              <a16:creationId xmlns="" xmlns:a16="http://schemas.microsoft.com/office/drawing/2014/main" id="{00000000-0008-0000-0C00-000006000000}"/>
            </a:ext>
          </a:extLst>
        </xdr:cNvPr>
        <xdr:cNvSpPr/>
      </xdr:nvSpPr>
      <xdr:spPr>
        <a:xfrm>
          <a:off x="11601450" y="790575"/>
          <a:ext cx="1400175" cy="752475"/>
        </a:xfrm>
        <a:prstGeom prst="rightArrow">
          <a:avLst/>
        </a:prstGeom>
        <a:solidFill>
          <a:srgbClr val="0070C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BO" sz="1100"/>
        </a:p>
      </xdr:txBody>
    </xdr:sp>
    <xdr:clientData/>
  </xdr:twoCellAnchor>
  <xdr:twoCellAnchor>
    <xdr:from>
      <xdr:col>33</xdr:col>
      <xdr:colOff>47625</xdr:colOff>
      <xdr:row>6</xdr:row>
      <xdr:rowOff>76201</xdr:rowOff>
    </xdr:from>
    <xdr:to>
      <xdr:col>34</xdr:col>
      <xdr:colOff>704851</xdr:colOff>
      <xdr:row>10</xdr:row>
      <xdr:rowOff>71871</xdr:rowOff>
    </xdr:to>
    <xdr:sp macro="[0]!VAL_4B" textlink="">
      <xdr:nvSpPr>
        <xdr:cNvPr id="7" name="6 Flecha izquierda">
          <a:extLst>
            <a:ext uri="{FF2B5EF4-FFF2-40B4-BE49-F238E27FC236}">
              <a16:creationId xmlns="" xmlns:a16="http://schemas.microsoft.com/office/drawing/2014/main" id="{00000000-0008-0000-0C00-000007000000}"/>
            </a:ext>
          </a:extLst>
        </xdr:cNvPr>
        <xdr:cNvSpPr/>
      </xdr:nvSpPr>
      <xdr:spPr>
        <a:xfrm>
          <a:off x="11601450" y="1476376"/>
          <a:ext cx="1419226" cy="757670"/>
        </a:xfrm>
        <a:prstGeom prst="leftArrow">
          <a:avLst/>
        </a:prstGeom>
        <a:solidFill>
          <a:srgbClr val="FF000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BO" sz="1100"/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471487</xdr:colOff>
      <xdr:row>19</xdr:row>
      <xdr:rowOff>100012</xdr:rowOff>
    </xdr:from>
    <xdr:to>
      <xdr:col>11</xdr:col>
      <xdr:colOff>385762</xdr:colOff>
      <xdr:row>30</xdr:row>
      <xdr:rowOff>71438</xdr:rowOff>
    </xdr:to>
    <xdr:graphicFrame macro="">
      <xdr:nvGraphicFramePr>
        <xdr:cNvPr id="4" name="3 Gráfico">
          <a:extLst>
            <a:ext uri="{FF2B5EF4-FFF2-40B4-BE49-F238E27FC236}">
              <a16:creationId xmlns="" xmlns:a16="http://schemas.microsoft.com/office/drawing/2014/main" id="{00000000-0008-0000-0D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419100</xdr:colOff>
      <xdr:row>1</xdr:row>
      <xdr:rowOff>76200</xdr:rowOff>
    </xdr:from>
    <xdr:to>
      <xdr:col>14</xdr:col>
      <xdr:colOff>1343025</xdr:colOff>
      <xdr:row>4</xdr:row>
      <xdr:rowOff>38100</xdr:rowOff>
    </xdr:to>
    <xdr:sp macro="[0]!MENU" textlink="">
      <xdr:nvSpPr>
        <xdr:cNvPr id="3" name="2 Rectángulo">
          <a:extLst>
            <a:ext uri="{FF2B5EF4-FFF2-40B4-BE49-F238E27FC236}">
              <a16:creationId xmlns="" xmlns:a16="http://schemas.microsoft.com/office/drawing/2014/main" id="{00000000-0008-0000-0D00-000003000000}"/>
            </a:ext>
          </a:extLst>
        </xdr:cNvPr>
        <xdr:cNvSpPr/>
      </xdr:nvSpPr>
      <xdr:spPr>
        <a:xfrm>
          <a:off x="7210425" y="266700"/>
          <a:ext cx="1371600" cy="542925"/>
        </a:xfrm>
        <a:prstGeom prst="rect">
          <a:avLst/>
        </a:prstGeom>
        <a:solidFill>
          <a:schemeClr val="bg2">
            <a:lumMod val="9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800" b="1">
              <a:solidFill>
                <a:schemeClr val="tx1"/>
              </a:solidFill>
            </a:rPr>
            <a:t>MENÚ</a:t>
          </a:r>
        </a:p>
      </xdr:txBody>
    </xdr:sp>
    <xdr:clientData/>
  </xdr:twoCellAnchor>
  <xdr:twoCellAnchor>
    <xdr:from>
      <xdr:col>14</xdr:col>
      <xdr:colOff>0</xdr:colOff>
      <xdr:row>4</xdr:row>
      <xdr:rowOff>59532</xdr:rowOff>
    </xdr:from>
    <xdr:to>
      <xdr:col>14</xdr:col>
      <xdr:colOff>1400175</xdr:colOff>
      <xdr:row>8</xdr:row>
      <xdr:rowOff>9525</xdr:rowOff>
    </xdr:to>
    <xdr:sp macro="[0]!CEN_POR_AREA" textlink="">
      <xdr:nvSpPr>
        <xdr:cNvPr id="5" name="4 Flecha derecha">
          <a:extLst>
            <a:ext uri="{FF2B5EF4-FFF2-40B4-BE49-F238E27FC236}">
              <a16:creationId xmlns="" xmlns:a16="http://schemas.microsoft.com/office/drawing/2014/main" id="{00000000-0008-0000-0D00-000005000000}"/>
            </a:ext>
          </a:extLst>
        </xdr:cNvPr>
        <xdr:cNvSpPr/>
      </xdr:nvSpPr>
      <xdr:spPr>
        <a:xfrm>
          <a:off x="6977063" y="833438"/>
          <a:ext cx="1400175" cy="890587"/>
        </a:xfrm>
        <a:prstGeom prst="rightArrow">
          <a:avLst/>
        </a:prstGeom>
        <a:solidFill>
          <a:srgbClr val="0070C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BO" sz="1100"/>
        </a:p>
      </xdr:txBody>
    </xdr:sp>
    <xdr:clientData/>
  </xdr:twoCellAnchor>
  <xdr:twoCellAnchor>
    <xdr:from>
      <xdr:col>13</xdr:col>
      <xdr:colOff>409575</xdr:colOff>
      <xdr:row>8</xdr:row>
      <xdr:rowOff>19051</xdr:rowOff>
    </xdr:from>
    <xdr:to>
      <xdr:col>14</xdr:col>
      <xdr:colOff>1381126</xdr:colOff>
      <xdr:row>12</xdr:row>
      <xdr:rowOff>1</xdr:rowOff>
    </xdr:to>
    <xdr:sp macro="[0]!CENTRALIZADOR" textlink="">
      <xdr:nvSpPr>
        <xdr:cNvPr id="6" name="5 Flecha izquierda">
          <a:extLst>
            <a:ext uri="{FF2B5EF4-FFF2-40B4-BE49-F238E27FC236}">
              <a16:creationId xmlns="" xmlns:a16="http://schemas.microsoft.com/office/drawing/2014/main" id="{00000000-0008-0000-0D00-000006000000}"/>
            </a:ext>
          </a:extLst>
        </xdr:cNvPr>
        <xdr:cNvSpPr/>
      </xdr:nvSpPr>
      <xdr:spPr>
        <a:xfrm>
          <a:off x="6706658" y="1733551"/>
          <a:ext cx="1416051" cy="742950"/>
        </a:xfrm>
        <a:prstGeom prst="leftArrow">
          <a:avLst/>
        </a:prstGeom>
        <a:solidFill>
          <a:srgbClr val="FF000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BO" sz="1100"/>
        </a:p>
      </xdr:txBody>
    </xdr:sp>
    <xdr:clientData/>
  </xdr:twoCellAnchor>
  <xdr:twoCellAnchor>
    <xdr:from>
      <xdr:col>4</xdr:col>
      <xdr:colOff>444499</xdr:colOff>
      <xdr:row>9</xdr:row>
      <xdr:rowOff>157691</xdr:rowOff>
    </xdr:from>
    <xdr:to>
      <xdr:col>13</xdr:col>
      <xdr:colOff>21166</xdr:colOff>
      <xdr:row>18</xdr:row>
      <xdr:rowOff>116417</xdr:rowOff>
    </xdr:to>
    <xdr:graphicFrame macro="">
      <xdr:nvGraphicFramePr>
        <xdr:cNvPr id="7" name="6 Gráfico">
          <a:extLst>
            <a:ext uri="{FF2B5EF4-FFF2-40B4-BE49-F238E27FC236}">
              <a16:creationId xmlns="" xmlns:a16="http://schemas.microsoft.com/office/drawing/2014/main" id="{00000000-0008-0000-0D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19050</xdr:colOff>
      <xdr:row>11</xdr:row>
      <xdr:rowOff>19050</xdr:rowOff>
    </xdr:from>
    <xdr:to>
      <xdr:col>3</xdr:col>
      <xdr:colOff>0</xdr:colOff>
      <xdr:row>13</xdr:row>
      <xdr:rowOff>0</xdr:rowOff>
    </xdr:to>
    <xdr:cxnSp macro="">
      <xdr:nvCxnSpPr>
        <xdr:cNvPr id="2" name="Conector recto 2">
          <a:extLst>
            <a:ext uri="{FF2B5EF4-FFF2-40B4-BE49-F238E27FC236}">
              <a16:creationId xmlns="" xmlns:a16="http://schemas.microsoft.com/office/drawing/2014/main" id="{00000000-0008-0000-0E00-000002000000}"/>
            </a:ext>
          </a:extLst>
        </xdr:cNvPr>
        <xdr:cNvCxnSpPr/>
      </xdr:nvCxnSpPr>
      <xdr:spPr>
        <a:xfrm>
          <a:off x="781050" y="2286000"/>
          <a:ext cx="2133600" cy="904875"/>
        </a:xfrm>
        <a:prstGeom prst="line">
          <a:avLst/>
        </a:prstGeom>
        <a:ln w="19050"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104776</xdr:colOff>
      <xdr:row>1</xdr:row>
      <xdr:rowOff>333374</xdr:rowOff>
    </xdr:from>
    <xdr:to>
      <xdr:col>73</xdr:col>
      <xdr:colOff>85725</xdr:colOff>
      <xdr:row>10</xdr:row>
      <xdr:rowOff>9525</xdr:rowOff>
    </xdr:to>
    <xdr:graphicFrame macro="">
      <xdr:nvGraphicFramePr>
        <xdr:cNvPr id="3" name="2 Gráfico">
          <a:extLst>
            <a:ext uri="{FF2B5EF4-FFF2-40B4-BE49-F238E27FC236}">
              <a16:creationId xmlns="" xmlns:a16="http://schemas.microsoft.com/office/drawing/2014/main" id="{00000000-0008-0000-0E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74</xdr:col>
      <xdr:colOff>352425</xdr:colOff>
      <xdr:row>7</xdr:row>
      <xdr:rowOff>142875</xdr:rowOff>
    </xdr:from>
    <xdr:to>
      <xdr:col>76</xdr:col>
      <xdr:colOff>200025</xdr:colOff>
      <xdr:row>11</xdr:row>
      <xdr:rowOff>47625</xdr:rowOff>
    </xdr:to>
    <xdr:sp macro="[0]!MENU" textlink="">
      <xdr:nvSpPr>
        <xdr:cNvPr id="4" name="3 Rectángulo">
          <a:extLst>
            <a:ext uri="{FF2B5EF4-FFF2-40B4-BE49-F238E27FC236}">
              <a16:creationId xmlns="" xmlns:a16="http://schemas.microsoft.com/office/drawing/2014/main" id="{00000000-0008-0000-0E00-000004000000}"/>
            </a:ext>
          </a:extLst>
        </xdr:cNvPr>
        <xdr:cNvSpPr/>
      </xdr:nvSpPr>
      <xdr:spPr>
        <a:xfrm>
          <a:off x="18078450" y="1504950"/>
          <a:ext cx="1371600" cy="542925"/>
        </a:xfrm>
        <a:prstGeom prst="rect">
          <a:avLst/>
        </a:prstGeom>
        <a:solidFill>
          <a:schemeClr val="bg2">
            <a:lumMod val="9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800" b="1">
              <a:solidFill>
                <a:schemeClr val="tx1"/>
              </a:solidFill>
            </a:rPr>
            <a:t>MENÚ</a:t>
          </a:r>
        </a:p>
      </xdr:txBody>
    </xdr:sp>
    <xdr:clientData/>
  </xdr:twoCellAnchor>
  <xdr:twoCellAnchor>
    <xdr:from>
      <xdr:col>74</xdr:col>
      <xdr:colOff>381000</xdr:colOff>
      <xdr:row>11</xdr:row>
      <xdr:rowOff>180975</xdr:rowOff>
    </xdr:from>
    <xdr:to>
      <xdr:col>76</xdr:col>
      <xdr:colOff>257175</xdr:colOff>
      <xdr:row>12</xdr:row>
      <xdr:rowOff>733425</xdr:rowOff>
    </xdr:to>
    <xdr:sp macro="[0]!BOLETINES" textlink="">
      <xdr:nvSpPr>
        <xdr:cNvPr id="5" name="4 Flecha derecha">
          <a:extLst>
            <a:ext uri="{FF2B5EF4-FFF2-40B4-BE49-F238E27FC236}">
              <a16:creationId xmlns="" xmlns:a16="http://schemas.microsoft.com/office/drawing/2014/main" id="{00000000-0008-0000-0E00-000005000000}"/>
            </a:ext>
          </a:extLst>
        </xdr:cNvPr>
        <xdr:cNvSpPr/>
      </xdr:nvSpPr>
      <xdr:spPr>
        <a:xfrm>
          <a:off x="18107025" y="2181225"/>
          <a:ext cx="1400175" cy="752475"/>
        </a:xfrm>
        <a:prstGeom prst="rightArrow">
          <a:avLst/>
        </a:prstGeom>
        <a:solidFill>
          <a:srgbClr val="0070C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BO" sz="1100"/>
        </a:p>
      </xdr:txBody>
    </xdr:sp>
    <xdr:clientData/>
  </xdr:twoCellAnchor>
  <xdr:twoCellAnchor>
    <xdr:from>
      <xdr:col>74</xdr:col>
      <xdr:colOff>390525</xdr:colOff>
      <xdr:row>12</xdr:row>
      <xdr:rowOff>752475</xdr:rowOff>
    </xdr:from>
    <xdr:to>
      <xdr:col>76</xdr:col>
      <xdr:colOff>238125</xdr:colOff>
      <xdr:row>12</xdr:row>
      <xdr:rowOff>1533525</xdr:rowOff>
    </xdr:to>
    <xdr:sp macro="[0]!REP_APR" textlink="">
      <xdr:nvSpPr>
        <xdr:cNvPr id="6" name="5 Flecha izquierda">
          <a:extLst>
            <a:ext uri="{FF2B5EF4-FFF2-40B4-BE49-F238E27FC236}">
              <a16:creationId xmlns="" xmlns:a16="http://schemas.microsoft.com/office/drawing/2014/main" id="{00000000-0008-0000-0E00-000006000000}"/>
            </a:ext>
          </a:extLst>
        </xdr:cNvPr>
        <xdr:cNvSpPr/>
      </xdr:nvSpPr>
      <xdr:spPr>
        <a:xfrm>
          <a:off x="18116550" y="2952750"/>
          <a:ext cx="1371600" cy="781050"/>
        </a:xfrm>
        <a:prstGeom prst="leftArrow">
          <a:avLst/>
        </a:prstGeom>
        <a:solidFill>
          <a:srgbClr val="FF000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BO" sz="1100"/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304800</xdr:colOff>
      <xdr:row>2</xdr:row>
      <xdr:rowOff>0</xdr:rowOff>
    </xdr:from>
    <xdr:to>
      <xdr:col>12</xdr:col>
      <xdr:colOff>152400</xdr:colOff>
      <xdr:row>4</xdr:row>
      <xdr:rowOff>161925</xdr:rowOff>
    </xdr:to>
    <xdr:sp macro="[0]!MENU" textlink="">
      <xdr:nvSpPr>
        <xdr:cNvPr id="3" name="2 Rectángulo">
          <a:extLst>
            <a:ext uri="{FF2B5EF4-FFF2-40B4-BE49-F238E27FC236}">
              <a16:creationId xmlns="" xmlns:a16="http://schemas.microsoft.com/office/drawing/2014/main" id="{00000000-0008-0000-0F00-000003000000}"/>
            </a:ext>
          </a:extLst>
        </xdr:cNvPr>
        <xdr:cNvSpPr/>
      </xdr:nvSpPr>
      <xdr:spPr>
        <a:xfrm>
          <a:off x="7820025" y="381000"/>
          <a:ext cx="1371600" cy="542925"/>
        </a:xfrm>
        <a:prstGeom prst="rect">
          <a:avLst/>
        </a:prstGeom>
        <a:solidFill>
          <a:schemeClr val="bg2">
            <a:lumMod val="9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800" b="1">
              <a:solidFill>
                <a:schemeClr val="tx1"/>
              </a:solidFill>
            </a:rPr>
            <a:t>MENÚ</a:t>
          </a:r>
        </a:p>
      </xdr:txBody>
    </xdr:sp>
    <xdr:clientData/>
  </xdr:twoCellAnchor>
  <xdr:twoCellAnchor>
    <xdr:from>
      <xdr:col>10</xdr:col>
      <xdr:colOff>325820</xdr:colOff>
      <xdr:row>9</xdr:row>
      <xdr:rowOff>134992</xdr:rowOff>
    </xdr:from>
    <xdr:to>
      <xdr:col>12</xdr:col>
      <xdr:colOff>221046</xdr:colOff>
      <xdr:row>13</xdr:row>
      <xdr:rowOff>151086</xdr:rowOff>
    </xdr:to>
    <xdr:sp macro="[0]!CEN_POR_AREA" textlink="">
      <xdr:nvSpPr>
        <xdr:cNvPr id="6" name="5 Flecha izquierda">
          <a:extLst>
            <a:ext uri="{FF2B5EF4-FFF2-40B4-BE49-F238E27FC236}">
              <a16:creationId xmlns="" xmlns:a16="http://schemas.microsoft.com/office/drawing/2014/main" id="{00000000-0008-0000-0F00-000006000000}"/>
            </a:ext>
          </a:extLst>
        </xdr:cNvPr>
        <xdr:cNvSpPr/>
      </xdr:nvSpPr>
      <xdr:spPr>
        <a:xfrm>
          <a:off x="7919544" y="1862630"/>
          <a:ext cx="1419226" cy="778094"/>
        </a:xfrm>
        <a:prstGeom prst="leftArrow">
          <a:avLst/>
        </a:prstGeom>
        <a:solidFill>
          <a:srgbClr val="FF000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BO" sz="1100"/>
        </a:p>
      </xdr:txBody>
    </xdr:sp>
    <xdr:clientData/>
  </xdr:twoCellAnchor>
  <xdr:twoCellAnchor>
    <xdr:from>
      <xdr:col>10</xdr:col>
      <xdr:colOff>306113</xdr:colOff>
      <xdr:row>5</xdr:row>
      <xdr:rowOff>69303</xdr:rowOff>
    </xdr:from>
    <xdr:to>
      <xdr:col>12</xdr:col>
      <xdr:colOff>182288</xdr:colOff>
      <xdr:row>9</xdr:row>
      <xdr:rowOff>54890</xdr:rowOff>
    </xdr:to>
    <xdr:sp macro="[0]!EST_DEST" textlink="">
      <xdr:nvSpPr>
        <xdr:cNvPr id="5" name="4 Flecha derecha">
          <a:extLst>
            <a:ext uri="{FF2B5EF4-FFF2-40B4-BE49-F238E27FC236}">
              <a16:creationId xmlns="" xmlns:a16="http://schemas.microsoft.com/office/drawing/2014/main" id="{00000000-0008-0000-0E00-000005000000}"/>
            </a:ext>
          </a:extLst>
        </xdr:cNvPr>
        <xdr:cNvSpPr/>
      </xdr:nvSpPr>
      <xdr:spPr>
        <a:xfrm>
          <a:off x="7899837" y="1028372"/>
          <a:ext cx="1400175" cy="754156"/>
        </a:xfrm>
        <a:prstGeom prst="rightArrow">
          <a:avLst/>
        </a:prstGeom>
        <a:solidFill>
          <a:srgbClr val="0070C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BO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6</xdr:row>
          <xdr:rowOff>133350</xdr:rowOff>
        </xdr:from>
        <xdr:to>
          <xdr:col>2</xdr:col>
          <xdr:colOff>1962150</xdr:colOff>
          <xdr:row>15</xdr:row>
          <xdr:rowOff>114300</xdr:rowOff>
        </xdr:to>
        <xdr:pic>
          <xdr:nvPicPr>
            <xdr:cNvPr id="17822" name="Imagen 1"/>
            <xdr:cNvPicPr>
              <a:picLocks noChangeAspect="1"/>
              <a:extLst>
                <a:ext uri="{84589F7E-364E-4C9E-8A38-B11213B215E9}">
                  <a14:cameraTool cellRange="FOTO" spid="_x0000_s18051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1066800" y="1295400"/>
              <a:ext cx="1905000" cy="169545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99392</xdr:colOff>
      <xdr:row>2</xdr:row>
      <xdr:rowOff>8283</xdr:rowOff>
    </xdr:from>
    <xdr:to>
      <xdr:col>19</xdr:col>
      <xdr:colOff>145774</xdr:colOff>
      <xdr:row>5</xdr:row>
      <xdr:rowOff>45969</xdr:rowOff>
    </xdr:to>
    <xdr:sp macro="[0]!MENU" textlink="">
      <xdr:nvSpPr>
        <xdr:cNvPr id="4" name="2 Rectángulo">
          <a:extLst>
            <a:ext uri="{FF2B5EF4-FFF2-40B4-BE49-F238E27FC236}">
              <a16:creationId xmlns="" xmlns:a16="http://schemas.microsoft.com/office/drawing/2014/main" id="{00000000-0008-0000-0F00-000003000000}"/>
            </a:ext>
          </a:extLst>
        </xdr:cNvPr>
        <xdr:cNvSpPr/>
      </xdr:nvSpPr>
      <xdr:spPr>
        <a:xfrm>
          <a:off x="7056783" y="265044"/>
          <a:ext cx="1371600" cy="542925"/>
        </a:xfrm>
        <a:prstGeom prst="rect">
          <a:avLst/>
        </a:prstGeom>
        <a:solidFill>
          <a:schemeClr val="bg2">
            <a:lumMod val="9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800" b="1">
              <a:solidFill>
                <a:schemeClr val="tx1"/>
              </a:solidFill>
            </a:rPr>
            <a:t>MENÚ</a:t>
          </a:r>
        </a:p>
      </xdr:txBody>
    </xdr:sp>
    <xdr:clientData/>
  </xdr:twoCellAnchor>
  <xdr:twoCellAnchor>
    <xdr:from>
      <xdr:col>15</xdr:col>
      <xdr:colOff>75787</xdr:colOff>
      <xdr:row>5</xdr:row>
      <xdr:rowOff>118879</xdr:rowOff>
    </xdr:from>
    <xdr:to>
      <xdr:col>19</xdr:col>
      <xdr:colOff>122169</xdr:colOff>
      <xdr:row>9</xdr:row>
      <xdr:rowOff>0</xdr:rowOff>
    </xdr:to>
    <xdr:sp macro="[0]!BOLETINES" textlink="">
      <xdr:nvSpPr>
        <xdr:cNvPr id="6" name="5 Flecha izquierda">
          <a:extLst>
            <a:ext uri="{FF2B5EF4-FFF2-40B4-BE49-F238E27FC236}">
              <a16:creationId xmlns="" xmlns:a16="http://schemas.microsoft.com/office/drawing/2014/main" id="{00000000-0008-0000-0E00-000006000000}"/>
            </a:ext>
          </a:extLst>
        </xdr:cNvPr>
        <xdr:cNvSpPr/>
      </xdr:nvSpPr>
      <xdr:spPr>
        <a:xfrm>
          <a:off x="7033178" y="880879"/>
          <a:ext cx="1371600" cy="781050"/>
        </a:xfrm>
        <a:prstGeom prst="leftArrow">
          <a:avLst/>
        </a:prstGeom>
        <a:solidFill>
          <a:srgbClr val="FF000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BO" sz="1100"/>
        </a:p>
      </xdr:txBody>
    </xdr:sp>
    <xdr:clientData/>
  </xdr:twoCellAnchor>
  <xdr:twoCellAnchor>
    <xdr:from>
      <xdr:col>9</xdr:col>
      <xdr:colOff>8283</xdr:colOff>
      <xdr:row>15</xdr:row>
      <xdr:rowOff>82826</xdr:rowOff>
    </xdr:from>
    <xdr:to>
      <xdr:col>13</xdr:col>
      <xdr:colOff>16566</xdr:colOff>
      <xdr:row>17</xdr:row>
      <xdr:rowOff>0</xdr:rowOff>
    </xdr:to>
    <xdr:sp macro="[0]!DESTACADOS" textlink="">
      <xdr:nvSpPr>
        <xdr:cNvPr id="2" name="1 Rectángulo"/>
        <xdr:cNvSpPr/>
      </xdr:nvSpPr>
      <xdr:spPr>
        <a:xfrm>
          <a:off x="5499653" y="1813891"/>
          <a:ext cx="1333500" cy="314739"/>
        </a:xfrm>
        <a:prstGeom prst="rect">
          <a:avLst/>
        </a:prstGeom>
        <a:solidFill>
          <a:srgbClr val="0070C0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100" b="1"/>
            <a:t>ACTUALIZAR LISTA 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MIS%20DOCUMENTOS\mizque%202015\Cuad-Ped-2015\MATEM&#193;TICA\CUAD-PED-2014_04-2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MINEDU\REgistros%20Pedag&#243;gicos\liz\registro%20la%20habana%202016%20LIZBEDT%20SAN\EXTRAS\CUADERNO%20PEDAG&#211;GICOPRI2015\CUAPED_SEC2015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NEYVITA/Desktop/error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Edwin/Documents/rude%202016.xlsx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/nsanches2018/F&#205;SICA/cuaderno%20pedag&#243;gico/noelsan/Libreta%202017%20-%208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ARATULA"/>
      <sheetName val="DATOS"/>
      <sheetName val="CRITERIOS"/>
      <sheetName val="ASIS.PP.FF."/>
      <sheetName val="APORTES"/>
      <sheetName val="ASISTENCIA"/>
      <sheetName val="FILIACIÓN"/>
      <sheetName val="NOTAS 1º"/>
      <sheetName val="NOTAS 2º"/>
      <sheetName val="NOTAS 3º"/>
      <sheetName val="NOTAS 4º"/>
      <sheetName val="IMPRIMIR1"/>
      <sheetName val="IMPRIMIR2"/>
      <sheetName val="IMPRIMIR3"/>
      <sheetName val="IMPRIMIR4"/>
      <sheetName val="C. LEN"/>
    </sheetNames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DEX"/>
      <sheetName val="CARATULA"/>
      <sheetName val="FIL"/>
      <sheetName val="FIL_LISTA"/>
      <sheetName val="Macro1"/>
      <sheetName val="INICIO"/>
      <sheetName val="FIL_PRINT"/>
      <sheetName val="ASISTENCIA"/>
      <sheetName val="USUARIO"/>
      <sheetName val="CAL_LEN"/>
      <sheetName val="EST_EST"/>
      <sheetName val="EST_TEMAS"/>
      <sheetName val="HORARIO"/>
      <sheetName val="AGENDA"/>
      <sheetName val="CONTACTOS"/>
      <sheetName val="BOLETINES"/>
      <sheetName val="CEN_1"/>
      <sheetName val="CEN_2"/>
      <sheetName val="CEN_3"/>
      <sheetName val="CEN_4"/>
      <sheetName val="BOL_LISTA"/>
      <sheetName val="AUTOR"/>
      <sheetName val="CUAPED_SEC2015"/>
    </sheetNames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error"/>
    </sheetNames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mpresion"/>
      <sheetName val="datos de los estudiantes"/>
      <sheetName val="Hoja1"/>
      <sheetName val="Hoja2"/>
      <sheetName val="Hoja3"/>
    </sheetNames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ICI0"/>
      <sheetName val="INICIO"/>
      <sheetName val="INSC"/>
      <sheetName val="C_G"/>
      <sheetName val="P_N_1ºB"/>
      <sheetName val="P_N_2ºB"/>
      <sheetName val="P_N_3ºB"/>
      <sheetName val="P_N_4ºB"/>
      <sheetName val="P_N_ANUAL"/>
      <sheetName val="A_R_A_Gen"/>
      <sheetName val="LIBRETA1"/>
      <sheetName val="LIBRETA2"/>
      <sheetName val="NOT_ALT"/>
      <sheetName val="EST_DEST"/>
      <sheetName val="R_A_1ºB"/>
      <sheetName val="R_A_2ºB"/>
      <sheetName val="R_A_3ºB"/>
      <sheetName val="R_A_4ºB"/>
      <sheetName val="R_A_ANUAL"/>
    </sheetNames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comments" Target="../comments3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4" Type="http://schemas.openxmlformats.org/officeDocument/2006/relationships/comments" Target="../comments4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Relationship Id="rId4" Type="http://schemas.openxmlformats.org/officeDocument/2006/relationships/comments" Target="../comments5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Relationship Id="rId4" Type="http://schemas.openxmlformats.org/officeDocument/2006/relationships/comments" Target="../comments6.x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Relationship Id="rId4" Type="http://schemas.openxmlformats.org/officeDocument/2006/relationships/comments" Target="../comments7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>
    <pageSetUpPr fitToPage="1"/>
  </sheetPr>
  <dimension ref="B2:K25"/>
  <sheetViews>
    <sheetView workbookViewId="0">
      <selection activeCell="Q13" sqref="Q13:R13"/>
    </sheetView>
  </sheetViews>
  <sheetFormatPr baseColWidth="10" defaultColWidth="11.42578125" defaultRowHeight="15" x14ac:dyDescent="0.25"/>
  <cols>
    <col min="1" max="1" width="11.42578125" style="2" customWidth="1"/>
    <col min="2" max="2" width="4.7109375" style="2" customWidth="1"/>
    <col min="3" max="10" width="11.42578125" style="2"/>
    <col min="11" max="11" width="3.140625" style="2" customWidth="1"/>
    <col min="12" max="16384" width="11.42578125" style="2"/>
  </cols>
  <sheetData>
    <row r="2" spans="2:11" ht="15.75" thickBot="1" x14ac:dyDescent="0.3"/>
    <row r="3" spans="2:11" x14ac:dyDescent="0.25">
      <c r="B3" s="425"/>
      <c r="C3" s="426"/>
      <c r="D3" s="426"/>
      <c r="E3" s="426"/>
      <c r="F3" s="426"/>
      <c r="G3" s="426"/>
      <c r="H3" s="426"/>
      <c r="I3" s="426"/>
      <c r="J3" s="426"/>
      <c r="K3" s="427"/>
    </row>
    <row r="4" spans="2:11" x14ac:dyDescent="0.25">
      <c r="B4" s="428"/>
      <c r="C4" s="28"/>
      <c r="D4" s="28"/>
      <c r="E4" s="28"/>
      <c r="F4" s="28"/>
      <c r="G4" s="28"/>
      <c r="H4" s="28"/>
      <c r="I4" s="28"/>
      <c r="J4" s="28"/>
      <c r="K4" s="429"/>
    </row>
    <row r="5" spans="2:11" x14ac:dyDescent="0.25">
      <c r="B5" s="428"/>
      <c r="C5" s="28"/>
      <c r="D5" s="28"/>
      <c r="E5" s="28"/>
      <c r="F5" s="28"/>
      <c r="G5" s="28"/>
      <c r="H5" s="28"/>
      <c r="I5" s="28"/>
      <c r="J5" s="28"/>
      <c r="K5" s="429"/>
    </row>
    <row r="6" spans="2:11" x14ac:dyDescent="0.25">
      <c r="B6" s="428"/>
      <c r="C6" s="28"/>
      <c r="D6" s="28"/>
      <c r="E6" s="28"/>
      <c r="F6" s="28"/>
      <c r="G6" s="28"/>
      <c r="H6" s="28"/>
      <c r="I6" s="28"/>
      <c r="J6" s="28"/>
      <c r="K6" s="429"/>
    </row>
    <row r="7" spans="2:11" x14ac:dyDescent="0.25">
      <c r="B7" s="428"/>
      <c r="C7" s="28"/>
      <c r="D7" s="28"/>
      <c r="E7" s="28"/>
      <c r="F7" s="28"/>
      <c r="G7" s="28"/>
      <c r="H7" s="28"/>
      <c r="I7" s="28"/>
      <c r="J7" s="28"/>
      <c r="K7" s="429"/>
    </row>
    <row r="8" spans="2:11" x14ac:dyDescent="0.25">
      <c r="B8" s="428"/>
      <c r="C8" s="28"/>
      <c r="D8" s="28"/>
      <c r="E8" s="28"/>
      <c r="F8" s="28"/>
      <c r="G8" s="28"/>
      <c r="H8" s="28"/>
      <c r="I8" s="28"/>
      <c r="J8" s="28"/>
      <c r="K8" s="429"/>
    </row>
    <row r="9" spans="2:11" x14ac:dyDescent="0.25">
      <c r="B9" s="428"/>
      <c r="C9" s="28"/>
      <c r="D9" s="28"/>
      <c r="E9" s="28"/>
      <c r="F9" s="28"/>
      <c r="G9" s="28"/>
      <c r="H9" s="28"/>
      <c r="I9" s="28"/>
      <c r="J9" s="28"/>
      <c r="K9" s="429"/>
    </row>
    <row r="10" spans="2:11" x14ac:dyDescent="0.25">
      <c r="B10" s="428"/>
      <c r="C10" s="28"/>
      <c r="D10" s="28"/>
      <c r="E10" s="28"/>
      <c r="F10" s="28"/>
      <c r="G10" s="28"/>
      <c r="H10" s="28"/>
      <c r="I10" s="28"/>
      <c r="J10" s="28"/>
      <c r="K10" s="429"/>
    </row>
    <row r="11" spans="2:11" x14ac:dyDescent="0.25">
      <c r="B11" s="428"/>
      <c r="C11" s="28"/>
      <c r="D11" s="28"/>
      <c r="E11" s="28"/>
      <c r="F11" s="28"/>
      <c r="G11" s="28"/>
      <c r="H11" s="28"/>
      <c r="I11" s="28"/>
      <c r="J11" s="28"/>
      <c r="K11" s="429"/>
    </row>
    <row r="12" spans="2:11" x14ac:dyDescent="0.25">
      <c r="B12" s="428"/>
      <c r="C12" s="28"/>
      <c r="D12" s="28"/>
      <c r="E12" s="28"/>
      <c r="F12" s="28"/>
      <c r="G12" s="28"/>
      <c r="H12" s="28"/>
      <c r="I12" s="28"/>
      <c r="J12" s="28"/>
      <c r="K12" s="429"/>
    </row>
    <row r="13" spans="2:11" x14ac:dyDescent="0.25">
      <c r="B13" s="428"/>
      <c r="C13" s="28"/>
      <c r="D13" s="28"/>
      <c r="E13" s="28"/>
      <c r="F13" s="28"/>
      <c r="G13" s="28"/>
      <c r="H13" s="28"/>
      <c r="I13" s="28"/>
      <c r="J13" s="28"/>
      <c r="K13" s="429"/>
    </row>
    <row r="14" spans="2:11" x14ac:dyDescent="0.25">
      <c r="B14" s="428"/>
      <c r="C14" s="28"/>
      <c r="D14" s="28"/>
      <c r="E14" s="28"/>
      <c r="F14" s="28"/>
      <c r="G14" s="28"/>
      <c r="H14" s="28"/>
      <c r="I14" s="28"/>
      <c r="J14" s="28"/>
      <c r="K14" s="429"/>
    </row>
    <row r="15" spans="2:11" x14ac:dyDescent="0.25">
      <c r="B15" s="428"/>
      <c r="C15" s="28"/>
      <c r="D15" s="28"/>
      <c r="E15" s="28"/>
      <c r="F15" s="28"/>
      <c r="G15" s="28"/>
      <c r="H15" s="28"/>
      <c r="I15" s="28"/>
      <c r="J15" s="28"/>
      <c r="K15" s="429"/>
    </row>
    <row r="16" spans="2:11" x14ac:dyDescent="0.25">
      <c r="B16" s="428"/>
      <c r="C16" s="28"/>
      <c r="D16" s="28"/>
      <c r="E16" s="28"/>
      <c r="F16" s="28"/>
      <c r="G16" s="28"/>
      <c r="H16" s="28"/>
      <c r="I16" s="28"/>
      <c r="J16" s="28"/>
      <c r="K16" s="429"/>
    </row>
    <row r="17" spans="2:11" x14ac:dyDescent="0.25">
      <c r="B17" s="428"/>
      <c r="C17" s="28"/>
      <c r="D17" s="28"/>
      <c r="E17" s="28"/>
      <c r="F17" s="28"/>
      <c r="G17" s="28"/>
      <c r="H17" s="28"/>
      <c r="I17" s="28"/>
      <c r="J17" s="28"/>
      <c r="K17" s="429"/>
    </row>
    <row r="18" spans="2:11" x14ac:dyDescent="0.25">
      <c r="B18" s="428"/>
      <c r="C18" s="28"/>
      <c r="D18" s="28"/>
      <c r="E18" s="28"/>
      <c r="F18" s="28"/>
      <c r="G18" s="28"/>
      <c r="H18" s="28"/>
      <c r="I18" s="28"/>
      <c r="J18" s="28"/>
      <c r="K18" s="429"/>
    </row>
    <row r="19" spans="2:11" x14ac:dyDescent="0.25">
      <c r="B19" s="428"/>
      <c r="C19" s="28"/>
      <c r="D19" s="28"/>
      <c r="E19" s="28"/>
      <c r="F19" s="28"/>
      <c r="G19" s="28"/>
      <c r="H19" s="28"/>
      <c r="I19" s="28"/>
      <c r="J19" s="28"/>
      <c r="K19" s="429"/>
    </row>
    <row r="20" spans="2:11" x14ac:dyDescent="0.25">
      <c r="B20" s="428"/>
      <c r="C20" s="28"/>
      <c r="D20" s="28"/>
      <c r="E20" s="28"/>
      <c r="F20" s="28"/>
      <c r="G20" s="28"/>
      <c r="H20" s="28"/>
      <c r="I20" s="28"/>
      <c r="J20" s="28"/>
      <c r="K20" s="429"/>
    </row>
    <row r="21" spans="2:11" x14ac:dyDescent="0.25">
      <c r="B21" s="428"/>
      <c r="C21" s="28"/>
      <c r="D21" s="28"/>
      <c r="E21" s="28"/>
      <c r="F21" s="28"/>
      <c r="G21" s="28"/>
      <c r="H21" s="28"/>
      <c r="I21" s="28"/>
      <c r="J21" s="28"/>
      <c r="K21" s="429"/>
    </row>
    <row r="22" spans="2:11" x14ac:dyDescent="0.25">
      <c r="B22" s="428"/>
      <c r="C22" s="28"/>
      <c r="D22" s="28"/>
      <c r="E22" s="28"/>
      <c r="F22" s="28"/>
      <c r="G22" s="28"/>
      <c r="H22" s="28"/>
      <c r="I22" s="28"/>
      <c r="J22" s="28"/>
      <c r="K22" s="429"/>
    </row>
    <row r="23" spans="2:11" x14ac:dyDescent="0.25">
      <c r="B23" s="428"/>
      <c r="C23" s="28"/>
      <c r="D23" s="28"/>
      <c r="E23" s="28"/>
      <c r="F23" s="28"/>
      <c r="G23" s="28"/>
      <c r="H23" s="28"/>
      <c r="I23" s="28"/>
      <c r="J23" s="28"/>
      <c r="K23" s="429"/>
    </row>
    <row r="24" spans="2:11" x14ac:dyDescent="0.25">
      <c r="B24" s="428"/>
      <c r="C24" s="28"/>
      <c r="D24" s="28"/>
      <c r="E24" s="28"/>
      <c r="F24" s="28"/>
      <c r="G24" s="28"/>
      <c r="H24" s="28"/>
      <c r="I24" s="28"/>
      <c r="J24" s="28"/>
      <c r="K24" s="429"/>
    </row>
    <row r="25" spans="2:11" ht="15.75" thickBot="1" x14ac:dyDescent="0.3">
      <c r="B25" s="430"/>
      <c r="C25" s="431"/>
      <c r="D25" s="431"/>
      <c r="E25" s="431"/>
      <c r="F25" s="431"/>
      <c r="G25" s="431"/>
      <c r="H25" s="431"/>
      <c r="I25" s="431"/>
      <c r="J25" s="431"/>
      <c r="K25" s="432"/>
    </row>
  </sheetData>
  <pageMargins left="0.7" right="0.7" top="0.75" bottom="0.75" header="0.3" footer="0.3"/>
  <pageSetup scale="91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">
    <tabColor rgb="FFFF0000"/>
    <pageSetUpPr fitToPage="1"/>
  </sheetPr>
  <dimension ref="A2:T96"/>
  <sheetViews>
    <sheetView topLeftCell="A3" zoomScale="80" zoomScaleNormal="80" workbookViewId="0">
      <selection activeCell="M30" sqref="M30"/>
    </sheetView>
  </sheetViews>
  <sheetFormatPr baseColWidth="10" defaultColWidth="11.42578125" defaultRowHeight="15" x14ac:dyDescent="0.25"/>
  <cols>
    <col min="1" max="1" width="4.140625" style="46" customWidth="1"/>
    <col min="2" max="2" width="1" style="46" customWidth="1"/>
    <col min="3" max="3" width="5" style="46" customWidth="1"/>
    <col min="4" max="4" width="26.5703125" style="46" customWidth="1"/>
    <col min="5" max="5" width="1.140625" style="46" customWidth="1"/>
    <col min="6" max="6" width="2.7109375" style="46" customWidth="1"/>
    <col min="7" max="7" width="30.7109375" style="46" customWidth="1"/>
    <col min="8" max="8" width="15.7109375" style="46" customWidth="1"/>
    <col min="9" max="9" width="4.42578125" style="46" customWidth="1"/>
    <col min="10" max="10" width="1.140625" style="46" customWidth="1"/>
    <col min="11" max="11" width="4.42578125" style="46" customWidth="1"/>
    <col min="12" max="12" width="11.42578125" style="46"/>
    <col min="13" max="13" width="18.5703125" style="46" customWidth="1"/>
    <col min="14" max="14" width="4" style="46" customWidth="1"/>
    <col min="15" max="15" width="2.140625" style="46" customWidth="1"/>
    <col min="16" max="16" width="15.7109375" style="46" customWidth="1"/>
    <col min="17" max="17" width="5.28515625" style="46" customWidth="1"/>
    <col min="18" max="18" width="15.7109375" style="46" customWidth="1"/>
    <col min="19" max="19" width="4.28515625" style="46" customWidth="1"/>
    <col min="20" max="16384" width="11.42578125" style="46"/>
  </cols>
  <sheetData>
    <row r="2" spans="2:20" ht="15.75" thickBot="1" x14ac:dyDescent="0.3">
      <c r="O2" s="560"/>
      <c r="P2" s="561"/>
      <c r="Q2" s="561"/>
      <c r="R2" s="561"/>
    </row>
    <row r="3" spans="2:20" ht="6" customHeight="1" x14ac:dyDescent="0.25">
      <c r="B3" s="47"/>
      <c r="C3" s="47"/>
      <c r="D3" s="47"/>
      <c r="E3" s="47"/>
      <c r="F3" s="47"/>
      <c r="G3" s="47"/>
      <c r="H3" s="47"/>
      <c r="I3" s="47"/>
      <c r="J3" s="47"/>
      <c r="N3" s="433"/>
      <c r="O3" s="434"/>
      <c r="P3" s="434"/>
      <c r="Q3" s="434"/>
      <c r="R3" s="434"/>
      <c r="S3" s="435"/>
    </row>
    <row r="4" spans="2:20" ht="28.5" customHeight="1" x14ac:dyDescent="0.25">
      <c r="B4" s="47"/>
      <c r="C4" s="393"/>
      <c r="D4" s="394"/>
      <c r="E4" s="393"/>
      <c r="F4" s="393"/>
      <c r="G4" s="393"/>
      <c r="H4" s="393"/>
      <c r="I4" s="393"/>
      <c r="J4" s="47"/>
      <c r="N4" s="405"/>
      <c r="O4" s="436"/>
      <c r="P4" s="406"/>
      <c r="Q4" s="406"/>
      <c r="R4" s="406"/>
      <c r="S4" s="437"/>
    </row>
    <row r="5" spans="2:20" x14ac:dyDescent="0.25">
      <c r="B5" s="47"/>
      <c r="C5" s="393"/>
      <c r="D5" s="393"/>
      <c r="E5" s="393"/>
      <c r="F5" s="393"/>
      <c r="G5" s="393"/>
      <c r="H5" s="393"/>
      <c r="I5" s="393"/>
      <c r="J5" s="47"/>
      <c r="N5" s="405"/>
      <c r="O5" s="406"/>
      <c r="P5" s="406"/>
      <c r="Q5" s="406"/>
      <c r="R5" s="406"/>
      <c r="S5" s="437"/>
    </row>
    <row r="6" spans="2:20" x14ac:dyDescent="0.25">
      <c r="B6" s="47"/>
      <c r="C6" s="393"/>
      <c r="D6" s="393"/>
      <c r="E6" s="393"/>
      <c r="F6" s="393"/>
      <c r="G6" s="393"/>
      <c r="H6" s="393"/>
      <c r="I6" s="393"/>
      <c r="J6" s="47"/>
      <c r="N6" s="405"/>
      <c r="O6" s="406"/>
      <c r="P6" s="406"/>
      <c r="Q6" s="406"/>
      <c r="R6" s="406"/>
      <c r="S6" s="437"/>
    </row>
    <row r="7" spans="2:20" x14ac:dyDescent="0.25">
      <c r="B7" s="47"/>
      <c r="C7" s="393"/>
      <c r="D7" s="393"/>
      <c r="E7" s="393"/>
      <c r="F7" s="393"/>
      <c r="G7" s="393"/>
      <c r="H7" s="393"/>
      <c r="I7" s="393"/>
      <c r="J7" s="47"/>
      <c r="N7" s="405"/>
      <c r="O7" s="406"/>
      <c r="P7" s="406"/>
      <c r="Q7" s="406"/>
      <c r="R7" s="406"/>
      <c r="S7" s="437"/>
    </row>
    <row r="8" spans="2:20" x14ac:dyDescent="0.25">
      <c r="B8" s="47"/>
      <c r="C8" s="393"/>
      <c r="D8" s="393"/>
      <c r="E8" s="393"/>
      <c r="F8" s="393"/>
      <c r="G8" s="393"/>
      <c r="H8" s="393"/>
      <c r="I8" s="393"/>
      <c r="J8" s="47"/>
      <c r="N8" s="405"/>
      <c r="O8" s="406"/>
      <c r="P8" s="409">
        <v>43503</v>
      </c>
      <c r="Q8" s="406"/>
      <c r="R8" s="409">
        <v>43575</v>
      </c>
      <c r="S8" s="438"/>
      <c r="T8" s="439"/>
    </row>
    <row r="9" spans="2:20" x14ac:dyDescent="0.25">
      <c r="B9" s="47"/>
      <c r="C9" s="393"/>
      <c r="D9" s="393"/>
      <c r="E9" s="393"/>
      <c r="F9" s="393"/>
      <c r="G9" s="393"/>
      <c r="H9" s="393"/>
      <c r="I9" s="393"/>
      <c r="J9" s="47"/>
      <c r="N9" s="405"/>
      <c r="O9" s="406"/>
      <c r="P9" s="406"/>
      <c r="Q9" s="406"/>
      <c r="R9" s="406"/>
      <c r="S9" s="437"/>
    </row>
    <row r="10" spans="2:20" x14ac:dyDescent="0.25">
      <c r="B10" s="47"/>
      <c r="C10" s="393"/>
      <c r="D10" s="393"/>
      <c r="E10" s="393"/>
      <c r="F10" s="393"/>
      <c r="G10" s="393"/>
      <c r="H10" s="393"/>
      <c r="I10" s="393"/>
      <c r="J10" s="47"/>
      <c r="N10" s="405"/>
      <c r="O10" s="406"/>
      <c r="P10" s="406"/>
      <c r="Q10" s="406"/>
      <c r="R10" s="406"/>
      <c r="S10" s="437"/>
    </row>
    <row r="11" spans="2:20" x14ac:dyDescent="0.25">
      <c r="B11" s="47"/>
      <c r="C11" s="393"/>
      <c r="D11" s="394"/>
      <c r="E11" s="394"/>
      <c r="F11" s="394"/>
      <c r="G11" s="394"/>
      <c r="H11" s="394"/>
      <c r="I11" s="393"/>
      <c r="J11" s="47"/>
      <c r="N11" s="405"/>
      <c r="O11" s="406"/>
      <c r="P11" s="406"/>
      <c r="Q11" s="406"/>
      <c r="R11" s="406"/>
      <c r="S11" s="437"/>
    </row>
    <row r="12" spans="2:20" ht="26.25" x14ac:dyDescent="0.4">
      <c r="B12" s="47"/>
      <c r="C12" s="393"/>
      <c r="D12" s="567" t="s">
        <v>231</v>
      </c>
      <c r="E12" s="567"/>
      <c r="F12" s="567"/>
      <c r="G12" s="567"/>
      <c r="H12" s="567"/>
      <c r="I12" s="393"/>
      <c r="J12" s="47"/>
      <c r="N12" s="405"/>
      <c r="O12" s="406"/>
      <c r="P12" s="436"/>
      <c r="Q12" s="406"/>
      <c r="R12" s="406"/>
      <c r="S12" s="437"/>
    </row>
    <row r="13" spans="2:20" x14ac:dyDescent="0.25">
      <c r="B13" s="47"/>
      <c r="C13" s="393"/>
      <c r="D13" s="394"/>
      <c r="E13" s="394"/>
      <c r="F13" s="394"/>
      <c r="G13" s="394"/>
      <c r="H13" s="394"/>
      <c r="I13" s="393"/>
      <c r="J13" s="47"/>
      <c r="N13" s="405"/>
      <c r="O13" s="406"/>
      <c r="P13" s="409">
        <v>43578</v>
      </c>
      <c r="Q13" s="406"/>
      <c r="R13" s="409">
        <v>43646</v>
      </c>
      <c r="S13" s="437"/>
    </row>
    <row r="14" spans="2:20" x14ac:dyDescent="0.25">
      <c r="B14" s="47"/>
      <c r="C14" s="393"/>
      <c r="D14" s="393"/>
      <c r="E14" s="394"/>
      <c r="F14" s="394"/>
      <c r="G14" s="394"/>
      <c r="H14" s="394"/>
      <c r="I14" s="393"/>
      <c r="J14" s="47"/>
      <c r="N14" s="405"/>
      <c r="O14" s="406"/>
      <c r="P14" s="406"/>
      <c r="Q14" s="406"/>
      <c r="R14" s="406"/>
      <c r="S14" s="437"/>
    </row>
    <row r="15" spans="2:20" x14ac:dyDescent="0.25">
      <c r="B15" s="47"/>
      <c r="C15" s="393"/>
      <c r="D15" s="393"/>
      <c r="E15" s="394"/>
      <c r="F15" s="394"/>
      <c r="G15" s="394"/>
      <c r="H15" s="394"/>
      <c r="I15" s="393"/>
      <c r="J15" s="47"/>
      <c r="N15" s="405"/>
      <c r="O15" s="406"/>
      <c r="P15" s="406"/>
      <c r="Q15" s="406"/>
      <c r="R15" s="406"/>
      <c r="S15" s="437"/>
    </row>
    <row r="16" spans="2:20" ht="15.75" customHeight="1" x14ac:dyDescent="0.25">
      <c r="B16" s="47"/>
      <c r="C16" s="393"/>
      <c r="D16" s="396" t="s">
        <v>0</v>
      </c>
      <c r="E16" s="398" t="s">
        <v>6</v>
      </c>
      <c r="F16" s="394"/>
      <c r="G16" s="563"/>
      <c r="H16" s="564"/>
      <c r="I16" s="393"/>
      <c r="J16" s="47"/>
      <c r="N16" s="405"/>
      <c r="O16" s="406"/>
      <c r="P16" s="406"/>
      <c r="Q16" s="406"/>
      <c r="R16" s="406"/>
      <c r="S16" s="437"/>
    </row>
    <row r="17" spans="2:19" ht="15.75" x14ac:dyDescent="0.25">
      <c r="B17" s="47"/>
      <c r="C17" s="393"/>
      <c r="D17" s="396"/>
      <c r="E17" s="398"/>
      <c r="F17" s="394"/>
      <c r="G17" s="395"/>
      <c r="H17" s="395"/>
      <c r="I17" s="393"/>
      <c r="J17" s="47"/>
      <c r="N17" s="405"/>
      <c r="O17" s="406"/>
      <c r="P17" s="406"/>
      <c r="Q17" s="406"/>
      <c r="R17" s="406"/>
      <c r="S17" s="437"/>
    </row>
    <row r="18" spans="2:19" ht="15.75" x14ac:dyDescent="0.25">
      <c r="B18" s="47"/>
      <c r="C18" s="393"/>
      <c r="D18" s="396" t="s">
        <v>257</v>
      </c>
      <c r="E18" s="398" t="s">
        <v>6</v>
      </c>
      <c r="F18" s="394"/>
      <c r="G18" s="563"/>
      <c r="H18" s="564"/>
      <c r="I18" s="393"/>
      <c r="J18" s="47"/>
      <c r="N18" s="405"/>
      <c r="O18" s="406"/>
      <c r="P18" s="406"/>
      <c r="Q18" s="406"/>
      <c r="R18" s="406"/>
      <c r="S18" s="437"/>
    </row>
    <row r="19" spans="2:19" ht="15.75" x14ac:dyDescent="0.25">
      <c r="B19" s="47"/>
      <c r="C19" s="393"/>
      <c r="D19" s="396"/>
      <c r="E19" s="398"/>
      <c r="F19" s="394"/>
      <c r="G19" s="395"/>
      <c r="H19" s="395"/>
      <c r="I19" s="393"/>
      <c r="J19" s="47"/>
      <c r="N19" s="405"/>
      <c r="O19" s="406"/>
      <c r="P19" s="409">
        <v>43663</v>
      </c>
      <c r="Q19" s="440"/>
      <c r="R19" s="409">
        <v>43736</v>
      </c>
      <c r="S19" s="437"/>
    </row>
    <row r="20" spans="2:19" ht="15.75" x14ac:dyDescent="0.25">
      <c r="B20" s="47"/>
      <c r="C20" s="393"/>
      <c r="D20" s="396" t="s">
        <v>1</v>
      </c>
      <c r="E20" s="398" t="s">
        <v>6</v>
      </c>
      <c r="F20" s="394"/>
      <c r="G20" s="563"/>
      <c r="H20" s="564"/>
      <c r="I20" s="393"/>
      <c r="J20" s="47"/>
      <c r="N20" s="405"/>
      <c r="O20" s="406"/>
      <c r="P20" s="406"/>
      <c r="Q20" s="406"/>
      <c r="R20" s="406"/>
      <c r="S20" s="437"/>
    </row>
    <row r="21" spans="2:19" ht="15.75" x14ac:dyDescent="0.25">
      <c r="B21" s="47"/>
      <c r="C21" s="393"/>
      <c r="D21" s="396"/>
      <c r="E21" s="398"/>
      <c r="F21" s="394"/>
      <c r="G21" s="395"/>
      <c r="H21" s="395"/>
      <c r="I21" s="393"/>
      <c r="J21" s="47"/>
      <c r="N21" s="405"/>
      <c r="O21" s="406"/>
      <c r="P21" s="406"/>
      <c r="Q21" s="406"/>
      <c r="R21" s="406"/>
      <c r="S21" s="437"/>
    </row>
    <row r="22" spans="2:19" ht="15.75" x14ac:dyDescent="0.25">
      <c r="B22" s="47"/>
      <c r="C22" s="393"/>
      <c r="D22" s="396" t="s">
        <v>382</v>
      </c>
      <c r="E22" s="398" t="s">
        <v>6</v>
      </c>
      <c r="F22" s="394"/>
      <c r="G22" s="563"/>
      <c r="H22" s="564"/>
      <c r="I22" s="393"/>
      <c r="J22" s="47"/>
      <c r="N22" s="405"/>
      <c r="O22" s="406"/>
      <c r="P22" s="406"/>
      <c r="Q22" s="406"/>
      <c r="R22" s="406"/>
      <c r="S22" s="437"/>
    </row>
    <row r="23" spans="2:19" ht="15.75" x14ac:dyDescent="0.25">
      <c r="B23" s="47"/>
      <c r="C23" s="393"/>
      <c r="D23" s="396"/>
      <c r="E23" s="398"/>
      <c r="F23" s="394"/>
      <c r="G23" s="395"/>
      <c r="H23" s="395"/>
      <c r="I23" s="393"/>
      <c r="J23" s="47"/>
      <c r="N23" s="405"/>
      <c r="O23" s="406"/>
      <c r="P23" s="406"/>
      <c r="Q23" s="406"/>
      <c r="R23" s="406"/>
      <c r="S23" s="437"/>
    </row>
    <row r="24" spans="2:19" ht="15.75" x14ac:dyDescent="0.25">
      <c r="B24" s="47"/>
      <c r="C24" s="393"/>
      <c r="D24" s="396" t="s">
        <v>383</v>
      </c>
      <c r="E24" s="398" t="s">
        <v>6</v>
      </c>
      <c r="F24" s="394"/>
      <c r="G24" s="563"/>
      <c r="H24" s="564"/>
      <c r="I24" s="393"/>
      <c r="J24" s="47"/>
      <c r="N24" s="405"/>
      <c r="O24" s="406"/>
      <c r="P24" s="406"/>
      <c r="Q24" s="406"/>
      <c r="R24" s="406"/>
      <c r="S24" s="437"/>
    </row>
    <row r="25" spans="2:19" ht="15.75" x14ac:dyDescent="0.25">
      <c r="B25" s="47"/>
      <c r="C25" s="393"/>
      <c r="D25" s="396"/>
      <c r="E25" s="398"/>
      <c r="F25" s="394"/>
      <c r="G25" s="395"/>
      <c r="H25" s="395"/>
      <c r="I25" s="393"/>
      <c r="J25" s="47"/>
      <c r="N25" s="405"/>
      <c r="O25" s="406"/>
      <c r="P25" s="409">
        <v>43739</v>
      </c>
      <c r="Q25" s="406"/>
      <c r="R25" s="409">
        <v>43799</v>
      </c>
      <c r="S25" s="437"/>
    </row>
    <row r="26" spans="2:19" ht="16.5" thickBot="1" x14ac:dyDescent="0.3">
      <c r="B26" s="47"/>
      <c r="C26" s="393"/>
      <c r="D26" s="396" t="s">
        <v>2</v>
      </c>
      <c r="E26" s="398" t="s">
        <v>6</v>
      </c>
      <c r="F26" s="394"/>
      <c r="G26" s="565"/>
      <c r="H26" s="566"/>
      <c r="I26" s="393"/>
      <c r="J26" s="47"/>
      <c r="N26" s="407"/>
      <c r="O26" s="408"/>
      <c r="P26" s="408"/>
      <c r="Q26" s="408"/>
      <c r="R26" s="408"/>
      <c r="S26" s="441"/>
    </row>
    <row r="27" spans="2:19" ht="15.75" x14ac:dyDescent="0.25">
      <c r="B27" s="47"/>
      <c r="C27" s="393"/>
      <c r="D27" s="396"/>
      <c r="E27" s="398"/>
      <c r="F27" s="394"/>
      <c r="G27" s="395"/>
      <c r="H27" s="395"/>
      <c r="I27" s="393"/>
      <c r="J27" s="47"/>
    </row>
    <row r="28" spans="2:19" ht="15.75" x14ac:dyDescent="0.25">
      <c r="B28" s="47"/>
      <c r="C28" s="393"/>
      <c r="D28" s="396" t="s">
        <v>98</v>
      </c>
      <c r="E28" s="398" t="s">
        <v>6</v>
      </c>
      <c r="F28" s="394"/>
      <c r="G28" s="280"/>
      <c r="H28" s="280"/>
      <c r="I28" s="393"/>
      <c r="J28" s="47"/>
    </row>
    <row r="29" spans="2:19" ht="15.75" x14ac:dyDescent="0.25">
      <c r="B29" s="47"/>
      <c r="C29" s="393"/>
      <c r="D29" s="396"/>
      <c r="E29" s="398"/>
      <c r="F29" s="394"/>
      <c r="G29" s="395"/>
      <c r="H29" s="395"/>
      <c r="I29" s="393"/>
      <c r="J29" s="47"/>
    </row>
    <row r="30" spans="2:19" ht="15.75" x14ac:dyDescent="0.25">
      <c r="B30" s="47"/>
      <c r="C30" s="393"/>
      <c r="D30" s="396" t="s">
        <v>3</v>
      </c>
      <c r="E30" s="398" t="s">
        <v>6</v>
      </c>
      <c r="F30" s="394"/>
      <c r="G30" s="565"/>
      <c r="H30" s="566"/>
      <c r="I30" s="393"/>
      <c r="J30" s="47"/>
    </row>
    <row r="31" spans="2:19" ht="15.75" x14ac:dyDescent="0.25">
      <c r="B31" s="47"/>
      <c r="C31" s="393"/>
      <c r="D31" s="396"/>
      <c r="E31" s="398"/>
      <c r="F31" s="394"/>
      <c r="G31" s="395"/>
      <c r="H31" s="395"/>
      <c r="I31" s="393"/>
      <c r="J31" s="47"/>
    </row>
    <row r="32" spans="2:19" ht="15.75" x14ac:dyDescent="0.25">
      <c r="B32" s="47"/>
      <c r="C32" s="393"/>
      <c r="D32" s="396" t="s">
        <v>4</v>
      </c>
      <c r="E32" s="398" t="s">
        <v>6</v>
      </c>
      <c r="F32" s="394"/>
      <c r="G32" s="565"/>
      <c r="H32" s="566"/>
      <c r="I32" s="393"/>
      <c r="J32" s="47"/>
    </row>
    <row r="33" spans="1:12" ht="15.75" x14ac:dyDescent="0.25">
      <c r="B33" s="47"/>
      <c r="C33" s="393"/>
      <c r="D33" s="396"/>
      <c r="E33" s="398"/>
      <c r="F33" s="394"/>
      <c r="G33" s="395"/>
      <c r="H33" s="395"/>
      <c r="I33" s="393"/>
      <c r="J33" s="47"/>
    </row>
    <row r="34" spans="1:12" ht="15.75" x14ac:dyDescent="0.25">
      <c r="B34" s="47"/>
      <c r="C34" s="393"/>
      <c r="D34" s="396" t="s">
        <v>5</v>
      </c>
      <c r="E34" s="398" t="s">
        <v>6</v>
      </c>
      <c r="F34" s="394"/>
      <c r="G34" s="563">
        <v>2019</v>
      </c>
      <c r="H34" s="564"/>
      <c r="I34" s="393"/>
      <c r="J34" s="47"/>
    </row>
    <row r="35" spans="1:12" x14ac:dyDescent="0.25">
      <c r="B35" s="47"/>
      <c r="C35" s="393"/>
      <c r="D35" s="397"/>
      <c r="E35" s="397"/>
      <c r="F35" s="394"/>
      <c r="G35" s="394"/>
      <c r="H35" s="394"/>
      <c r="I35" s="393"/>
      <c r="J35" s="47"/>
    </row>
    <row r="36" spans="1:12" x14ac:dyDescent="0.25">
      <c r="B36" s="47"/>
      <c r="C36" s="393"/>
      <c r="D36" s="394"/>
      <c r="E36" s="397"/>
      <c r="F36" s="394"/>
      <c r="G36" s="394"/>
      <c r="H36" s="394"/>
      <c r="I36" s="393"/>
      <c r="J36" s="47"/>
    </row>
    <row r="37" spans="1:12" x14ac:dyDescent="0.25">
      <c r="B37" s="47"/>
      <c r="C37" s="393"/>
      <c r="D37" s="394"/>
      <c r="E37" s="394"/>
      <c r="F37" s="394"/>
      <c r="G37" s="394"/>
      <c r="H37" s="394"/>
      <c r="I37" s="393"/>
      <c r="J37" s="47"/>
    </row>
    <row r="38" spans="1:12" x14ac:dyDescent="0.25">
      <c r="B38" s="47"/>
      <c r="C38" s="393"/>
      <c r="D38" s="394"/>
      <c r="E38" s="394"/>
      <c r="F38" s="394"/>
      <c r="G38" s="394"/>
      <c r="H38" s="394"/>
      <c r="I38" s="393"/>
      <c r="J38" s="47"/>
    </row>
    <row r="39" spans="1:12" x14ac:dyDescent="0.25">
      <c r="B39" s="47"/>
      <c r="C39" s="393"/>
      <c r="D39" s="394"/>
      <c r="E39" s="394"/>
      <c r="F39" s="394"/>
      <c r="G39" s="394"/>
      <c r="H39" s="394"/>
      <c r="I39" s="393"/>
      <c r="J39" s="47"/>
    </row>
    <row r="40" spans="1:12" x14ac:dyDescent="0.25">
      <c r="B40" s="47"/>
      <c r="C40" s="393"/>
      <c r="D40" s="562"/>
      <c r="E40" s="562"/>
      <c r="F40" s="562"/>
      <c r="G40" s="562"/>
      <c r="H40" s="562"/>
      <c r="I40" s="393"/>
      <c r="J40" s="47"/>
    </row>
    <row r="41" spans="1:12" x14ac:dyDescent="0.25">
      <c r="B41" s="47"/>
      <c r="C41" s="393"/>
      <c r="D41" s="394"/>
      <c r="E41" s="394"/>
      <c r="F41" s="394"/>
      <c r="G41" s="394"/>
      <c r="H41" s="394"/>
      <c r="I41" s="393"/>
      <c r="J41" s="47"/>
    </row>
    <row r="42" spans="1:12" x14ac:dyDescent="0.25">
      <c r="B42" s="47"/>
      <c r="C42" s="393"/>
      <c r="D42" s="394"/>
      <c r="E42" s="394"/>
      <c r="F42" s="394"/>
      <c r="G42" s="400" t="s">
        <v>296</v>
      </c>
      <c r="H42" s="399">
        <f ca="1">TODAY()</f>
        <v>43510</v>
      </c>
      <c r="I42" s="393"/>
      <c r="J42" s="47"/>
    </row>
    <row r="43" spans="1:12" ht="13.5" customHeight="1" x14ac:dyDescent="0.25">
      <c r="B43" s="47"/>
      <c r="C43" s="393"/>
      <c r="D43" s="393"/>
      <c r="E43" s="393"/>
      <c r="F43" s="393"/>
      <c r="G43" s="393"/>
      <c r="H43" s="393"/>
      <c r="I43" s="393"/>
      <c r="J43" s="47"/>
    </row>
    <row r="44" spans="1:12" ht="5.25" customHeight="1" x14ac:dyDescent="0.25">
      <c r="B44" s="47"/>
      <c r="C44" s="47"/>
      <c r="D44" s="47"/>
      <c r="E44" s="47"/>
      <c r="F44" s="47"/>
      <c r="G44" s="47"/>
      <c r="H44" s="47"/>
      <c r="I44" s="47"/>
      <c r="J44" s="47"/>
    </row>
    <row r="45" spans="1:12" ht="21" customHeight="1" x14ac:dyDescent="0.25">
      <c r="A45" s="281"/>
      <c r="B45" s="300"/>
      <c r="C45" s="300"/>
      <c r="D45" s="300"/>
      <c r="E45" s="300"/>
      <c r="F45" s="300"/>
      <c r="G45" s="300"/>
      <c r="H45" s="300"/>
      <c r="I45" s="300"/>
      <c r="J45" s="281"/>
      <c r="K45" s="281"/>
      <c r="L45" s="281"/>
    </row>
    <row r="46" spans="1:12" x14ac:dyDescent="0.25">
      <c r="A46" s="281"/>
      <c r="B46" s="300"/>
      <c r="C46" s="300"/>
      <c r="D46" s="300"/>
      <c r="E46" s="300"/>
      <c r="F46" s="300"/>
      <c r="G46" s="300"/>
      <c r="H46" s="300"/>
      <c r="I46" s="300"/>
      <c r="J46" s="281"/>
      <c r="K46" s="281"/>
      <c r="L46" s="281"/>
    </row>
    <row r="47" spans="1:12" x14ac:dyDescent="0.25">
      <c r="A47" s="281"/>
      <c r="B47" s="300"/>
      <c r="C47" s="300"/>
      <c r="D47" s="300"/>
      <c r="E47" s="300"/>
      <c r="F47" s="300"/>
      <c r="G47" s="300"/>
      <c r="H47" s="300"/>
      <c r="I47" s="300"/>
      <c r="J47" s="281"/>
      <c r="K47" s="281"/>
      <c r="L47" s="281"/>
    </row>
    <row r="48" spans="1:12" x14ac:dyDescent="0.25">
      <c r="A48" s="281"/>
      <c r="B48" s="300"/>
      <c r="C48" s="300"/>
      <c r="D48" s="300"/>
      <c r="E48" s="300"/>
      <c r="F48" s="300"/>
      <c r="G48" s="300"/>
      <c r="H48" s="300"/>
      <c r="I48" s="300"/>
      <c r="J48" s="281"/>
      <c r="K48" s="281"/>
      <c r="L48" s="281"/>
    </row>
    <row r="49" spans="1:12" x14ac:dyDescent="0.25">
      <c r="A49" s="281"/>
      <c r="B49" s="300"/>
      <c r="C49" s="48" t="s">
        <v>256</v>
      </c>
      <c r="D49" s="48"/>
      <c r="E49" s="48"/>
      <c r="F49" s="48"/>
      <c r="G49" s="48"/>
      <c r="H49" s="300"/>
      <c r="I49" s="300"/>
      <c r="J49" s="281"/>
      <c r="K49" s="281"/>
      <c r="L49" s="281"/>
    </row>
    <row r="50" spans="1:12" x14ac:dyDescent="0.25">
      <c r="A50" s="281"/>
      <c r="B50" s="300"/>
      <c r="C50" s="48"/>
      <c r="D50" s="48"/>
      <c r="E50" s="48"/>
      <c r="F50" s="48"/>
      <c r="G50" s="48"/>
      <c r="H50" s="300"/>
      <c r="I50" s="300"/>
      <c r="J50" s="281"/>
      <c r="K50" s="281"/>
      <c r="L50" s="281"/>
    </row>
    <row r="51" spans="1:12" x14ac:dyDescent="0.25">
      <c r="A51" s="281"/>
      <c r="B51" s="300"/>
      <c r="C51" s="48" t="s">
        <v>243</v>
      </c>
      <c r="D51" s="48"/>
      <c r="E51" s="48"/>
      <c r="F51" s="48"/>
      <c r="G51" s="48"/>
      <c r="H51" s="300"/>
      <c r="I51" s="300"/>
      <c r="J51" s="281"/>
      <c r="K51" s="281"/>
      <c r="L51" s="281"/>
    </row>
    <row r="52" spans="1:12" x14ac:dyDescent="0.25">
      <c r="A52" s="281"/>
      <c r="B52" s="300"/>
      <c r="C52" s="48" t="s">
        <v>244</v>
      </c>
      <c r="D52" s="48"/>
      <c r="E52" s="48"/>
      <c r="F52" s="48"/>
      <c r="G52" s="48"/>
      <c r="H52" s="300"/>
      <c r="I52" s="300"/>
      <c r="J52" s="281"/>
      <c r="K52" s="281"/>
      <c r="L52" s="281"/>
    </row>
    <row r="53" spans="1:12" x14ac:dyDescent="0.25">
      <c r="A53" s="281"/>
      <c r="B53" s="300"/>
      <c r="C53" s="48" t="s">
        <v>245</v>
      </c>
      <c r="D53" s="48"/>
      <c r="E53" s="48"/>
      <c r="F53" s="48"/>
      <c r="G53" s="48"/>
      <c r="H53" s="300"/>
      <c r="I53" s="300"/>
      <c r="J53" s="281"/>
      <c r="K53" s="281"/>
      <c r="L53" s="281"/>
    </row>
    <row r="54" spans="1:12" x14ac:dyDescent="0.25">
      <c r="A54" s="281"/>
      <c r="B54" s="300"/>
      <c r="C54" s="48" t="s">
        <v>246</v>
      </c>
      <c r="D54" s="48"/>
      <c r="E54" s="48"/>
      <c r="F54" s="48"/>
      <c r="G54" s="48"/>
      <c r="H54" s="300"/>
      <c r="I54" s="300"/>
      <c r="J54" s="281"/>
      <c r="K54" s="281"/>
      <c r="L54" s="281"/>
    </row>
    <row r="55" spans="1:12" x14ac:dyDescent="0.25">
      <c r="A55" s="281"/>
      <c r="B55" s="300"/>
      <c r="C55" s="48" t="s">
        <v>254</v>
      </c>
      <c r="D55" s="48"/>
      <c r="E55" s="48"/>
      <c r="F55" s="48"/>
      <c r="G55" s="48"/>
      <c r="H55" s="300"/>
      <c r="I55" s="300"/>
      <c r="J55" s="281"/>
      <c r="K55" s="281"/>
      <c r="L55" s="281"/>
    </row>
    <row r="56" spans="1:12" x14ac:dyDescent="0.25">
      <c r="A56" s="281"/>
      <c r="B56" s="300"/>
      <c r="C56" s="48" t="s">
        <v>43</v>
      </c>
      <c r="D56" s="48"/>
      <c r="E56" s="48"/>
      <c r="F56" s="48"/>
      <c r="G56" s="48"/>
      <c r="H56" s="300"/>
      <c r="I56" s="300"/>
      <c r="J56" s="281"/>
      <c r="K56" s="281"/>
      <c r="L56" s="281"/>
    </row>
    <row r="57" spans="1:12" x14ac:dyDescent="0.25">
      <c r="A57" s="281"/>
      <c r="B57" s="300"/>
      <c r="C57" s="48"/>
      <c r="D57" s="48"/>
      <c r="E57" s="48"/>
      <c r="F57" s="48"/>
      <c r="G57" s="48"/>
      <c r="H57" s="300"/>
      <c r="I57" s="300"/>
      <c r="J57" s="281"/>
      <c r="K57" s="281"/>
      <c r="L57" s="281"/>
    </row>
    <row r="58" spans="1:12" x14ac:dyDescent="0.25">
      <c r="A58" s="281"/>
      <c r="B58" s="300"/>
      <c r="C58" s="48"/>
      <c r="D58" s="48"/>
      <c r="E58" s="48"/>
      <c r="F58" s="48"/>
      <c r="G58" s="48"/>
      <c r="H58" s="300"/>
      <c r="I58" s="300"/>
      <c r="J58" s="281"/>
      <c r="K58" s="281"/>
      <c r="L58" s="281"/>
    </row>
    <row r="59" spans="1:12" x14ac:dyDescent="0.25">
      <c r="A59" s="281"/>
      <c r="B59" s="300"/>
      <c r="C59" s="48" t="s">
        <v>7</v>
      </c>
      <c r="D59" s="48"/>
      <c r="E59" s="48"/>
      <c r="F59" s="48"/>
      <c r="G59" s="48"/>
      <c r="H59" s="300"/>
      <c r="I59" s="300"/>
      <c r="J59" s="281"/>
      <c r="K59" s="281"/>
      <c r="L59" s="281"/>
    </row>
    <row r="60" spans="1:12" x14ac:dyDescent="0.25">
      <c r="A60" s="281"/>
      <c r="B60" s="300"/>
      <c r="C60" s="48" t="s">
        <v>8</v>
      </c>
      <c r="D60" s="48"/>
      <c r="E60" s="48"/>
      <c r="F60" s="48"/>
      <c r="G60" s="48"/>
      <c r="H60" s="300"/>
      <c r="I60" s="300"/>
      <c r="J60" s="281"/>
      <c r="K60" s="281"/>
      <c r="L60" s="281"/>
    </row>
    <row r="61" spans="1:12" x14ac:dyDescent="0.25">
      <c r="A61" s="281"/>
      <c r="B61" s="300"/>
      <c r="C61" s="48" t="s">
        <v>9</v>
      </c>
      <c r="D61" s="48"/>
      <c r="E61" s="48"/>
      <c r="F61" s="48"/>
      <c r="G61" s="48"/>
      <c r="H61" s="300"/>
      <c r="I61" s="300"/>
      <c r="J61" s="281"/>
      <c r="K61" s="281"/>
      <c r="L61" s="281"/>
    </row>
    <row r="62" spans="1:12" x14ac:dyDescent="0.25">
      <c r="A62" s="281"/>
      <c r="B62" s="300"/>
      <c r="C62" s="48" t="s">
        <v>10</v>
      </c>
      <c r="D62" s="48"/>
      <c r="E62" s="48"/>
      <c r="F62" s="48"/>
      <c r="G62" s="48"/>
      <c r="H62" s="300"/>
      <c r="I62" s="300"/>
      <c r="J62" s="300"/>
      <c r="K62" s="300"/>
      <c r="L62" s="300"/>
    </row>
    <row r="63" spans="1:12" x14ac:dyDescent="0.25">
      <c r="A63" s="281"/>
      <c r="B63" s="300"/>
      <c r="C63" s="48" t="s">
        <v>11</v>
      </c>
      <c r="D63" s="48"/>
      <c r="E63" s="48"/>
      <c r="F63" s="48"/>
      <c r="G63" s="48"/>
      <c r="H63" s="300"/>
      <c r="I63" s="300"/>
      <c r="J63" s="300"/>
      <c r="K63" s="300"/>
      <c r="L63" s="300"/>
    </row>
    <row r="64" spans="1:12" x14ac:dyDescent="0.25">
      <c r="A64" s="281"/>
      <c r="B64" s="300"/>
      <c r="C64" s="48" t="s">
        <v>12</v>
      </c>
      <c r="D64" s="48"/>
      <c r="E64" s="48"/>
      <c r="F64" s="48"/>
      <c r="G64" s="48"/>
      <c r="H64" s="300"/>
      <c r="I64" s="300"/>
      <c r="J64" s="300"/>
      <c r="K64" s="300"/>
      <c r="L64" s="300"/>
    </row>
    <row r="65" spans="1:12" x14ac:dyDescent="0.25">
      <c r="A65" s="281"/>
      <c r="B65" s="300"/>
      <c r="C65" s="48"/>
      <c r="D65" s="48"/>
      <c r="E65" s="48"/>
      <c r="F65" s="48"/>
      <c r="G65" s="48"/>
      <c r="H65" s="300"/>
      <c r="I65" s="300"/>
      <c r="J65" s="300"/>
      <c r="K65" s="300"/>
      <c r="L65" s="300"/>
    </row>
    <row r="66" spans="1:12" x14ac:dyDescent="0.25">
      <c r="A66" s="281"/>
      <c r="B66" s="300"/>
      <c r="C66" s="48"/>
      <c r="D66" s="48" t="s">
        <v>258</v>
      </c>
      <c r="E66" s="48"/>
      <c r="F66" s="48"/>
      <c r="G66" s="48"/>
      <c r="H66" s="300"/>
      <c r="I66" s="300"/>
      <c r="J66" s="300"/>
      <c r="K66" s="300"/>
      <c r="L66" s="300"/>
    </row>
    <row r="67" spans="1:12" x14ac:dyDescent="0.25">
      <c r="A67" s="281"/>
      <c r="B67" s="300"/>
      <c r="C67" s="48"/>
      <c r="D67" s="48" t="s">
        <v>13</v>
      </c>
      <c r="E67" s="48"/>
      <c r="F67" s="48"/>
      <c r="G67" s="48"/>
      <c r="H67" s="300"/>
      <c r="I67" s="300"/>
      <c r="J67" s="300"/>
      <c r="K67" s="300"/>
      <c r="L67" s="300"/>
    </row>
    <row r="68" spans="1:12" x14ac:dyDescent="0.25">
      <c r="A68" s="281"/>
      <c r="B68" s="281"/>
      <c r="C68" s="48"/>
      <c r="D68" s="48" t="s">
        <v>14</v>
      </c>
      <c r="E68" s="48"/>
      <c r="F68" s="48"/>
      <c r="G68" s="48"/>
      <c r="H68" s="300"/>
      <c r="I68" s="300"/>
      <c r="J68" s="300"/>
      <c r="K68" s="300"/>
      <c r="L68" s="300"/>
    </row>
    <row r="69" spans="1:12" x14ac:dyDescent="0.25">
      <c r="A69" s="281"/>
      <c r="B69" s="281"/>
      <c r="C69" s="48"/>
      <c r="D69" s="48" t="s">
        <v>15</v>
      </c>
      <c r="E69" s="48"/>
      <c r="F69" s="48"/>
      <c r="G69" s="48"/>
      <c r="H69" s="300"/>
      <c r="I69" s="300"/>
      <c r="J69" s="300"/>
      <c r="K69" s="300"/>
      <c r="L69" s="300"/>
    </row>
    <row r="70" spans="1:12" x14ac:dyDescent="0.25">
      <c r="A70" s="281"/>
      <c r="B70" s="404"/>
      <c r="C70" s="48"/>
      <c r="D70" s="48"/>
      <c r="E70" s="48"/>
      <c r="F70" s="48"/>
      <c r="G70" s="48"/>
      <c r="H70" s="404"/>
      <c r="I70" s="300"/>
      <c r="J70" s="300"/>
      <c r="K70" s="300"/>
      <c r="L70" s="300"/>
    </row>
    <row r="71" spans="1:12" x14ac:dyDescent="0.25">
      <c r="A71" s="281"/>
      <c r="B71" s="404"/>
      <c r="C71" s="48" t="s">
        <v>249</v>
      </c>
      <c r="D71" s="48"/>
      <c r="E71" s="48"/>
      <c r="F71" s="48"/>
      <c r="G71" s="48"/>
      <c r="H71" s="404"/>
      <c r="I71" s="300"/>
      <c r="J71" s="300"/>
      <c r="K71" s="300"/>
      <c r="L71" s="300"/>
    </row>
    <row r="72" spans="1:12" x14ac:dyDescent="0.25">
      <c r="A72" s="281"/>
      <c r="B72" s="404"/>
      <c r="C72" s="48" t="s">
        <v>16</v>
      </c>
      <c r="D72" s="48"/>
      <c r="E72" s="48"/>
      <c r="F72" s="48"/>
      <c r="G72" s="48"/>
      <c r="H72" s="404"/>
      <c r="I72" s="300"/>
      <c r="J72" s="300"/>
      <c r="K72" s="300"/>
      <c r="L72" s="300"/>
    </row>
    <row r="73" spans="1:12" x14ac:dyDescent="0.25">
      <c r="A73" s="281"/>
      <c r="B73" s="404"/>
      <c r="C73" s="48" t="s">
        <v>247</v>
      </c>
      <c r="D73" s="48"/>
      <c r="E73" s="48"/>
      <c r="F73" s="48"/>
      <c r="G73" s="48"/>
      <c r="H73" s="404"/>
      <c r="I73" s="300"/>
      <c r="J73" s="300"/>
      <c r="K73" s="300"/>
      <c r="L73" s="300"/>
    </row>
    <row r="74" spans="1:12" x14ac:dyDescent="0.25">
      <c r="A74" s="281"/>
      <c r="B74" s="404"/>
      <c r="C74" s="48" t="s">
        <v>97</v>
      </c>
      <c r="D74" s="48"/>
      <c r="E74" s="48"/>
      <c r="F74" s="48"/>
      <c r="G74" s="48"/>
      <c r="H74" s="404"/>
      <c r="I74" s="300"/>
      <c r="J74" s="300"/>
      <c r="K74" s="300"/>
      <c r="L74" s="300"/>
    </row>
    <row r="75" spans="1:12" x14ac:dyDescent="0.25">
      <c r="A75" s="281"/>
      <c r="B75" s="404"/>
      <c r="C75" s="48" t="s">
        <v>20</v>
      </c>
      <c r="D75" s="48"/>
      <c r="E75" s="48"/>
      <c r="F75" s="48"/>
      <c r="G75" s="48"/>
      <c r="H75" s="404"/>
      <c r="I75" s="300"/>
      <c r="J75" s="300"/>
      <c r="K75" s="300"/>
      <c r="L75" s="300"/>
    </row>
    <row r="76" spans="1:12" x14ac:dyDescent="0.25">
      <c r="A76" s="281"/>
      <c r="B76" s="404"/>
      <c r="C76" s="48" t="s">
        <v>248</v>
      </c>
      <c r="D76" s="48"/>
      <c r="E76" s="48"/>
      <c r="F76" s="48"/>
      <c r="G76" s="48"/>
      <c r="H76" s="404"/>
      <c r="I76" s="300"/>
      <c r="J76" s="300"/>
      <c r="K76" s="300"/>
      <c r="L76" s="300"/>
    </row>
    <row r="77" spans="1:12" x14ac:dyDescent="0.25">
      <c r="A77" s="281"/>
      <c r="B77" s="404"/>
      <c r="C77" s="48" t="s">
        <v>19</v>
      </c>
      <c r="D77" s="48"/>
      <c r="E77" s="48"/>
      <c r="F77" s="48"/>
      <c r="G77" s="48"/>
      <c r="H77" s="404"/>
      <c r="I77" s="300"/>
      <c r="J77" s="300"/>
      <c r="K77" s="300"/>
      <c r="L77" s="300"/>
    </row>
    <row r="78" spans="1:12" x14ac:dyDescent="0.25">
      <c r="A78" s="281"/>
      <c r="B78" s="404"/>
      <c r="C78" s="48" t="s">
        <v>250</v>
      </c>
      <c r="D78" s="48"/>
      <c r="E78" s="48"/>
      <c r="F78" s="48"/>
      <c r="G78" s="48"/>
      <c r="H78" s="404"/>
      <c r="I78" s="300"/>
      <c r="J78" s="300"/>
      <c r="K78" s="300"/>
      <c r="L78" s="300"/>
    </row>
    <row r="79" spans="1:12" x14ac:dyDescent="0.25">
      <c r="A79" s="281"/>
      <c r="B79" s="404"/>
      <c r="C79" s="48" t="s">
        <v>255</v>
      </c>
      <c r="D79" s="48"/>
      <c r="E79" s="48"/>
      <c r="F79" s="48"/>
      <c r="G79" s="48"/>
      <c r="H79" s="404"/>
      <c r="I79" s="300"/>
      <c r="J79" s="300"/>
      <c r="K79" s="300"/>
      <c r="L79" s="300"/>
    </row>
    <row r="80" spans="1:12" x14ac:dyDescent="0.25">
      <c r="A80" s="281"/>
      <c r="B80" s="404"/>
      <c r="C80" s="48" t="s">
        <v>251</v>
      </c>
      <c r="D80" s="48"/>
      <c r="E80" s="48"/>
      <c r="F80" s="48"/>
      <c r="G80" s="48"/>
      <c r="H80" s="404"/>
      <c r="I80" s="300"/>
      <c r="J80" s="300"/>
      <c r="K80" s="300"/>
      <c r="L80" s="300"/>
    </row>
    <row r="81" spans="1:12" x14ac:dyDescent="0.25">
      <c r="A81" s="281"/>
      <c r="B81" s="404"/>
      <c r="C81" s="48" t="s">
        <v>302</v>
      </c>
      <c r="D81" s="48"/>
      <c r="E81" s="48"/>
      <c r="F81" s="48"/>
      <c r="G81" s="48"/>
      <c r="H81" s="404"/>
      <c r="I81" s="300"/>
      <c r="J81" s="300"/>
      <c r="K81" s="300"/>
      <c r="L81" s="300"/>
    </row>
    <row r="82" spans="1:12" x14ac:dyDescent="0.25">
      <c r="A82" s="281"/>
      <c r="B82" s="404"/>
      <c r="C82" s="48" t="s">
        <v>299</v>
      </c>
      <c r="D82" s="48"/>
      <c r="E82" s="48"/>
      <c r="F82" s="48"/>
      <c r="G82" s="48"/>
      <c r="H82" s="404"/>
      <c r="I82" s="300"/>
      <c r="J82" s="300"/>
      <c r="K82" s="300"/>
      <c r="L82" s="300"/>
    </row>
    <row r="83" spans="1:12" x14ac:dyDescent="0.25">
      <c r="A83" s="281"/>
      <c r="B83" s="404"/>
      <c r="C83" s="48" t="s">
        <v>252</v>
      </c>
      <c r="D83" s="48"/>
      <c r="E83" s="48"/>
      <c r="F83" s="48"/>
      <c r="G83" s="48"/>
      <c r="H83" s="404"/>
      <c r="I83" s="300"/>
      <c r="J83" s="300"/>
      <c r="K83" s="300"/>
      <c r="L83" s="300"/>
    </row>
    <row r="84" spans="1:12" x14ac:dyDescent="0.25">
      <c r="A84" s="281"/>
      <c r="B84" s="404"/>
      <c r="C84" s="48" t="s">
        <v>253</v>
      </c>
      <c r="D84" s="48"/>
      <c r="E84" s="48"/>
      <c r="F84" s="48"/>
      <c r="G84" s="48"/>
      <c r="H84" s="404"/>
      <c r="I84" s="300"/>
      <c r="J84" s="300"/>
      <c r="K84" s="300"/>
      <c r="L84" s="300"/>
    </row>
    <row r="85" spans="1:12" x14ac:dyDescent="0.25">
      <c r="A85" s="281"/>
      <c r="B85" s="404"/>
      <c r="C85" s="404"/>
      <c r="D85" s="404"/>
      <c r="E85" s="404"/>
      <c r="F85" s="404"/>
      <c r="G85" s="404"/>
      <c r="H85" s="404"/>
      <c r="I85" s="300"/>
      <c r="J85" s="300"/>
      <c r="K85" s="300"/>
      <c r="L85" s="300"/>
    </row>
    <row r="86" spans="1:12" x14ac:dyDescent="0.25">
      <c r="B86" s="404"/>
      <c r="C86" s="404"/>
      <c r="D86" s="404"/>
      <c r="E86" s="404"/>
      <c r="F86" s="404"/>
      <c r="G86" s="404"/>
      <c r="H86" s="404"/>
      <c r="I86" s="300"/>
      <c r="J86" s="300"/>
      <c r="K86" s="300"/>
      <c r="L86" s="300"/>
    </row>
    <row r="87" spans="1:12" x14ac:dyDescent="0.25">
      <c r="C87" s="300"/>
      <c r="D87" s="300"/>
      <c r="E87" s="300"/>
      <c r="F87" s="300"/>
      <c r="G87" s="300"/>
      <c r="H87" s="300"/>
      <c r="I87" s="300"/>
      <c r="J87" s="300"/>
      <c r="K87" s="300"/>
      <c r="L87" s="300"/>
    </row>
    <row r="88" spans="1:12" x14ac:dyDescent="0.25">
      <c r="C88" s="300"/>
      <c r="D88" s="300"/>
      <c r="E88" s="300"/>
      <c r="F88" s="300"/>
      <c r="G88" s="300"/>
      <c r="H88" s="300"/>
      <c r="I88" s="300"/>
      <c r="J88" s="300"/>
      <c r="K88" s="300"/>
      <c r="L88" s="300"/>
    </row>
    <row r="89" spans="1:12" x14ac:dyDescent="0.25">
      <c r="C89" s="300"/>
      <c r="D89" s="300"/>
      <c r="E89" s="300"/>
      <c r="F89" s="300"/>
      <c r="G89" s="300"/>
      <c r="H89" s="300"/>
      <c r="I89" s="300"/>
      <c r="J89" s="300"/>
      <c r="K89" s="300"/>
      <c r="L89" s="300"/>
    </row>
    <row r="90" spans="1:12" x14ac:dyDescent="0.25">
      <c r="C90" s="300"/>
      <c r="D90" s="300"/>
      <c r="E90" s="300"/>
      <c r="F90" s="300"/>
      <c r="G90" s="300"/>
      <c r="H90" s="300"/>
      <c r="I90" s="300"/>
      <c r="J90" s="300"/>
      <c r="K90" s="300"/>
      <c r="L90" s="300"/>
    </row>
    <row r="91" spans="1:12" x14ac:dyDescent="0.25">
      <c r="C91" s="300"/>
      <c r="D91" s="300"/>
      <c r="E91" s="300"/>
      <c r="F91" s="300"/>
      <c r="G91" s="300"/>
      <c r="H91" s="300"/>
      <c r="I91" s="300"/>
      <c r="J91" s="300"/>
      <c r="K91" s="300"/>
      <c r="L91" s="300"/>
    </row>
    <row r="92" spans="1:12" x14ac:dyDescent="0.25">
      <c r="C92" s="300"/>
      <c r="D92" s="300"/>
      <c r="E92" s="300"/>
      <c r="F92" s="300"/>
      <c r="G92" s="300"/>
      <c r="H92" s="281"/>
    </row>
    <row r="93" spans="1:12" x14ac:dyDescent="0.25">
      <c r="C93" s="281"/>
      <c r="D93" s="281"/>
      <c r="E93" s="281"/>
      <c r="F93" s="281"/>
      <c r="G93" s="281"/>
      <c r="H93" s="281"/>
    </row>
    <row r="94" spans="1:12" x14ac:dyDescent="0.25">
      <c r="C94" s="281"/>
      <c r="D94" s="281"/>
      <c r="E94" s="281"/>
      <c r="F94" s="281"/>
      <c r="G94" s="281"/>
      <c r="H94" s="281"/>
    </row>
    <row r="95" spans="1:12" x14ac:dyDescent="0.25">
      <c r="C95" s="281"/>
      <c r="D95" s="281"/>
      <c r="E95" s="281"/>
      <c r="F95" s="281"/>
      <c r="G95" s="281"/>
      <c r="H95" s="281"/>
    </row>
    <row r="96" spans="1:12" x14ac:dyDescent="0.25">
      <c r="C96" s="281"/>
      <c r="D96" s="281"/>
    </row>
  </sheetData>
  <sheetProtection password="D989" sheet="1" objects="1" scenarios="1"/>
  <mergeCells count="12">
    <mergeCell ref="O2:R2"/>
    <mergeCell ref="D40:H40"/>
    <mergeCell ref="G24:H24"/>
    <mergeCell ref="G26:H26"/>
    <mergeCell ref="G30:H30"/>
    <mergeCell ref="G32:H32"/>
    <mergeCell ref="G34:H34"/>
    <mergeCell ref="D12:H12"/>
    <mergeCell ref="G16:H16"/>
    <mergeCell ref="G18:H18"/>
    <mergeCell ref="G20:H20"/>
    <mergeCell ref="G22:H22"/>
  </mergeCells>
  <dataValidations count="5">
    <dataValidation type="list" allowBlank="1" showInputMessage="1" showErrorMessage="1" sqref="G28">
      <formula1>$C$58:$C$64</formula1>
    </dataValidation>
    <dataValidation type="list" allowBlank="1" showInputMessage="1" showErrorMessage="1" sqref="G30">
      <formula1>$D$65:$D$69</formula1>
    </dataValidation>
    <dataValidation type="list" allowBlank="1" showInputMessage="1" showErrorMessage="1" sqref="G26">
      <formula1>$C$49</formula1>
    </dataValidation>
    <dataValidation type="list" allowBlank="1" showInputMessage="1" showErrorMessage="1" sqref="H28">
      <formula1>$C$51:$C$56</formula1>
    </dataValidation>
    <dataValidation type="list" allowBlank="1" showInputMessage="1" showErrorMessage="1" sqref="G32:H32">
      <formula1>$C$71:$C$85</formula1>
    </dataValidation>
  </dataValidations>
  <pageMargins left="0.70866141732283472" right="0.70866141732283472" top="0.74803149606299213" bottom="0.74803149606299213" header="0.31496062992125984" footer="0.31496062992125984"/>
  <pageSetup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>
    <tabColor rgb="FFFFC000"/>
    <pageSetUpPr fitToPage="1"/>
  </sheetPr>
  <dimension ref="A2:X105"/>
  <sheetViews>
    <sheetView showZeros="0" tabSelected="1" topLeftCell="A10" zoomScale="80" zoomScaleNormal="80" workbookViewId="0">
      <selection activeCell="C14" sqref="C14:C37"/>
    </sheetView>
  </sheetViews>
  <sheetFormatPr baseColWidth="10" defaultColWidth="11.42578125" defaultRowHeight="15" x14ac:dyDescent="0.25"/>
  <cols>
    <col min="1" max="1" width="4.7109375" style="29" customWidth="1"/>
    <col min="2" max="2" width="5" style="29" customWidth="1"/>
    <col min="3" max="3" width="44.28515625" style="29" customWidth="1"/>
    <col min="4" max="4" width="1.140625" style="29" customWidth="1"/>
    <col min="5" max="5" width="8.7109375" style="29" customWidth="1"/>
    <col min="6" max="6" width="4.28515625" style="29" customWidth="1"/>
    <col min="7" max="7" width="5.42578125" style="29" customWidth="1"/>
    <col min="8" max="8" width="7.85546875" style="29" customWidth="1"/>
    <col min="9" max="9" width="8.7109375" style="29" customWidth="1"/>
    <col min="10" max="10" width="35" style="29" customWidth="1"/>
    <col min="11" max="11" width="16.42578125" style="29" customWidth="1"/>
    <col min="12" max="12" width="16.7109375" style="29" customWidth="1"/>
    <col min="13" max="13" width="4.85546875" style="29" customWidth="1"/>
    <col min="14" max="14" width="21.42578125" style="29" customWidth="1"/>
    <col min="15" max="15" width="21.7109375" style="29" customWidth="1"/>
    <col min="16" max="16" width="18.5703125" style="29" customWidth="1"/>
    <col min="17" max="17" width="12.28515625" style="29" customWidth="1"/>
    <col min="18" max="18" width="14.140625" style="29" customWidth="1"/>
    <col min="19" max="16384" width="11.42578125" style="29"/>
  </cols>
  <sheetData>
    <row r="2" spans="1:24" ht="15" customHeight="1" x14ac:dyDescent="0.25">
      <c r="B2" s="570" t="s">
        <v>384</v>
      </c>
      <c r="C2" s="571"/>
      <c r="D2" s="571"/>
      <c r="E2" s="571"/>
      <c r="F2" s="571"/>
      <c r="G2" s="571"/>
      <c r="H2" s="571"/>
      <c r="I2" s="571"/>
      <c r="J2" s="571"/>
      <c r="K2" s="571"/>
      <c r="L2" s="571"/>
      <c r="M2" s="571"/>
      <c r="N2" s="571"/>
      <c r="O2" s="571"/>
      <c r="P2" s="571"/>
      <c r="Q2" s="572"/>
    </row>
    <row r="3" spans="1:24" ht="15" customHeight="1" x14ac:dyDescent="0.25">
      <c r="B3" s="570"/>
      <c r="C3" s="571"/>
      <c r="D3" s="571"/>
      <c r="E3" s="571"/>
      <c r="F3" s="571"/>
      <c r="G3" s="571"/>
      <c r="H3" s="571"/>
      <c r="I3" s="571"/>
      <c r="J3" s="571"/>
      <c r="K3" s="571"/>
      <c r="L3" s="571"/>
      <c r="M3" s="571"/>
      <c r="N3" s="571"/>
      <c r="O3" s="571"/>
      <c r="P3" s="571"/>
      <c r="Q3" s="572"/>
      <c r="S3" s="55"/>
      <c r="T3" s="55"/>
      <c r="U3" s="55"/>
      <c r="V3" s="55"/>
      <c r="W3" s="55"/>
      <c r="X3" s="55"/>
    </row>
    <row r="4" spans="1:24" ht="3.75" customHeight="1" thickBot="1" x14ac:dyDescent="0.3">
      <c r="B4" s="49"/>
      <c r="C4" s="50"/>
      <c r="D4" s="50"/>
      <c r="E4" s="50"/>
      <c r="F4" s="50"/>
      <c r="G4" s="50"/>
      <c r="H4" s="50"/>
      <c r="I4" s="50"/>
      <c r="J4" s="50"/>
      <c r="K4" s="50"/>
      <c r="L4" s="50"/>
      <c r="M4" s="51"/>
      <c r="N4" s="52"/>
      <c r="O4" s="52"/>
      <c r="P4" s="52"/>
      <c r="Q4" s="52"/>
      <c r="S4" s="55"/>
      <c r="T4" s="55"/>
      <c r="U4" s="55"/>
      <c r="V4" s="55"/>
      <c r="W4" s="55"/>
      <c r="X4" s="55"/>
    </row>
    <row r="5" spans="1:24" ht="15.75" x14ac:dyDescent="0.25">
      <c r="B5" s="53"/>
      <c r="C5" s="39" t="s">
        <v>1</v>
      </c>
      <c r="D5" s="40" t="s">
        <v>6</v>
      </c>
      <c r="E5" s="289">
        <f>CARATULA!G20</f>
        <v>0</v>
      </c>
      <c r="F5" s="289"/>
      <c r="G5" s="289"/>
      <c r="H5" s="289"/>
      <c r="I5" s="289"/>
      <c r="J5" s="41"/>
      <c r="K5" s="42" t="s">
        <v>260</v>
      </c>
      <c r="L5" s="43">
        <f ca="1">TODAY()</f>
        <v>43510</v>
      </c>
      <c r="M5" s="44"/>
      <c r="N5" s="88" t="s">
        <v>202</v>
      </c>
      <c r="O5" s="180" t="s">
        <v>203</v>
      </c>
      <c r="P5" s="577" t="s">
        <v>209</v>
      </c>
      <c r="Q5" s="578"/>
      <c r="S5" s="55"/>
      <c r="T5" s="55"/>
      <c r="U5" s="55"/>
      <c r="V5" s="55"/>
      <c r="W5" s="55"/>
      <c r="X5" s="55"/>
    </row>
    <row r="6" spans="1:24" ht="15.75" x14ac:dyDescent="0.25">
      <c r="B6" s="53"/>
      <c r="C6" s="39" t="s">
        <v>2</v>
      </c>
      <c r="D6" s="40" t="s">
        <v>6</v>
      </c>
      <c r="E6" s="283">
        <f>CARATULA!G26</f>
        <v>0</v>
      </c>
      <c r="F6" s="283"/>
      <c r="G6" s="283"/>
      <c r="H6" s="283"/>
      <c r="I6" s="283"/>
      <c r="J6" s="41"/>
      <c r="K6" s="45"/>
      <c r="L6" s="41"/>
      <c r="M6" s="44"/>
      <c r="N6" s="89">
        <f>COUNTIF(E14:E58,"F")</f>
        <v>0</v>
      </c>
      <c r="O6" s="181">
        <f>COUNTIF(E14:E58,"M")</f>
        <v>0</v>
      </c>
      <c r="P6" s="186" t="s">
        <v>210</v>
      </c>
      <c r="Q6" s="244">
        <f>COUNTIF(R14:R58,"*")</f>
        <v>0</v>
      </c>
      <c r="S6" s="55"/>
      <c r="T6" s="55"/>
      <c r="U6" s="55"/>
      <c r="V6" s="55"/>
      <c r="W6" s="55"/>
      <c r="X6" s="55"/>
    </row>
    <row r="7" spans="1:24" ht="15.75" x14ac:dyDescent="0.25">
      <c r="B7" s="53"/>
      <c r="C7" s="39" t="s">
        <v>99</v>
      </c>
      <c r="D7" s="40" t="s">
        <v>6</v>
      </c>
      <c r="E7" s="290" t="str">
        <f>CONCATENATE(CARATULA!G28," ",CARATULA!H28)</f>
        <v xml:space="preserve"> </v>
      </c>
      <c r="F7" s="290"/>
      <c r="G7" s="285"/>
      <c r="H7" s="285"/>
      <c r="I7" s="285"/>
      <c r="J7" s="41"/>
      <c r="K7" s="41"/>
      <c r="L7" s="41"/>
      <c r="M7" s="44"/>
      <c r="N7" s="90"/>
      <c r="O7" s="182"/>
      <c r="P7" s="186" t="s">
        <v>48</v>
      </c>
      <c r="Q7" s="244">
        <f>COUNTIF(R14:R58,"RETIRO O ABANDONO")</f>
        <v>0</v>
      </c>
      <c r="S7" s="55"/>
      <c r="T7" s="55"/>
      <c r="U7" s="55"/>
      <c r="V7" s="55"/>
      <c r="W7" s="55"/>
      <c r="X7" s="55"/>
    </row>
    <row r="8" spans="1:24" ht="15.75" x14ac:dyDescent="0.25">
      <c r="A8" s="30"/>
      <c r="B8" s="53"/>
      <c r="C8" s="39" t="s">
        <v>382</v>
      </c>
      <c r="D8" s="40" t="s">
        <v>6</v>
      </c>
      <c r="E8" s="291">
        <f>CARATULA!G22</f>
        <v>0</v>
      </c>
      <c r="F8" s="291"/>
      <c r="G8" s="291"/>
      <c r="H8" s="291"/>
      <c r="I8" s="291"/>
      <c r="J8" s="41"/>
      <c r="K8" s="41"/>
      <c r="L8" s="41"/>
      <c r="M8" s="44"/>
      <c r="N8" s="90"/>
      <c r="O8" s="182"/>
      <c r="P8" s="186" t="s">
        <v>47</v>
      </c>
      <c r="Q8" s="244">
        <f>COUNTIF(R14:R58,"NO INCORPORADO")</f>
        <v>0</v>
      </c>
      <c r="S8" s="55"/>
      <c r="T8" s="55"/>
      <c r="U8" s="55"/>
      <c r="V8" s="55"/>
      <c r="W8" s="55"/>
      <c r="X8" s="55"/>
    </row>
    <row r="9" spans="1:24" ht="15.75" x14ac:dyDescent="0.25">
      <c r="A9" s="30"/>
      <c r="B9" s="53"/>
      <c r="C9" s="39" t="s">
        <v>383</v>
      </c>
      <c r="D9" s="40" t="s">
        <v>6</v>
      </c>
      <c r="E9" s="291">
        <f>CARATULA!G24</f>
        <v>0</v>
      </c>
      <c r="F9" s="291"/>
      <c r="G9" s="291"/>
      <c r="H9" s="291"/>
      <c r="I9" s="291"/>
      <c r="J9" s="41"/>
      <c r="K9" s="41"/>
      <c r="L9" s="41"/>
      <c r="M9" s="44"/>
      <c r="N9" s="90"/>
      <c r="O9" s="182"/>
      <c r="P9" s="186" t="s">
        <v>211</v>
      </c>
      <c r="Q9" s="244">
        <f>Q6-(Q7+Q8)</f>
        <v>0</v>
      </c>
      <c r="S9" s="55"/>
      <c r="T9" s="55"/>
      <c r="U9" s="55"/>
      <c r="V9" s="55"/>
      <c r="W9" s="55"/>
      <c r="X9" s="55"/>
    </row>
    <row r="10" spans="1:24" ht="15.75" x14ac:dyDescent="0.25">
      <c r="A10" s="30"/>
      <c r="B10" s="53"/>
      <c r="C10" s="39" t="s">
        <v>3</v>
      </c>
      <c r="D10" s="40" t="s">
        <v>6</v>
      </c>
      <c r="E10" s="284">
        <f>CARATULA!G30</f>
        <v>0</v>
      </c>
      <c r="F10" s="284"/>
      <c r="G10" s="284"/>
      <c r="H10" s="284"/>
      <c r="I10" s="284"/>
      <c r="J10" s="41"/>
      <c r="K10" s="41"/>
      <c r="L10" s="41"/>
      <c r="M10" s="44"/>
      <c r="N10" s="90"/>
      <c r="O10" s="182"/>
      <c r="P10" s="579" t="s">
        <v>216</v>
      </c>
      <c r="Q10" s="580"/>
      <c r="S10" s="55"/>
      <c r="T10" s="55"/>
      <c r="U10" s="55"/>
      <c r="V10" s="55"/>
      <c r="W10" s="55"/>
      <c r="X10" s="55"/>
    </row>
    <row r="11" spans="1:24" ht="16.5" thickBot="1" x14ac:dyDescent="0.3">
      <c r="A11" s="30"/>
      <c r="B11" s="53"/>
      <c r="C11" s="39" t="s">
        <v>21</v>
      </c>
      <c r="D11" s="40" t="s">
        <v>6</v>
      </c>
      <c r="E11" s="291">
        <f>CARATULA!G32</f>
        <v>0</v>
      </c>
      <c r="F11" s="291"/>
      <c r="G11" s="291"/>
      <c r="H11" s="291"/>
      <c r="I11" s="291"/>
      <c r="J11" s="41"/>
      <c r="K11" s="41"/>
      <c r="L11" s="41"/>
      <c r="M11" s="44"/>
      <c r="N11" s="90"/>
      <c r="O11" s="183"/>
      <c r="P11" s="581"/>
      <c r="Q11" s="582"/>
      <c r="S11" s="55"/>
      <c r="T11" s="55"/>
      <c r="U11" s="55"/>
      <c r="V11" s="55"/>
      <c r="W11" s="55"/>
      <c r="X11" s="55"/>
    </row>
    <row r="12" spans="1:24" ht="3" customHeight="1" thickBot="1" x14ac:dyDescent="0.3">
      <c r="A12" s="30"/>
      <c r="B12" s="54"/>
      <c r="C12" s="50"/>
      <c r="D12" s="50"/>
      <c r="E12" s="50"/>
      <c r="F12" s="50"/>
      <c r="G12" s="50"/>
      <c r="H12" s="50"/>
      <c r="I12" s="50"/>
      <c r="J12" s="50"/>
      <c r="K12" s="50"/>
      <c r="L12" s="50"/>
      <c r="M12" s="51"/>
      <c r="N12" s="55"/>
      <c r="O12" s="55"/>
      <c r="P12" s="55"/>
      <c r="Q12" s="55"/>
      <c r="S12" s="55"/>
      <c r="T12" s="55"/>
      <c r="U12" s="55"/>
      <c r="V12" s="55"/>
      <c r="W12" s="55"/>
      <c r="X12" s="55"/>
    </row>
    <row r="13" spans="1:24" ht="15.75" x14ac:dyDescent="0.25">
      <c r="A13" s="30"/>
      <c r="B13" s="56" t="s">
        <v>22</v>
      </c>
      <c r="C13" s="573" t="s">
        <v>23</v>
      </c>
      <c r="D13" s="573"/>
      <c r="E13" s="57" t="s">
        <v>259</v>
      </c>
      <c r="F13" s="574" t="s">
        <v>24</v>
      </c>
      <c r="G13" s="574"/>
      <c r="H13" s="574"/>
      <c r="I13" s="58" t="s">
        <v>25</v>
      </c>
      <c r="J13" s="59" t="s">
        <v>26</v>
      </c>
      <c r="K13" s="58" t="s">
        <v>27</v>
      </c>
      <c r="L13" s="575" t="s">
        <v>28</v>
      </c>
      <c r="M13" s="576"/>
      <c r="N13" s="60" t="s">
        <v>72</v>
      </c>
      <c r="O13" s="60" t="s">
        <v>69</v>
      </c>
      <c r="P13" s="60" t="s">
        <v>71</v>
      </c>
      <c r="Q13" s="185" t="s">
        <v>70</v>
      </c>
      <c r="R13" s="187" t="s">
        <v>213</v>
      </c>
      <c r="S13" s="55"/>
      <c r="T13" s="55"/>
      <c r="U13" s="55"/>
      <c r="V13" s="55"/>
      <c r="W13" s="55"/>
      <c r="X13" s="55"/>
    </row>
    <row r="14" spans="1:24" ht="15" customHeight="1" x14ac:dyDescent="0.25">
      <c r="A14" s="62" t="s">
        <v>104</v>
      </c>
      <c r="B14" s="61">
        <v>1</v>
      </c>
      <c r="C14" s="555" t="s">
        <v>406</v>
      </c>
      <c r="D14" s="91"/>
      <c r="E14" s="92"/>
      <c r="F14" s="93"/>
      <c r="G14" s="93"/>
      <c r="H14" s="93"/>
      <c r="I14" s="94" t="e">
        <f ca="1">(YEAR(TODAY())-YEAR(DATE(H14,G14,F14)))</f>
        <v>#NUM!</v>
      </c>
      <c r="J14" s="238"/>
      <c r="K14" s="243"/>
      <c r="L14" s="243"/>
      <c r="M14" s="241"/>
      <c r="N14" s="240"/>
      <c r="O14" s="242"/>
      <c r="P14" s="240"/>
      <c r="Q14" s="240"/>
      <c r="R14" s="245"/>
      <c r="S14" s="55"/>
      <c r="T14" s="55"/>
      <c r="U14" s="55"/>
      <c r="V14" s="55"/>
      <c r="W14" s="55"/>
      <c r="X14" s="55"/>
    </row>
    <row r="15" spans="1:24" ht="15" customHeight="1" x14ac:dyDescent="0.25">
      <c r="A15" s="62" t="s">
        <v>100</v>
      </c>
      <c r="B15" s="61">
        <v>2</v>
      </c>
      <c r="C15" s="555" t="s">
        <v>428</v>
      </c>
      <c r="D15" s="91"/>
      <c r="E15" s="92"/>
      <c r="F15" s="93"/>
      <c r="G15" s="93"/>
      <c r="H15" s="93"/>
      <c r="I15" s="94" t="e">
        <f ca="1">(YEAR(TODAY())-YEAR(DATE(H15,G15,F15)))</f>
        <v>#NUM!</v>
      </c>
      <c r="J15" s="238"/>
      <c r="K15" s="239"/>
      <c r="L15" s="239"/>
      <c r="M15" s="241"/>
      <c r="N15" s="240"/>
      <c r="O15" s="242"/>
      <c r="P15" s="240"/>
      <c r="Q15" s="240"/>
      <c r="R15" s="245"/>
      <c r="S15" s="55"/>
      <c r="T15" s="55"/>
      <c r="U15" s="55"/>
      <c r="V15" s="55"/>
      <c r="W15" s="55"/>
      <c r="X15" s="55"/>
    </row>
    <row r="16" spans="1:24" x14ac:dyDescent="0.25">
      <c r="A16" s="62" t="s">
        <v>105</v>
      </c>
      <c r="B16" s="61">
        <v>3</v>
      </c>
      <c r="C16" s="555" t="s">
        <v>407</v>
      </c>
      <c r="D16" s="91"/>
      <c r="E16" s="92"/>
      <c r="F16" s="93"/>
      <c r="G16" s="93"/>
      <c r="H16" s="93"/>
      <c r="I16" s="94" t="e">
        <f t="shared" ref="I16:I58" ca="1" si="0">(YEAR(TODAY())-YEAR(DATE(H16,G16,F16)))</f>
        <v>#NUM!</v>
      </c>
      <c r="J16" s="238"/>
      <c r="K16" s="239"/>
      <c r="L16" s="239"/>
      <c r="M16" s="241"/>
      <c r="N16" s="240"/>
      <c r="O16" s="242"/>
      <c r="P16" s="240"/>
      <c r="Q16" s="240"/>
      <c r="R16" s="245"/>
      <c r="S16" s="55"/>
      <c r="T16" s="55"/>
      <c r="U16" s="55"/>
      <c r="V16" s="55"/>
      <c r="W16" s="55"/>
      <c r="X16" s="55"/>
    </row>
    <row r="17" spans="1:24" x14ac:dyDescent="0.25">
      <c r="A17" s="62" t="s">
        <v>106</v>
      </c>
      <c r="B17" s="61">
        <v>4</v>
      </c>
      <c r="C17" s="555" t="s">
        <v>408</v>
      </c>
      <c r="D17" s="91"/>
      <c r="E17" s="92"/>
      <c r="F17" s="93"/>
      <c r="G17" s="93"/>
      <c r="H17" s="93"/>
      <c r="I17" s="94" t="e">
        <f t="shared" ca="1" si="0"/>
        <v>#NUM!</v>
      </c>
      <c r="J17" s="238"/>
      <c r="K17" s="239"/>
      <c r="L17" s="239"/>
      <c r="M17" s="241"/>
      <c r="N17" s="240"/>
      <c r="O17" s="242"/>
      <c r="P17" s="240"/>
      <c r="Q17" s="240"/>
      <c r="R17" s="245"/>
      <c r="S17" s="55"/>
      <c r="T17" s="55"/>
      <c r="U17" s="55"/>
      <c r="V17" s="55"/>
      <c r="W17" s="55"/>
      <c r="X17" s="55"/>
    </row>
    <row r="18" spans="1:24" x14ac:dyDescent="0.25">
      <c r="A18" s="62" t="s">
        <v>107</v>
      </c>
      <c r="B18" s="61">
        <v>5</v>
      </c>
      <c r="C18" s="555" t="s">
        <v>409</v>
      </c>
      <c r="D18" s="91"/>
      <c r="E18" s="92"/>
      <c r="F18" s="93"/>
      <c r="G18" s="93"/>
      <c r="H18" s="93"/>
      <c r="I18" s="94" t="e">
        <f t="shared" ca="1" si="0"/>
        <v>#NUM!</v>
      </c>
      <c r="J18" s="238"/>
      <c r="K18" s="239"/>
      <c r="L18" s="239"/>
      <c r="M18" s="241"/>
      <c r="N18" s="240"/>
      <c r="O18" s="242"/>
      <c r="P18" s="240"/>
      <c r="Q18" s="240"/>
      <c r="R18" s="245"/>
      <c r="S18" s="55"/>
      <c r="T18" s="55"/>
      <c r="U18" s="55"/>
      <c r="V18" s="55"/>
      <c r="W18" s="55"/>
      <c r="X18" s="55"/>
    </row>
    <row r="19" spans="1:24" x14ac:dyDescent="0.25">
      <c r="A19" s="62" t="s">
        <v>108</v>
      </c>
      <c r="B19" s="61">
        <v>6</v>
      </c>
      <c r="C19" s="555" t="s">
        <v>427</v>
      </c>
      <c r="D19" s="91"/>
      <c r="E19" s="92"/>
      <c r="F19" s="93"/>
      <c r="G19" s="93"/>
      <c r="H19" s="93"/>
      <c r="I19" s="94" t="e">
        <f t="shared" ca="1" si="0"/>
        <v>#NUM!</v>
      </c>
      <c r="J19" s="238"/>
      <c r="K19" s="239"/>
      <c r="L19" s="239"/>
      <c r="M19" s="241"/>
      <c r="N19" s="240"/>
      <c r="O19" s="242"/>
      <c r="P19" s="240"/>
      <c r="Q19" s="240"/>
      <c r="R19" s="245"/>
      <c r="S19" s="55"/>
      <c r="T19" s="55"/>
      <c r="U19" s="55"/>
      <c r="V19" s="55"/>
      <c r="W19" s="55"/>
      <c r="X19" s="55"/>
    </row>
    <row r="20" spans="1:24" x14ac:dyDescent="0.25">
      <c r="A20" s="62" t="s">
        <v>109</v>
      </c>
      <c r="B20" s="61">
        <v>7</v>
      </c>
      <c r="C20" s="555" t="s">
        <v>410</v>
      </c>
      <c r="D20" s="91"/>
      <c r="E20" s="92"/>
      <c r="F20" s="93"/>
      <c r="G20" s="93"/>
      <c r="H20" s="93"/>
      <c r="I20" s="94" t="e">
        <f t="shared" ca="1" si="0"/>
        <v>#NUM!</v>
      </c>
      <c r="J20" s="238"/>
      <c r="K20" s="239"/>
      <c r="L20" s="239"/>
      <c r="M20" s="241"/>
      <c r="N20" s="240"/>
      <c r="O20" s="242"/>
      <c r="P20" s="240"/>
      <c r="Q20" s="240"/>
      <c r="R20" s="245"/>
      <c r="S20" s="55"/>
      <c r="T20" s="55"/>
      <c r="U20" s="55"/>
      <c r="V20" s="55"/>
      <c r="W20" s="55"/>
      <c r="X20" s="55"/>
    </row>
    <row r="21" spans="1:24" x14ac:dyDescent="0.25">
      <c r="A21" s="62" t="s">
        <v>110</v>
      </c>
      <c r="B21" s="61">
        <v>8</v>
      </c>
      <c r="C21" s="556" t="s">
        <v>411</v>
      </c>
      <c r="D21" s="91"/>
      <c r="E21" s="92"/>
      <c r="F21" s="93"/>
      <c r="G21" s="93"/>
      <c r="H21" s="93"/>
      <c r="I21" s="94" t="e">
        <f t="shared" ca="1" si="0"/>
        <v>#NUM!</v>
      </c>
      <c r="J21" s="238"/>
      <c r="K21" s="239"/>
      <c r="L21" s="239"/>
      <c r="M21" s="241"/>
      <c r="N21" s="240"/>
      <c r="O21" s="242"/>
      <c r="P21" s="240"/>
      <c r="Q21" s="240"/>
      <c r="R21" s="245"/>
      <c r="S21" s="55"/>
      <c r="T21" s="55"/>
      <c r="U21" s="55"/>
      <c r="V21" s="55"/>
      <c r="W21" s="55"/>
      <c r="X21" s="55"/>
    </row>
    <row r="22" spans="1:24" x14ac:dyDescent="0.25">
      <c r="A22" s="62" t="s">
        <v>111</v>
      </c>
      <c r="B22" s="61">
        <v>9</v>
      </c>
      <c r="C22" s="555" t="s">
        <v>429</v>
      </c>
      <c r="D22" s="91"/>
      <c r="E22" s="92"/>
      <c r="F22" s="93"/>
      <c r="G22" s="93"/>
      <c r="H22" s="93"/>
      <c r="I22" s="94" t="e">
        <f t="shared" ca="1" si="0"/>
        <v>#NUM!</v>
      </c>
      <c r="J22" s="238"/>
      <c r="K22" s="239"/>
      <c r="L22" s="239"/>
      <c r="M22" s="241"/>
      <c r="N22" s="240"/>
      <c r="O22" s="242"/>
      <c r="P22" s="240"/>
      <c r="Q22" s="240"/>
      <c r="R22" s="245"/>
      <c r="S22" s="55"/>
      <c r="T22" s="55"/>
      <c r="U22" s="55"/>
      <c r="V22" s="55"/>
      <c r="W22" s="55"/>
      <c r="X22" s="55"/>
    </row>
    <row r="23" spans="1:24" x14ac:dyDescent="0.25">
      <c r="A23" s="62" t="s">
        <v>112</v>
      </c>
      <c r="B23" s="61">
        <v>10</v>
      </c>
      <c r="C23" s="555" t="s">
        <v>412</v>
      </c>
      <c r="D23" s="91"/>
      <c r="E23" s="92"/>
      <c r="F23" s="93"/>
      <c r="G23" s="93"/>
      <c r="H23" s="93"/>
      <c r="I23" s="94" t="e">
        <f t="shared" ca="1" si="0"/>
        <v>#NUM!</v>
      </c>
      <c r="J23" s="238"/>
      <c r="K23" s="239"/>
      <c r="L23" s="239"/>
      <c r="M23" s="241"/>
      <c r="N23" s="240"/>
      <c r="O23" s="242"/>
      <c r="P23" s="240"/>
      <c r="Q23" s="240"/>
      <c r="R23" s="245"/>
      <c r="S23" s="55"/>
      <c r="T23" s="55"/>
      <c r="U23" s="55"/>
      <c r="V23" s="55"/>
      <c r="W23" s="55"/>
      <c r="X23" s="55"/>
    </row>
    <row r="24" spans="1:24" x14ac:dyDescent="0.25">
      <c r="A24" s="62" t="s">
        <v>113</v>
      </c>
      <c r="B24" s="61">
        <v>11</v>
      </c>
      <c r="C24" s="555" t="s">
        <v>413</v>
      </c>
      <c r="D24" s="91"/>
      <c r="E24" s="92"/>
      <c r="F24" s="93"/>
      <c r="G24" s="93"/>
      <c r="H24" s="93"/>
      <c r="I24" s="94" t="e">
        <f t="shared" ca="1" si="0"/>
        <v>#NUM!</v>
      </c>
      <c r="J24" s="238"/>
      <c r="K24" s="239"/>
      <c r="L24" s="239"/>
      <c r="M24" s="241"/>
      <c r="N24" s="240"/>
      <c r="O24" s="242"/>
      <c r="P24" s="240"/>
      <c r="Q24" s="240"/>
      <c r="R24" s="245"/>
      <c r="S24" s="55"/>
      <c r="T24" s="55"/>
      <c r="U24" s="55"/>
      <c r="V24" s="55"/>
      <c r="W24" s="55"/>
      <c r="X24" s="55"/>
    </row>
    <row r="25" spans="1:24" x14ac:dyDescent="0.25">
      <c r="A25" s="62" t="s">
        <v>114</v>
      </c>
      <c r="B25" s="61">
        <v>12</v>
      </c>
      <c r="C25" s="555" t="s">
        <v>414</v>
      </c>
      <c r="D25" s="91"/>
      <c r="E25" s="92"/>
      <c r="F25" s="93"/>
      <c r="G25" s="93"/>
      <c r="H25" s="93"/>
      <c r="I25" s="94" t="e">
        <f t="shared" ca="1" si="0"/>
        <v>#NUM!</v>
      </c>
      <c r="J25" s="238"/>
      <c r="K25" s="239"/>
      <c r="L25" s="239"/>
      <c r="M25" s="241"/>
      <c r="N25" s="240"/>
      <c r="O25" s="242"/>
      <c r="P25" s="240"/>
      <c r="Q25" s="240"/>
      <c r="R25" s="245"/>
      <c r="S25" s="55"/>
      <c r="T25" s="55"/>
      <c r="U25" s="55"/>
      <c r="V25" s="55"/>
      <c r="W25" s="55"/>
      <c r="X25" s="55"/>
    </row>
    <row r="26" spans="1:24" x14ac:dyDescent="0.25">
      <c r="A26" s="62" t="s">
        <v>115</v>
      </c>
      <c r="B26" s="61">
        <v>13</v>
      </c>
      <c r="C26" s="557" t="s">
        <v>415</v>
      </c>
      <c r="D26" s="91"/>
      <c r="E26" s="92"/>
      <c r="F26" s="93"/>
      <c r="G26" s="93"/>
      <c r="H26" s="93"/>
      <c r="I26" s="94" t="e">
        <f t="shared" ca="1" si="0"/>
        <v>#NUM!</v>
      </c>
      <c r="J26" s="238"/>
      <c r="K26" s="239"/>
      <c r="L26" s="239"/>
      <c r="M26" s="241"/>
      <c r="N26" s="240"/>
      <c r="O26" s="242"/>
      <c r="P26" s="240"/>
      <c r="Q26" s="240"/>
      <c r="R26" s="245"/>
      <c r="S26" s="55"/>
      <c r="T26" s="55"/>
      <c r="U26" s="55"/>
      <c r="V26" s="55"/>
      <c r="W26" s="55"/>
      <c r="X26" s="55"/>
    </row>
    <row r="27" spans="1:24" x14ac:dyDescent="0.25">
      <c r="A27" s="62" t="s">
        <v>116</v>
      </c>
      <c r="B27" s="61">
        <v>14</v>
      </c>
      <c r="C27" s="558" t="s">
        <v>416</v>
      </c>
      <c r="D27" s="91"/>
      <c r="E27" s="92"/>
      <c r="F27" s="93"/>
      <c r="G27" s="93"/>
      <c r="H27" s="93"/>
      <c r="I27" s="94" t="e">
        <f t="shared" ca="1" si="0"/>
        <v>#NUM!</v>
      </c>
      <c r="J27" s="238"/>
      <c r="K27" s="239"/>
      <c r="L27" s="239"/>
      <c r="M27" s="241"/>
      <c r="N27" s="240"/>
      <c r="O27" s="242"/>
      <c r="P27" s="240"/>
      <c r="Q27" s="240"/>
      <c r="R27" s="245"/>
      <c r="S27" s="55"/>
      <c r="T27" s="55"/>
      <c r="U27" s="55"/>
      <c r="V27" s="55"/>
      <c r="W27" s="55"/>
      <c r="X27" s="55"/>
    </row>
    <row r="28" spans="1:24" x14ac:dyDescent="0.25">
      <c r="A28" s="62" t="s">
        <v>117</v>
      </c>
      <c r="B28" s="61">
        <v>15</v>
      </c>
      <c r="C28" s="828" t="s">
        <v>417</v>
      </c>
      <c r="D28" s="91"/>
      <c r="E28" s="92"/>
      <c r="F28" s="93"/>
      <c r="G28" s="93"/>
      <c r="H28" s="93"/>
      <c r="I28" s="94" t="e">
        <f t="shared" ca="1" si="0"/>
        <v>#NUM!</v>
      </c>
      <c r="J28" s="238"/>
      <c r="K28" s="239"/>
      <c r="L28" s="239"/>
      <c r="M28" s="241"/>
      <c r="N28" s="240"/>
      <c r="O28" s="242"/>
      <c r="P28" s="240"/>
      <c r="Q28" s="240"/>
      <c r="R28" s="245"/>
      <c r="S28" s="55"/>
      <c r="T28" s="55"/>
      <c r="U28" s="55"/>
      <c r="V28" s="55"/>
      <c r="W28" s="55"/>
      <c r="X28" s="55"/>
    </row>
    <row r="29" spans="1:24" x14ac:dyDescent="0.25">
      <c r="A29" s="62" t="s">
        <v>118</v>
      </c>
      <c r="B29" s="61">
        <v>16</v>
      </c>
      <c r="C29" s="559" t="s">
        <v>418</v>
      </c>
      <c r="D29" s="91"/>
      <c r="E29" s="92"/>
      <c r="F29" s="93"/>
      <c r="G29" s="93"/>
      <c r="H29" s="93"/>
      <c r="I29" s="94" t="e">
        <f t="shared" ca="1" si="0"/>
        <v>#NUM!</v>
      </c>
      <c r="J29" s="238"/>
      <c r="K29" s="239"/>
      <c r="L29" s="239"/>
      <c r="M29" s="241"/>
      <c r="N29" s="240"/>
      <c r="O29" s="242"/>
      <c r="P29" s="240"/>
      <c r="Q29" s="240"/>
      <c r="R29" s="245"/>
      <c r="S29" s="55"/>
      <c r="T29" s="55"/>
      <c r="U29" s="55"/>
      <c r="V29" s="55"/>
      <c r="W29" s="55"/>
      <c r="X29" s="55"/>
    </row>
    <row r="30" spans="1:24" x14ac:dyDescent="0.25">
      <c r="A30" s="62" t="s">
        <v>119</v>
      </c>
      <c r="B30" s="61">
        <v>17</v>
      </c>
      <c r="C30" s="555" t="s">
        <v>419</v>
      </c>
      <c r="D30" s="91"/>
      <c r="E30" s="92"/>
      <c r="F30" s="93"/>
      <c r="G30" s="93"/>
      <c r="H30" s="93"/>
      <c r="I30" s="94" t="e">
        <f t="shared" ca="1" si="0"/>
        <v>#NUM!</v>
      </c>
      <c r="J30" s="238"/>
      <c r="K30" s="239"/>
      <c r="L30" s="239"/>
      <c r="M30" s="241"/>
      <c r="N30" s="240"/>
      <c r="O30" s="242"/>
      <c r="P30" s="240"/>
      <c r="Q30" s="240"/>
      <c r="R30" s="245"/>
      <c r="S30" s="55"/>
      <c r="T30" s="55"/>
      <c r="U30" s="55"/>
      <c r="V30" s="55"/>
      <c r="W30" s="55"/>
      <c r="X30" s="55"/>
    </row>
    <row r="31" spans="1:24" x14ac:dyDescent="0.25">
      <c r="A31" s="62" t="s">
        <v>120</v>
      </c>
      <c r="B31" s="61">
        <v>18</v>
      </c>
      <c r="C31" s="558" t="s">
        <v>420</v>
      </c>
      <c r="D31" s="91"/>
      <c r="E31" s="92"/>
      <c r="F31" s="93"/>
      <c r="G31" s="93"/>
      <c r="H31" s="93"/>
      <c r="I31" s="94" t="e">
        <f t="shared" ca="1" si="0"/>
        <v>#NUM!</v>
      </c>
      <c r="J31" s="238"/>
      <c r="K31" s="239"/>
      <c r="L31" s="239"/>
      <c r="M31" s="241"/>
      <c r="N31" s="240"/>
      <c r="O31" s="242"/>
      <c r="P31" s="240"/>
      <c r="Q31" s="240"/>
      <c r="R31" s="245"/>
      <c r="S31" s="55"/>
      <c r="T31" s="55"/>
      <c r="U31" s="55"/>
      <c r="V31" s="55"/>
      <c r="W31" s="55"/>
      <c r="X31" s="55"/>
    </row>
    <row r="32" spans="1:24" x14ac:dyDescent="0.25">
      <c r="A32" s="62" t="s">
        <v>121</v>
      </c>
      <c r="B32" s="61">
        <v>19</v>
      </c>
      <c r="C32" s="558" t="s">
        <v>421</v>
      </c>
      <c r="D32" s="91"/>
      <c r="E32" s="92"/>
      <c r="F32" s="93"/>
      <c r="G32" s="93"/>
      <c r="H32" s="93"/>
      <c r="I32" s="94" t="e">
        <f t="shared" ca="1" si="0"/>
        <v>#NUM!</v>
      </c>
      <c r="J32" s="238"/>
      <c r="K32" s="239"/>
      <c r="L32" s="239"/>
      <c r="M32" s="241"/>
      <c r="N32" s="240"/>
      <c r="O32" s="242"/>
      <c r="P32" s="240"/>
      <c r="Q32" s="240"/>
      <c r="R32" s="245"/>
      <c r="S32" s="55"/>
      <c r="T32" s="55"/>
      <c r="U32" s="55"/>
      <c r="V32" s="55"/>
      <c r="W32" s="55"/>
      <c r="X32" s="55"/>
    </row>
    <row r="33" spans="1:24" x14ac:dyDescent="0.25">
      <c r="A33" s="62" t="s">
        <v>122</v>
      </c>
      <c r="B33" s="61">
        <v>20</v>
      </c>
      <c r="C33" s="558" t="s">
        <v>422</v>
      </c>
      <c r="D33" s="91"/>
      <c r="E33" s="92"/>
      <c r="F33" s="93"/>
      <c r="G33" s="93"/>
      <c r="H33" s="93"/>
      <c r="I33" s="94" t="e">
        <f t="shared" ca="1" si="0"/>
        <v>#NUM!</v>
      </c>
      <c r="J33" s="238"/>
      <c r="K33" s="239"/>
      <c r="L33" s="239"/>
      <c r="M33" s="241"/>
      <c r="N33" s="240"/>
      <c r="O33" s="242"/>
      <c r="P33" s="240"/>
      <c r="Q33" s="240"/>
      <c r="R33" s="245"/>
      <c r="S33" s="55"/>
      <c r="T33" s="55"/>
      <c r="U33" s="55"/>
      <c r="V33" s="55"/>
      <c r="W33" s="55"/>
      <c r="X33" s="55"/>
    </row>
    <row r="34" spans="1:24" x14ac:dyDescent="0.25">
      <c r="A34" s="62" t="s">
        <v>123</v>
      </c>
      <c r="B34" s="61">
        <v>21</v>
      </c>
      <c r="C34" s="558" t="s">
        <v>423</v>
      </c>
      <c r="D34" s="91"/>
      <c r="E34" s="92"/>
      <c r="F34" s="93"/>
      <c r="G34" s="93"/>
      <c r="H34" s="93"/>
      <c r="I34" s="94" t="e">
        <f t="shared" ca="1" si="0"/>
        <v>#NUM!</v>
      </c>
      <c r="J34" s="238"/>
      <c r="K34" s="239"/>
      <c r="L34" s="239"/>
      <c r="M34" s="241"/>
      <c r="N34" s="240"/>
      <c r="O34" s="242"/>
      <c r="P34" s="240"/>
      <c r="Q34" s="240"/>
      <c r="R34" s="245"/>
      <c r="S34" s="55"/>
      <c r="T34" s="55"/>
      <c r="U34" s="55"/>
      <c r="V34" s="55"/>
      <c r="W34" s="55"/>
      <c r="X34" s="55"/>
    </row>
    <row r="35" spans="1:24" x14ac:dyDescent="0.25">
      <c r="A35" s="62" t="s">
        <v>124</v>
      </c>
      <c r="B35" s="61">
        <v>22</v>
      </c>
      <c r="C35" s="558" t="s">
        <v>424</v>
      </c>
      <c r="D35" s="91"/>
      <c r="E35" s="92"/>
      <c r="F35" s="93"/>
      <c r="G35" s="93"/>
      <c r="H35" s="93"/>
      <c r="I35" s="94" t="e">
        <f t="shared" ca="1" si="0"/>
        <v>#NUM!</v>
      </c>
      <c r="J35" s="238"/>
      <c r="K35" s="239"/>
      <c r="L35" s="239"/>
      <c r="M35" s="241"/>
      <c r="N35" s="240"/>
      <c r="O35" s="242"/>
      <c r="P35" s="240"/>
      <c r="Q35" s="240"/>
      <c r="R35" s="245"/>
      <c r="S35" s="55"/>
      <c r="T35" s="55"/>
      <c r="U35" s="55"/>
      <c r="V35" s="55"/>
      <c r="W35" s="55"/>
      <c r="X35" s="55"/>
    </row>
    <row r="36" spans="1:24" x14ac:dyDescent="0.25">
      <c r="A36" s="62" t="s">
        <v>125</v>
      </c>
      <c r="B36" s="61">
        <v>23</v>
      </c>
      <c r="C36" s="558" t="s">
        <v>425</v>
      </c>
      <c r="D36" s="91"/>
      <c r="E36" s="92"/>
      <c r="F36" s="93"/>
      <c r="G36" s="93"/>
      <c r="H36" s="93"/>
      <c r="I36" s="94" t="e">
        <f t="shared" ca="1" si="0"/>
        <v>#NUM!</v>
      </c>
      <c r="J36" s="238"/>
      <c r="K36" s="239"/>
      <c r="L36" s="239"/>
      <c r="M36" s="241"/>
      <c r="N36" s="240"/>
      <c r="O36" s="242"/>
      <c r="P36" s="240"/>
      <c r="Q36" s="240"/>
      <c r="R36" s="245"/>
      <c r="S36" s="55"/>
      <c r="T36" s="55"/>
      <c r="U36" s="55"/>
      <c r="V36" s="55"/>
      <c r="W36" s="55"/>
      <c r="X36" s="55"/>
    </row>
    <row r="37" spans="1:24" x14ac:dyDescent="0.25">
      <c r="A37" s="62" t="s">
        <v>126</v>
      </c>
      <c r="B37" s="61">
        <v>24</v>
      </c>
      <c r="C37" s="558" t="s">
        <v>426</v>
      </c>
      <c r="D37" s="91"/>
      <c r="E37" s="92"/>
      <c r="F37" s="93"/>
      <c r="G37" s="93"/>
      <c r="H37" s="93"/>
      <c r="I37" s="94" t="e">
        <f t="shared" ca="1" si="0"/>
        <v>#NUM!</v>
      </c>
      <c r="J37" s="238"/>
      <c r="K37" s="239"/>
      <c r="L37" s="239"/>
      <c r="M37" s="241"/>
      <c r="N37" s="240"/>
      <c r="O37" s="242"/>
      <c r="P37" s="240"/>
      <c r="Q37" s="240"/>
      <c r="R37" s="245"/>
      <c r="S37" s="55"/>
      <c r="T37" s="55"/>
      <c r="U37" s="55"/>
      <c r="V37" s="55"/>
      <c r="W37" s="55"/>
      <c r="X37" s="55"/>
    </row>
    <row r="38" spans="1:24" x14ac:dyDescent="0.25">
      <c r="A38" s="62" t="s">
        <v>127</v>
      </c>
      <c r="B38" s="61">
        <v>25</v>
      </c>
      <c r="C38" s="95"/>
      <c r="D38" s="91"/>
      <c r="E38" s="92"/>
      <c r="F38" s="93"/>
      <c r="G38" s="93"/>
      <c r="H38" s="93"/>
      <c r="I38" s="94" t="e">
        <f t="shared" ca="1" si="0"/>
        <v>#NUM!</v>
      </c>
      <c r="J38" s="238"/>
      <c r="K38" s="239"/>
      <c r="L38" s="239"/>
      <c r="M38" s="241"/>
      <c r="N38" s="240"/>
      <c r="O38" s="242"/>
      <c r="P38" s="240"/>
      <c r="Q38" s="240"/>
      <c r="R38" s="245"/>
      <c r="S38" s="55"/>
      <c r="T38" s="55"/>
      <c r="U38" s="55"/>
      <c r="V38" s="55"/>
      <c r="W38" s="55"/>
      <c r="X38" s="55"/>
    </row>
    <row r="39" spans="1:24" x14ac:dyDescent="0.25">
      <c r="A39" s="62" t="s">
        <v>128</v>
      </c>
      <c r="B39" s="61">
        <v>26</v>
      </c>
      <c r="C39" s="95"/>
      <c r="D39" s="91"/>
      <c r="E39" s="92"/>
      <c r="F39" s="93"/>
      <c r="G39" s="93"/>
      <c r="H39" s="93"/>
      <c r="I39" s="94" t="e">
        <f t="shared" ca="1" si="0"/>
        <v>#NUM!</v>
      </c>
      <c r="J39" s="238"/>
      <c r="K39" s="239"/>
      <c r="L39" s="239"/>
      <c r="M39" s="241"/>
      <c r="N39" s="240"/>
      <c r="O39" s="242"/>
      <c r="P39" s="240"/>
      <c r="Q39" s="240"/>
      <c r="R39" s="245"/>
      <c r="S39" s="55"/>
      <c r="T39" s="55"/>
      <c r="U39" s="55"/>
      <c r="V39" s="55"/>
      <c r="W39" s="55"/>
      <c r="X39" s="55"/>
    </row>
    <row r="40" spans="1:24" x14ac:dyDescent="0.25">
      <c r="A40" s="62" t="s">
        <v>129</v>
      </c>
      <c r="B40" s="61">
        <v>27</v>
      </c>
      <c r="C40" s="95"/>
      <c r="D40" s="91"/>
      <c r="E40" s="92"/>
      <c r="F40" s="93"/>
      <c r="G40" s="93"/>
      <c r="H40" s="93"/>
      <c r="I40" s="94" t="e">
        <f t="shared" ca="1" si="0"/>
        <v>#NUM!</v>
      </c>
      <c r="J40" s="238"/>
      <c r="K40" s="239"/>
      <c r="L40" s="239"/>
      <c r="M40" s="241"/>
      <c r="N40" s="240"/>
      <c r="O40" s="242"/>
      <c r="P40" s="240"/>
      <c r="Q40" s="240"/>
      <c r="R40" s="245"/>
      <c r="S40" s="55"/>
      <c r="T40" s="55"/>
      <c r="U40" s="55"/>
      <c r="V40" s="55"/>
      <c r="W40" s="55"/>
      <c r="X40" s="55"/>
    </row>
    <row r="41" spans="1:24" x14ac:dyDescent="0.25">
      <c r="A41" s="62" t="s">
        <v>130</v>
      </c>
      <c r="B41" s="61">
        <v>28</v>
      </c>
      <c r="C41" s="95"/>
      <c r="D41" s="91"/>
      <c r="E41" s="92"/>
      <c r="F41" s="93"/>
      <c r="G41" s="93"/>
      <c r="H41" s="93"/>
      <c r="I41" s="94" t="e">
        <f t="shared" ca="1" si="0"/>
        <v>#NUM!</v>
      </c>
      <c r="J41" s="238"/>
      <c r="K41" s="239"/>
      <c r="L41" s="239"/>
      <c r="M41" s="241"/>
      <c r="N41" s="240"/>
      <c r="O41" s="242"/>
      <c r="P41" s="240"/>
      <c r="Q41" s="240"/>
      <c r="R41" s="245"/>
      <c r="S41" s="55"/>
      <c r="T41" s="55"/>
      <c r="U41" s="55"/>
      <c r="V41" s="55"/>
      <c r="W41" s="55"/>
      <c r="X41" s="55"/>
    </row>
    <row r="42" spans="1:24" x14ac:dyDescent="0.25">
      <c r="A42" s="62" t="s">
        <v>131</v>
      </c>
      <c r="B42" s="61">
        <v>29</v>
      </c>
      <c r="C42" s="95"/>
      <c r="D42" s="91"/>
      <c r="E42" s="92"/>
      <c r="F42" s="93"/>
      <c r="G42" s="93"/>
      <c r="H42" s="93"/>
      <c r="I42" s="94" t="e">
        <f t="shared" ca="1" si="0"/>
        <v>#NUM!</v>
      </c>
      <c r="J42" s="238"/>
      <c r="K42" s="239"/>
      <c r="L42" s="239"/>
      <c r="M42" s="241"/>
      <c r="N42" s="240"/>
      <c r="O42" s="242"/>
      <c r="P42" s="240"/>
      <c r="Q42" s="240"/>
      <c r="R42" s="245"/>
      <c r="S42" s="55"/>
      <c r="T42" s="55"/>
      <c r="U42" s="55"/>
      <c r="V42" s="55"/>
      <c r="W42" s="55"/>
      <c r="X42" s="55"/>
    </row>
    <row r="43" spans="1:24" x14ac:dyDescent="0.25">
      <c r="A43" s="62" t="s">
        <v>132</v>
      </c>
      <c r="B43" s="61">
        <v>30</v>
      </c>
      <c r="C43" s="95"/>
      <c r="D43" s="91"/>
      <c r="E43" s="92"/>
      <c r="F43" s="93"/>
      <c r="G43" s="93"/>
      <c r="H43" s="93"/>
      <c r="I43" s="94" t="e">
        <f t="shared" ca="1" si="0"/>
        <v>#NUM!</v>
      </c>
      <c r="J43" s="238"/>
      <c r="K43" s="239"/>
      <c r="L43" s="239"/>
      <c r="M43" s="241"/>
      <c r="N43" s="240"/>
      <c r="O43" s="242"/>
      <c r="P43" s="240"/>
      <c r="Q43" s="240"/>
      <c r="R43" s="245"/>
      <c r="S43" s="55"/>
      <c r="T43" s="55"/>
      <c r="U43" s="55"/>
      <c r="V43" s="55"/>
      <c r="W43" s="55"/>
      <c r="X43" s="55"/>
    </row>
    <row r="44" spans="1:24" x14ac:dyDescent="0.25">
      <c r="A44" s="62" t="s">
        <v>133</v>
      </c>
      <c r="B44" s="61">
        <v>31</v>
      </c>
      <c r="C44" s="95"/>
      <c r="D44" s="91"/>
      <c r="E44" s="92"/>
      <c r="F44" s="93"/>
      <c r="G44" s="93"/>
      <c r="H44" s="93"/>
      <c r="I44" s="94" t="e">
        <f t="shared" ca="1" si="0"/>
        <v>#NUM!</v>
      </c>
      <c r="J44" s="238"/>
      <c r="K44" s="239"/>
      <c r="L44" s="239"/>
      <c r="M44" s="241"/>
      <c r="N44" s="240"/>
      <c r="O44" s="242"/>
      <c r="P44" s="240"/>
      <c r="Q44" s="240"/>
      <c r="R44" s="245"/>
      <c r="S44" s="55"/>
      <c r="T44" s="55"/>
      <c r="U44" s="55"/>
      <c r="V44" s="55"/>
      <c r="W44" s="55"/>
      <c r="X44" s="55"/>
    </row>
    <row r="45" spans="1:24" x14ac:dyDescent="0.25">
      <c r="A45" s="62" t="s">
        <v>134</v>
      </c>
      <c r="B45" s="61">
        <v>32</v>
      </c>
      <c r="C45" s="95"/>
      <c r="D45" s="91"/>
      <c r="E45" s="92"/>
      <c r="F45" s="93"/>
      <c r="G45" s="93"/>
      <c r="H45" s="93"/>
      <c r="I45" s="94" t="e">
        <f t="shared" ca="1" si="0"/>
        <v>#NUM!</v>
      </c>
      <c r="J45" s="238"/>
      <c r="K45" s="239"/>
      <c r="L45" s="239"/>
      <c r="M45" s="241"/>
      <c r="N45" s="240"/>
      <c r="O45" s="242"/>
      <c r="P45" s="240"/>
      <c r="Q45" s="240"/>
      <c r="R45" s="245"/>
      <c r="S45" s="55"/>
      <c r="T45" s="55"/>
      <c r="U45" s="55"/>
      <c r="V45" s="55"/>
      <c r="W45" s="55"/>
      <c r="X45" s="55"/>
    </row>
    <row r="46" spans="1:24" x14ac:dyDescent="0.25">
      <c r="A46" s="62" t="s">
        <v>135</v>
      </c>
      <c r="B46" s="61">
        <v>33</v>
      </c>
      <c r="C46" s="95"/>
      <c r="D46" s="91"/>
      <c r="E46" s="92"/>
      <c r="F46" s="93"/>
      <c r="G46" s="93"/>
      <c r="H46" s="93"/>
      <c r="I46" s="94" t="e">
        <f t="shared" ca="1" si="0"/>
        <v>#NUM!</v>
      </c>
      <c r="J46" s="238"/>
      <c r="K46" s="239"/>
      <c r="L46" s="239"/>
      <c r="M46" s="241"/>
      <c r="N46" s="240"/>
      <c r="O46" s="242"/>
      <c r="P46" s="240"/>
      <c r="Q46" s="240"/>
      <c r="R46" s="245"/>
      <c r="S46" s="55"/>
      <c r="T46" s="55"/>
      <c r="U46" s="55"/>
      <c r="V46" s="55"/>
      <c r="W46" s="55"/>
      <c r="X46" s="55"/>
    </row>
    <row r="47" spans="1:24" x14ac:dyDescent="0.25">
      <c r="A47" s="62" t="s">
        <v>136</v>
      </c>
      <c r="B47" s="61">
        <v>34</v>
      </c>
      <c r="C47" s="95"/>
      <c r="D47" s="91"/>
      <c r="E47" s="92"/>
      <c r="F47" s="93"/>
      <c r="G47" s="93"/>
      <c r="H47" s="93"/>
      <c r="I47" s="94" t="e">
        <f t="shared" ca="1" si="0"/>
        <v>#NUM!</v>
      </c>
      <c r="J47" s="238"/>
      <c r="K47" s="239"/>
      <c r="L47" s="239"/>
      <c r="M47" s="241"/>
      <c r="N47" s="240"/>
      <c r="O47" s="242"/>
      <c r="P47" s="240"/>
      <c r="Q47" s="240"/>
      <c r="R47" s="245"/>
      <c r="S47" s="55"/>
      <c r="T47" s="55"/>
      <c r="U47" s="55"/>
      <c r="V47" s="55"/>
      <c r="W47" s="55"/>
      <c r="X47" s="55"/>
    </row>
    <row r="48" spans="1:24" x14ac:dyDescent="0.25">
      <c r="A48" s="62" t="s">
        <v>137</v>
      </c>
      <c r="B48" s="61">
        <v>35</v>
      </c>
      <c r="C48" s="95"/>
      <c r="D48" s="91"/>
      <c r="E48" s="92"/>
      <c r="F48" s="93"/>
      <c r="G48" s="93"/>
      <c r="H48" s="93"/>
      <c r="I48" s="94" t="e">
        <f t="shared" ca="1" si="0"/>
        <v>#NUM!</v>
      </c>
      <c r="J48" s="238"/>
      <c r="K48" s="239"/>
      <c r="L48" s="239"/>
      <c r="M48" s="241"/>
      <c r="N48" s="240"/>
      <c r="O48" s="242"/>
      <c r="P48" s="240"/>
      <c r="Q48" s="240"/>
      <c r="R48" s="245"/>
      <c r="S48" s="55"/>
      <c r="T48" s="55"/>
      <c r="U48" s="55"/>
      <c r="V48" s="55"/>
      <c r="W48" s="55"/>
      <c r="X48" s="55"/>
    </row>
    <row r="49" spans="1:24" x14ac:dyDescent="0.25">
      <c r="A49" s="62" t="s">
        <v>138</v>
      </c>
      <c r="B49" s="61">
        <v>36</v>
      </c>
      <c r="C49" s="95"/>
      <c r="D49" s="91"/>
      <c r="E49" s="92"/>
      <c r="F49" s="93"/>
      <c r="G49" s="93"/>
      <c r="H49" s="93"/>
      <c r="I49" s="94" t="e">
        <f t="shared" ca="1" si="0"/>
        <v>#NUM!</v>
      </c>
      <c r="J49" s="238"/>
      <c r="K49" s="239"/>
      <c r="L49" s="239"/>
      <c r="M49" s="241"/>
      <c r="N49" s="240"/>
      <c r="O49" s="242"/>
      <c r="P49" s="240"/>
      <c r="Q49" s="240"/>
      <c r="R49" s="245"/>
      <c r="S49" s="55"/>
      <c r="T49" s="55"/>
      <c r="U49" s="55"/>
      <c r="V49" s="55"/>
      <c r="W49" s="55"/>
      <c r="X49" s="55"/>
    </row>
    <row r="50" spans="1:24" x14ac:dyDescent="0.25">
      <c r="A50" s="62" t="s">
        <v>139</v>
      </c>
      <c r="B50" s="61">
        <v>37</v>
      </c>
      <c r="C50" s="95"/>
      <c r="D50" s="91"/>
      <c r="E50" s="92"/>
      <c r="F50" s="93"/>
      <c r="G50" s="93"/>
      <c r="H50" s="93"/>
      <c r="I50" s="94" t="e">
        <f t="shared" ca="1" si="0"/>
        <v>#NUM!</v>
      </c>
      <c r="J50" s="238"/>
      <c r="K50" s="239"/>
      <c r="L50" s="239"/>
      <c r="M50" s="241"/>
      <c r="N50" s="240"/>
      <c r="O50" s="242"/>
      <c r="P50" s="240"/>
      <c r="Q50" s="240"/>
      <c r="R50" s="245"/>
      <c r="S50" s="55"/>
      <c r="T50" s="55"/>
      <c r="U50" s="55"/>
      <c r="V50" s="55"/>
      <c r="W50" s="55"/>
      <c r="X50" s="55"/>
    </row>
    <row r="51" spans="1:24" x14ac:dyDescent="0.25">
      <c r="A51" s="62" t="s">
        <v>140</v>
      </c>
      <c r="B51" s="61">
        <v>38</v>
      </c>
      <c r="C51" s="95"/>
      <c r="D51" s="91"/>
      <c r="E51" s="92"/>
      <c r="F51" s="93"/>
      <c r="G51" s="93"/>
      <c r="H51" s="93"/>
      <c r="I51" s="94" t="e">
        <f t="shared" ca="1" si="0"/>
        <v>#NUM!</v>
      </c>
      <c r="J51" s="238"/>
      <c r="K51" s="239"/>
      <c r="L51" s="239"/>
      <c r="M51" s="241"/>
      <c r="N51" s="240"/>
      <c r="O51" s="242"/>
      <c r="P51" s="240"/>
      <c r="Q51" s="240"/>
      <c r="R51" s="245"/>
      <c r="S51" s="55"/>
      <c r="T51" s="55"/>
      <c r="U51" s="55"/>
      <c r="V51" s="55"/>
      <c r="W51" s="55"/>
      <c r="X51" s="55"/>
    </row>
    <row r="52" spans="1:24" x14ac:dyDescent="0.25">
      <c r="A52" s="62" t="s">
        <v>141</v>
      </c>
      <c r="B52" s="61">
        <v>39</v>
      </c>
      <c r="C52" s="95"/>
      <c r="D52" s="91"/>
      <c r="E52" s="92"/>
      <c r="F52" s="93"/>
      <c r="G52" s="93"/>
      <c r="H52" s="93"/>
      <c r="I52" s="94" t="e">
        <f t="shared" ca="1" si="0"/>
        <v>#NUM!</v>
      </c>
      <c r="J52" s="238"/>
      <c r="K52" s="239"/>
      <c r="L52" s="239"/>
      <c r="M52" s="241"/>
      <c r="N52" s="240"/>
      <c r="O52" s="242"/>
      <c r="P52" s="240"/>
      <c r="Q52" s="240"/>
      <c r="R52" s="245"/>
      <c r="S52" s="55"/>
      <c r="T52" s="55"/>
      <c r="U52" s="55"/>
      <c r="V52" s="55"/>
      <c r="W52" s="55"/>
      <c r="X52" s="55"/>
    </row>
    <row r="53" spans="1:24" x14ac:dyDescent="0.25">
      <c r="A53" s="62" t="s">
        <v>142</v>
      </c>
      <c r="B53" s="61">
        <v>40</v>
      </c>
      <c r="C53" s="95"/>
      <c r="D53" s="91"/>
      <c r="E53" s="92"/>
      <c r="F53" s="93"/>
      <c r="G53" s="93"/>
      <c r="H53" s="93"/>
      <c r="I53" s="94" t="e">
        <f t="shared" ca="1" si="0"/>
        <v>#NUM!</v>
      </c>
      <c r="J53" s="238"/>
      <c r="K53" s="239"/>
      <c r="L53" s="239"/>
      <c r="M53" s="241"/>
      <c r="N53" s="240"/>
      <c r="O53" s="242"/>
      <c r="P53" s="240"/>
      <c r="Q53" s="240"/>
      <c r="R53" s="245"/>
      <c r="S53" s="55"/>
      <c r="T53" s="55"/>
      <c r="U53" s="55"/>
      <c r="V53" s="55"/>
      <c r="W53" s="55"/>
      <c r="X53" s="55"/>
    </row>
    <row r="54" spans="1:24" x14ac:dyDescent="0.25">
      <c r="A54" s="62" t="s">
        <v>143</v>
      </c>
      <c r="B54" s="61">
        <v>41</v>
      </c>
      <c r="C54" s="95"/>
      <c r="D54" s="91"/>
      <c r="E54" s="92"/>
      <c r="F54" s="93"/>
      <c r="G54" s="93"/>
      <c r="H54" s="93"/>
      <c r="I54" s="94" t="e">
        <f t="shared" ca="1" si="0"/>
        <v>#NUM!</v>
      </c>
      <c r="J54" s="238"/>
      <c r="K54" s="239"/>
      <c r="L54" s="239"/>
      <c r="M54" s="241"/>
      <c r="N54" s="240"/>
      <c r="O54" s="242"/>
      <c r="P54" s="240"/>
      <c r="Q54" s="240"/>
      <c r="R54" s="245"/>
      <c r="S54" s="55"/>
      <c r="T54" s="55"/>
      <c r="U54" s="55"/>
      <c r="V54" s="55"/>
      <c r="W54" s="55"/>
      <c r="X54" s="55"/>
    </row>
    <row r="55" spans="1:24" x14ac:dyDescent="0.25">
      <c r="A55" s="62" t="s">
        <v>144</v>
      </c>
      <c r="B55" s="61">
        <v>42</v>
      </c>
      <c r="C55" s="95"/>
      <c r="D55" s="91"/>
      <c r="E55" s="92"/>
      <c r="F55" s="93"/>
      <c r="G55" s="93"/>
      <c r="H55" s="93"/>
      <c r="I55" s="94" t="e">
        <f t="shared" ca="1" si="0"/>
        <v>#NUM!</v>
      </c>
      <c r="J55" s="238"/>
      <c r="K55" s="239"/>
      <c r="L55" s="239"/>
      <c r="M55" s="241"/>
      <c r="N55" s="240"/>
      <c r="O55" s="242"/>
      <c r="P55" s="240"/>
      <c r="Q55" s="240"/>
      <c r="R55" s="245"/>
      <c r="S55" s="55"/>
      <c r="T55" s="55"/>
      <c r="U55" s="55"/>
      <c r="V55" s="55"/>
      <c r="W55" s="55"/>
      <c r="X55" s="55"/>
    </row>
    <row r="56" spans="1:24" x14ac:dyDescent="0.25">
      <c r="A56" s="62" t="s">
        <v>145</v>
      </c>
      <c r="B56" s="61">
        <v>43</v>
      </c>
      <c r="C56" s="95"/>
      <c r="D56" s="91"/>
      <c r="E56" s="92"/>
      <c r="F56" s="93"/>
      <c r="G56" s="93"/>
      <c r="H56" s="93"/>
      <c r="I56" s="94" t="e">
        <f t="shared" ca="1" si="0"/>
        <v>#NUM!</v>
      </c>
      <c r="J56" s="238"/>
      <c r="K56" s="239"/>
      <c r="L56" s="239"/>
      <c r="M56" s="241"/>
      <c r="N56" s="240"/>
      <c r="O56" s="242"/>
      <c r="P56" s="240"/>
      <c r="Q56" s="240"/>
      <c r="R56" s="245"/>
      <c r="S56" s="55"/>
      <c r="T56" s="55"/>
      <c r="U56" s="55"/>
      <c r="V56" s="55"/>
      <c r="W56" s="55"/>
      <c r="X56" s="55"/>
    </row>
    <row r="57" spans="1:24" x14ac:dyDescent="0.25">
      <c r="A57" s="62" t="s">
        <v>146</v>
      </c>
      <c r="B57" s="61">
        <v>44</v>
      </c>
      <c r="C57" s="95"/>
      <c r="D57" s="91"/>
      <c r="E57" s="92"/>
      <c r="F57" s="93"/>
      <c r="G57" s="93"/>
      <c r="H57" s="93"/>
      <c r="I57" s="94" t="e">
        <f t="shared" ca="1" si="0"/>
        <v>#NUM!</v>
      </c>
      <c r="J57" s="238"/>
      <c r="K57" s="239"/>
      <c r="L57" s="239"/>
      <c r="M57" s="241"/>
      <c r="N57" s="240"/>
      <c r="O57" s="242"/>
      <c r="P57" s="240"/>
      <c r="Q57" s="240"/>
      <c r="R57" s="245"/>
      <c r="S57" s="55"/>
      <c r="T57" s="55"/>
      <c r="U57" s="55"/>
      <c r="V57" s="55"/>
      <c r="W57" s="55"/>
      <c r="X57" s="55"/>
    </row>
    <row r="58" spans="1:24" x14ac:dyDescent="0.25">
      <c r="A58" s="62" t="s">
        <v>147</v>
      </c>
      <c r="B58" s="61">
        <v>45</v>
      </c>
      <c r="C58" s="95"/>
      <c r="D58" s="91"/>
      <c r="E58" s="92"/>
      <c r="F58" s="93"/>
      <c r="G58" s="93"/>
      <c r="H58" s="93"/>
      <c r="I58" s="94" t="e">
        <f t="shared" ca="1" si="0"/>
        <v>#NUM!</v>
      </c>
      <c r="J58" s="238"/>
      <c r="K58" s="239"/>
      <c r="L58" s="239"/>
      <c r="M58" s="241"/>
      <c r="N58" s="240"/>
      <c r="O58" s="242"/>
      <c r="P58" s="240"/>
      <c r="Q58" s="240"/>
      <c r="R58" s="245"/>
      <c r="S58" s="55"/>
      <c r="T58" s="55"/>
      <c r="U58" s="55"/>
      <c r="V58" s="55"/>
      <c r="W58" s="55"/>
      <c r="X58" s="55"/>
    </row>
    <row r="59" spans="1:24" ht="3" customHeight="1" x14ac:dyDescent="0.25">
      <c r="A59" s="62"/>
      <c r="B59" s="63"/>
      <c r="C59" s="31"/>
      <c r="D59" s="31"/>
      <c r="E59" s="31"/>
      <c r="F59" s="31"/>
      <c r="G59" s="32"/>
      <c r="H59" s="33"/>
      <c r="I59" s="65"/>
      <c r="J59" s="31"/>
      <c r="K59" s="31"/>
      <c r="L59" s="31"/>
      <c r="M59" s="31"/>
      <c r="S59" s="55"/>
      <c r="T59" s="55"/>
      <c r="U59" s="55"/>
      <c r="V59" s="55"/>
      <c r="W59" s="55"/>
      <c r="X59" s="55"/>
    </row>
    <row r="60" spans="1:24" x14ac:dyDescent="0.25">
      <c r="A60" s="184"/>
      <c r="B60" s="64"/>
      <c r="C60" s="34"/>
      <c r="D60" s="34"/>
      <c r="E60" s="34"/>
      <c r="F60" s="34"/>
      <c r="G60" s="34"/>
      <c r="H60" s="34"/>
      <c r="I60" s="34"/>
      <c r="J60" s="34"/>
      <c r="K60" s="34"/>
      <c r="L60" s="34"/>
      <c r="M60" s="34"/>
      <c r="N60" s="35"/>
      <c r="O60" s="35"/>
      <c r="P60" s="35"/>
      <c r="Q60" s="35"/>
      <c r="S60" s="55"/>
      <c r="T60" s="55"/>
      <c r="U60" s="55"/>
      <c r="V60" s="55"/>
      <c r="W60" s="55"/>
      <c r="X60" s="55"/>
    </row>
    <row r="61" spans="1:24" ht="15.75" thickBot="1" x14ac:dyDescent="0.3">
      <c r="A61" s="184"/>
      <c r="B61" s="64"/>
      <c r="C61" s="34"/>
      <c r="D61" s="34"/>
      <c r="E61" s="568"/>
      <c r="F61" s="568"/>
      <c r="G61" s="568"/>
      <c r="H61" s="568"/>
      <c r="I61" s="34"/>
      <c r="J61" s="36"/>
      <c r="K61" s="34"/>
      <c r="L61" s="34"/>
      <c r="M61" s="34"/>
      <c r="N61" s="35"/>
      <c r="O61" s="35"/>
      <c r="P61" s="35"/>
      <c r="Q61" s="35"/>
      <c r="S61" s="55"/>
      <c r="T61" s="55"/>
      <c r="U61" s="55"/>
      <c r="V61" s="55"/>
      <c r="W61" s="55"/>
      <c r="X61" s="55"/>
    </row>
    <row r="62" spans="1:24" x14ac:dyDescent="0.25">
      <c r="A62" s="246"/>
      <c r="B62" s="64"/>
      <c r="C62" s="34"/>
      <c r="D62" s="34"/>
      <c r="E62" s="569">
        <f>CARATULA!G22</f>
        <v>0</v>
      </c>
      <c r="F62" s="569"/>
      <c r="G62" s="569"/>
      <c r="H62" s="569"/>
      <c r="I62" s="34"/>
      <c r="J62" s="37">
        <f>CARATULA!G24</f>
        <v>0</v>
      </c>
      <c r="K62" s="34"/>
      <c r="L62" s="34"/>
      <c r="M62" s="34"/>
      <c r="N62" s="35"/>
      <c r="O62" s="35"/>
      <c r="P62" s="35"/>
      <c r="Q62" s="35"/>
    </row>
    <row r="63" spans="1:24" x14ac:dyDescent="0.25">
      <c r="A63" s="246"/>
      <c r="B63" s="64"/>
      <c r="C63" s="34"/>
      <c r="D63" s="34"/>
      <c r="E63" s="38"/>
      <c r="F63" s="38"/>
      <c r="G63" s="38"/>
      <c r="H63" s="34"/>
      <c r="I63" s="34"/>
      <c r="J63" s="34"/>
      <c r="K63" s="34"/>
      <c r="L63" s="34"/>
      <c r="M63" s="34"/>
      <c r="N63" s="35"/>
      <c r="O63" s="35"/>
      <c r="P63" s="35"/>
      <c r="Q63" s="35"/>
    </row>
    <row r="64" spans="1:24" x14ac:dyDescent="0.25">
      <c r="A64" s="62" t="s">
        <v>212</v>
      </c>
      <c r="B64" s="62"/>
      <c r="C64" s="30"/>
    </row>
    <row r="65" spans="1:10" x14ac:dyDescent="0.25">
      <c r="A65" s="62" t="s">
        <v>48</v>
      </c>
      <c r="B65" s="62"/>
      <c r="C65" s="30"/>
      <c r="D65" s="30"/>
      <c r="E65" s="30"/>
      <c r="F65" s="30"/>
      <c r="G65" s="30"/>
      <c r="H65" s="30"/>
      <c r="I65" s="30"/>
      <c r="J65" s="30"/>
    </row>
    <row r="66" spans="1:10" x14ac:dyDescent="0.25">
      <c r="A66" s="62" t="s">
        <v>47</v>
      </c>
      <c r="B66" s="62"/>
      <c r="C66" s="30"/>
      <c r="D66" s="30"/>
      <c r="E66" s="30"/>
      <c r="F66" s="30"/>
      <c r="G66" s="30"/>
      <c r="H66" s="30"/>
      <c r="I66" s="30"/>
      <c r="J66" s="30"/>
    </row>
    <row r="67" spans="1:10" x14ac:dyDescent="0.25">
      <c r="A67" s="246"/>
      <c r="B67" s="62" t="s">
        <v>73</v>
      </c>
      <c r="C67" s="30"/>
      <c r="D67" s="30"/>
      <c r="E67" s="30"/>
      <c r="F67" s="30"/>
      <c r="G67" s="30"/>
      <c r="H67" s="30"/>
      <c r="I67" s="30"/>
      <c r="J67" s="30"/>
    </row>
    <row r="68" spans="1:10" x14ac:dyDescent="0.25">
      <c r="A68" s="246"/>
      <c r="B68" s="62" t="s">
        <v>43</v>
      </c>
      <c r="C68" s="62"/>
      <c r="D68" s="62"/>
      <c r="E68" s="62"/>
      <c r="F68" s="62"/>
      <c r="G68" s="62"/>
      <c r="H68" s="62"/>
      <c r="I68" s="30"/>
      <c r="J68" s="30"/>
    </row>
    <row r="69" spans="1:10" x14ac:dyDescent="0.25">
      <c r="A69" s="62"/>
      <c r="B69" s="62"/>
      <c r="C69" s="62"/>
      <c r="D69" s="62"/>
      <c r="E69" s="62"/>
      <c r="F69" s="62"/>
      <c r="G69" s="62"/>
      <c r="H69" s="62"/>
      <c r="I69" s="30"/>
      <c r="J69" s="30"/>
    </row>
    <row r="70" spans="1:10" x14ac:dyDescent="0.25">
      <c r="A70" s="62"/>
      <c r="B70" s="62">
        <v>1</v>
      </c>
      <c r="C70" s="62">
        <v>1997</v>
      </c>
      <c r="D70" s="62"/>
      <c r="E70" s="62" t="s">
        <v>31</v>
      </c>
      <c r="F70" s="62"/>
      <c r="G70" s="62"/>
      <c r="H70" s="62"/>
      <c r="I70" s="30"/>
      <c r="J70" s="30"/>
    </row>
    <row r="71" spans="1:10" x14ac:dyDescent="0.25">
      <c r="A71" s="62"/>
      <c r="B71" s="62">
        <v>2</v>
      </c>
      <c r="C71" s="62">
        <v>1998</v>
      </c>
      <c r="D71" s="62"/>
      <c r="E71" s="62" t="s">
        <v>32</v>
      </c>
      <c r="F71" s="62"/>
      <c r="G71" s="62"/>
      <c r="H71" s="62"/>
      <c r="I71" s="30"/>
      <c r="J71" s="30"/>
    </row>
    <row r="72" spans="1:10" x14ac:dyDescent="0.25">
      <c r="A72" s="62"/>
      <c r="B72" s="62">
        <v>3</v>
      </c>
      <c r="C72" s="62">
        <v>1999</v>
      </c>
      <c r="D72" s="62"/>
      <c r="E72" s="62" t="s">
        <v>33</v>
      </c>
      <c r="F72" s="62"/>
      <c r="G72" s="62"/>
      <c r="H72" s="62"/>
      <c r="I72" s="30"/>
      <c r="J72" s="30"/>
    </row>
    <row r="73" spans="1:10" x14ac:dyDescent="0.25">
      <c r="A73" s="62"/>
      <c r="B73" s="62">
        <v>4</v>
      </c>
      <c r="C73" s="62">
        <v>2000</v>
      </c>
      <c r="D73" s="62"/>
      <c r="E73" s="62" t="s">
        <v>34</v>
      </c>
      <c r="F73" s="62"/>
      <c r="G73" s="62"/>
      <c r="H73" s="62"/>
      <c r="I73" s="30"/>
      <c r="J73" s="30"/>
    </row>
    <row r="74" spans="1:10" x14ac:dyDescent="0.25">
      <c r="A74" s="62"/>
      <c r="B74" s="62">
        <v>5</v>
      </c>
      <c r="C74" s="62">
        <v>2001</v>
      </c>
      <c r="D74" s="62"/>
      <c r="E74" s="62" t="s">
        <v>35</v>
      </c>
      <c r="F74" s="62"/>
      <c r="G74" s="62"/>
      <c r="H74" s="62"/>
      <c r="I74" s="30"/>
      <c r="J74" s="30"/>
    </row>
    <row r="75" spans="1:10" x14ac:dyDescent="0.25">
      <c r="A75" s="62"/>
      <c r="B75" s="62">
        <v>6</v>
      </c>
      <c r="C75" s="62">
        <v>2002</v>
      </c>
      <c r="D75" s="62"/>
      <c r="E75" s="62" t="s">
        <v>36</v>
      </c>
      <c r="F75" s="62"/>
      <c r="G75" s="62"/>
      <c r="H75" s="62"/>
      <c r="I75" s="30"/>
      <c r="J75" s="30"/>
    </row>
    <row r="76" spans="1:10" x14ac:dyDescent="0.25">
      <c r="A76" s="62"/>
      <c r="B76" s="62">
        <v>7</v>
      </c>
      <c r="C76" s="62">
        <v>2003</v>
      </c>
      <c r="D76" s="62"/>
      <c r="E76" s="62" t="s">
        <v>37</v>
      </c>
      <c r="F76" s="62"/>
      <c r="G76" s="62"/>
      <c r="H76" s="62"/>
      <c r="I76" s="30"/>
      <c r="J76" s="30"/>
    </row>
    <row r="77" spans="1:10" x14ac:dyDescent="0.25">
      <c r="A77" s="62"/>
      <c r="B77" s="62">
        <v>8</v>
      </c>
      <c r="C77" s="62">
        <v>2004</v>
      </c>
      <c r="D77" s="62"/>
      <c r="E77" s="62" t="s">
        <v>38</v>
      </c>
      <c r="F77" s="62"/>
      <c r="G77" s="62"/>
      <c r="H77" s="62"/>
      <c r="I77" s="30"/>
      <c r="J77" s="30"/>
    </row>
    <row r="78" spans="1:10" x14ac:dyDescent="0.25">
      <c r="A78" s="62"/>
      <c r="B78" s="62">
        <v>9</v>
      </c>
      <c r="C78" s="62">
        <v>2005</v>
      </c>
      <c r="D78" s="62"/>
      <c r="E78" s="62" t="s">
        <v>39</v>
      </c>
      <c r="F78" s="62"/>
      <c r="G78" s="62"/>
      <c r="H78" s="62"/>
      <c r="I78" s="30"/>
      <c r="J78" s="30"/>
    </row>
    <row r="79" spans="1:10" x14ac:dyDescent="0.25">
      <c r="A79" s="62"/>
      <c r="B79" s="62">
        <v>10</v>
      </c>
      <c r="C79" s="62">
        <v>2006</v>
      </c>
      <c r="D79" s="62"/>
      <c r="E79" s="62"/>
      <c r="F79" s="62"/>
      <c r="G79" s="62"/>
      <c r="H79" s="62"/>
      <c r="I79" s="30"/>
      <c r="J79" s="30"/>
    </row>
    <row r="80" spans="1:10" x14ac:dyDescent="0.25">
      <c r="A80" s="62"/>
      <c r="B80" s="62">
        <v>11</v>
      </c>
      <c r="C80" s="62">
        <v>2007</v>
      </c>
      <c r="D80" s="62"/>
      <c r="E80" s="62"/>
      <c r="F80" s="62"/>
      <c r="G80" s="62"/>
      <c r="H80" s="62"/>
      <c r="I80" s="30"/>
      <c r="J80" s="30"/>
    </row>
    <row r="81" spans="1:10" x14ac:dyDescent="0.25">
      <c r="A81" s="62"/>
      <c r="B81" s="62">
        <v>12</v>
      </c>
      <c r="C81" s="62">
        <v>2008</v>
      </c>
      <c r="D81" s="62"/>
      <c r="E81" s="62"/>
      <c r="F81" s="62"/>
      <c r="G81" s="62"/>
      <c r="H81" s="62"/>
      <c r="I81" s="30"/>
      <c r="J81" s="30"/>
    </row>
    <row r="82" spans="1:10" x14ac:dyDescent="0.25">
      <c r="A82" s="62"/>
      <c r="B82" s="62">
        <v>13</v>
      </c>
      <c r="C82" s="62">
        <v>2009</v>
      </c>
      <c r="D82" s="62"/>
      <c r="E82" s="62"/>
      <c r="F82" s="62"/>
      <c r="G82" s="62"/>
      <c r="H82" s="62"/>
      <c r="I82" s="30"/>
      <c r="J82" s="30"/>
    </row>
    <row r="83" spans="1:10" x14ac:dyDescent="0.25">
      <c r="A83" s="62"/>
      <c r="B83" s="62">
        <v>14</v>
      </c>
      <c r="C83" s="62">
        <v>2010</v>
      </c>
      <c r="D83" s="62"/>
      <c r="E83" s="62"/>
      <c r="F83" s="62"/>
      <c r="G83" s="62"/>
      <c r="H83" s="62"/>
      <c r="I83" s="30"/>
      <c r="J83" s="30"/>
    </row>
    <row r="84" spans="1:10" x14ac:dyDescent="0.25">
      <c r="A84" s="62"/>
      <c r="B84" s="62">
        <v>15</v>
      </c>
      <c r="C84" s="62">
        <v>2011</v>
      </c>
      <c r="D84" s="62"/>
      <c r="E84" s="62"/>
      <c r="F84" s="62"/>
      <c r="G84" s="62"/>
      <c r="H84" s="62"/>
      <c r="I84" s="30"/>
      <c r="J84" s="30"/>
    </row>
    <row r="85" spans="1:10" x14ac:dyDescent="0.25">
      <c r="A85" s="62"/>
      <c r="B85" s="62">
        <v>16</v>
      </c>
      <c r="C85" s="62">
        <v>2012</v>
      </c>
      <c r="D85" s="62"/>
      <c r="E85" s="62"/>
      <c r="F85" s="62"/>
      <c r="G85" s="62"/>
      <c r="H85" s="62"/>
      <c r="I85" s="30"/>
      <c r="J85" s="30"/>
    </row>
    <row r="86" spans="1:10" x14ac:dyDescent="0.25">
      <c r="A86" s="62"/>
      <c r="B86" s="62">
        <v>17</v>
      </c>
      <c r="C86" s="62">
        <v>2013</v>
      </c>
      <c r="D86" s="62"/>
      <c r="E86" s="62"/>
      <c r="F86" s="62"/>
      <c r="G86" s="62"/>
      <c r="H86" s="62"/>
      <c r="I86" s="30"/>
      <c r="J86" s="30"/>
    </row>
    <row r="87" spans="1:10" x14ac:dyDescent="0.25">
      <c r="A87" s="62"/>
      <c r="B87" s="62">
        <v>18</v>
      </c>
      <c r="C87" s="62">
        <v>2014</v>
      </c>
      <c r="D87" s="62"/>
      <c r="E87" s="62"/>
      <c r="F87" s="62"/>
      <c r="G87" s="62"/>
      <c r="H87" s="62"/>
      <c r="I87" s="30"/>
      <c r="J87" s="30"/>
    </row>
    <row r="88" spans="1:10" x14ac:dyDescent="0.25">
      <c r="A88" s="62"/>
      <c r="B88" s="62">
        <v>19</v>
      </c>
      <c r="C88" s="62">
        <v>2015</v>
      </c>
      <c r="D88" s="62"/>
      <c r="E88" s="62"/>
      <c r="F88" s="62"/>
      <c r="G88" s="62"/>
      <c r="H88" s="62"/>
      <c r="I88" s="30"/>
      <c r="J88" s="30"/>
    </row>
    <row r="89" spans="1:10" x14ac:dyDescent="0.25">
      <c r="A89" s="62"/>
      <c r="B89" s="62">
        <v>20</v>
      </c>
      <c r="C89" s="62">
        <v>2016</v>
      </c>
      <c r="D89" s="62"/>
      <c r="E89" s="62"/>
      <c r="F89" s="62"/>
      <c r="G89" s="62"/>
      <c r="H89" s="62"/>
      <c r="I89" s="30"/>
      <c r="J89" s="30"/>
    </row>
    <row r="90" spans="1:10" x14ac:dyDescent="0.25">
      <c r="A90" s="62"/>
      <c r="B90" s="62">
        <v>21</v>
      </c>
      <c r="C90" s="62">
        <v>2017</v>
      </c>
      <c r="D90" s="62"/>
      <c r="E90" s="62"/>
      <c r="F90" s="62"/>
      <c r="G90" s="62"/>
      <c r="H90" s="62"/>
      <c r="I90" s="30"/>
      <c r="J90" s="30"/>
    </row>
    <row r="91" spans="1:10" x14ac:dyDescent="0.25">
      <c r="A91" s="62"/>
      <c r="B91" s="62">
        <v>22</v>
      </c>
      <c r="C91" s="62">
        <v>2018</v>
      </c>
      <c r="D91" s="62"/>
      <c r="E91" s="62"/>
      <c r="F91" s="62"/>
      <c r="G91" s="62"/>
      <c r="H91" s="62"/>
      <c r="I91" s="30"/>
      <c r="J91" s="30"/>
    </row>
    <row r="92" spans="1:10" x14ac:dyDescent="0.25">
      <c r="A92" s="62"/>
      <c r="B92" s="62">
        <v>23</v>
      </c>
      <c r="C92" s="62"/>
      <c r="D92" s="62"/>
      <c r="E92" s="62"/>
      <c r="F92" s="62"/>
      <c r="G92" s="62"/>
      <c r="H92" s="62"/>
      <c r="I92" s="30"/>
      <c r="J92" s="30"/>
    </row>
    <row r="93" spans="1:10" x14ac:dyDescent="0.25">
      <c r="A93" s="62"/>
      <c r="B93" s="62">
        <v>24</v>
      </c>
      <c r="C93" s="62"/>
      <c r="D93" s="62"/>
      <c r="E93" s="62"/>
      <c r="F93" s="62"/>
      <c r="G93" s="62"/>
      <c r="H93" s="62"/>
      <c r="I93" s="30"/>
      <c r="J93" s="30"/>
    </row>
    <row r="94" spans="1:10" x14ac:dyDescent="0.25">
      <c r="A94" s="62"/>
      <c r="B94" s="62">
        <v>25</v>
      </c>
      <c r="C94" s="62"/>
      <c r="D94" s="62"/>
      <c r="E94" s="62"/>
      <c r="F94" s="62"/>
      <c r="G94" s="62"/>
      <c r="H94" s="62"/>
      <c r="I94" s="30"/>
      <c r="J94" s="30"/>
    </row>
    <row r="95" spans="1:10" x14ac:dyDescent="0.25">
      <c r="A95" s="62"/>
      <c r="B95" s="62">
        <v>26</v>
      </c>
      <c r="C95" s="62"/>
      <c r="D95" s="62"/>
      <c r="E95" s="62"/>
      <c r="F95" s="62"/>
      <c r="G95" s="62"/>
      <c r="H95" s="62"/>
      <c r="I95" s="30"/>
      <c r="J95" s="30"/>
    </row>
    <row r="96" spans="1:10" x14ac:dyDescent="0.25">
      <c r="A96" s="62"/>
      <c r="B96" s="62">
        <v>27</v>
      </c>
      <c r="C96" s="62"/>
      <c r="D96" s="62"/>
      <c r="E96" s="62"/>
      <c r="F96" s="62"/>
      <c r="G96" s="62"/>
      <c r="H96" s="62"/>
      <c r="I96" s="30"/>
      <c r="J96" s="30"/>
    </row>
    <row r="97" spans="1:10" x14ac:dyDescent="0.25">
      <c r="A97" s="62"/>
      <c r="B97" s="62">
        <v>28</v>
      </c>
      <c r="C97" s="62"/>
      <c r="D97" s="62"/>
      <c r="E97" s="62"/>
      <c r="F97" s="62"/>
      <c r="G97" s="62"/>
      <c r="H97" s="62"/>
      <c r="I97" s="30"/>
      <c r="J97" s="30"/>
    </row>
    <row r="98" spans="1:10" x14ac:dyDescent="0.25">
      <c r="A98" s="62"/>
      <c r="B98" s="62">
        <v>29</v>
      </c>
      <c r="C98" s="62"/>
      <c r="D98" s="62"/>
      <c r="E98" s="62"/>
      <c r="F98" s="62"/>
      <c r="G98" s="62"/>
      <c r="H98" s="62"/>
      <c r="I98" s="30"/>
      <c r="J98" s="30"/>
    </row>
    <row r="99" spans="1:10" x14ac:dyDescent="0.25">
      <c r="A99" s="62"/>
      <c r="B99" s="62">
        <v>30</v>
      </c>
      <c r="C99" s="62"/>
      <c r="D99" s="62"/>
      <c r="E99" s="62"/>
      <c r="F99" s="62"/>
      <c r="G99" s="62"/>
      <c r="H99" s="62"/>
      <c r="I99" s="30"/>
      <c r="J99" s="30"/>
    </row>
    <row r="100" spans="1:10" x14ac:dyDescent="0.25">
      <c r="A100" s="62"/>
      <c r="B100" s="62">
        <v>31</v>
      </c>
      <c r="C100" s="62"/>
      <c r="D100" s="62"/>
      <c r="E100" s="62"/>
      <c r="F100" s="62"/>
      <c r="G100" s="62"/>
      <c r="H100" s="62"/>
      <c r="I100" s="30"/>
      <c r="J100" s="30"/>
    </row>
    <row r="101" spans="1:10" x14ac:dyDescent="0.25">
      <c r="A101" s="62"/>
      <c r="B101" s="62"/>
      <c r="C101" s="62"/>
      <c r="D101" s="62"/>
      <c r="E101" s="62"/>
      <c r="F101" s="62"/>
      <c r="G101" s="62"/>
      <c r="H101" s="62"/>
      <c r="I101" s="30"/>
      <c r="J101" s="30"/>
    </row>
    <row r="102" spans="1:10" x14ac:dyDescent="0.25">
      <c r="A102" s="30"/>
      <c r="B102" s="30"/>
      <c r="C102" s="30"/>
      <c r="D102" s="30"/>
      <c r="E102" s="30"/>
      <c r="F102" s="30"/>
      <c r="G102" s="30"/>
      <c r="H102" s="30"/>
      <c r="I102" s="30"/>
      <c r="J102" s="30"/>
    </row>
    <row r="103" spans="1:10" x14ac:dyDescent="0.25">
      <c r="A103" s="30"/>
      <c r="B103" s="30"/>
      <c r="C103" s="30"/>
      <c r="D103" s="30"/>
      <c r="E103" s="30"/>
      <c r="F103" s="30"/>
      <c r="G103" s="30"/>
      <c r="H103" s="30"/>
      <c r="I103" s="30"/>
      <c r="J103" s="30"/>
    </row>
    <row r="104" spans="1:10" x14ac:dyDescent="0.25">
      <c r="A104" s="30"/>
      <c r="B104" s="30"/>
      <c r="C104" s="30"/>
      <c r="D104" s="30"/>
      <c r="E104" s="30"/>
      <c r="F104" s="30"/>
      <c r="G104" s="30"/>
      <c r="H104" s="30"/>
      <c r="I104" s="30"/>
      <c r="J104" s="30"/>
    </row>
    <row r="105" spans="1:10" x14ac:dyDescent="0.25">
      <c r="A105" s="30"/>
      <c r="B105" s="30"/>
      <c r="C105" s="30"/>
      <c r="D105" s="30"/>
      <c r="E105" s="30"/>
      <c r="F105" s="30"/>
      <c r="G105" s="30"/>
      <c r="H105" s="30"/>
      <c r="I105" s="30"/>
      <c r="J105" s="30"/>
    </row>
  </sheetData>
  <sheetProtection password="D989" sheet="1" objects="1" scenarios="1" formatCells="0"/>
  <mergeCells count="8">
    <mergeCell ref="E61:H61"/>
    <mergeCell ref="E62:H62"/>
    <mergeCell ref="B2:Q3"/>
    <mergeCell ref="C13:D13"/>
    <mergeCell ref="F13:H13"/>
    <mergeCell ref="L13:M13"/>
    <mergeCell ref="P5:Q5"/>
    <mergeCell ref="P10:Q11"/>
  </mergeCells>
  <conditionalFormatting sqref="I14:I58">
    <cfRule type="containsErrors" dxfId="91" priority="1">
      <formula>ISERROR(I14)</formula>
    </cfRule>
  </conditionalFormatting>
  <dataValidations count="7">
    <dataValidation type="list" allowBlank="1" showInputMessage="1" showErrorMessage="1" sqref="E15:E58">
      <formula1>$B$66:$B$68</formula1>
    </dataValidation>
    <dataValidation type="list" allowBlank="1" showInputMessage="1" showErrorMessage="1" sqref="F14:F58">
      <formula1>$B$69:$B$100</formula1>
    </dataValidation>
    <dataValidation type="list" allowBlank="1" showInputMessage="1" showErrorMessage="1" sqref="G14:G58">
      <formula1>$B$69:$B$81</formula1>
    </dataValidation>
    <dataValidation type="list" allowBlank="1" showInputMessage="1" showErrorMessage="1" sqref="H14:H59">
      <formula1>$C$69:$C$91</formula1>
    </dataValidation>
    <dataValidation type="list" allowBlank="1" showInputMessage="1" showErrorMessage="1" sqref="M14:M58">
      <formula1>$E$69:$E$78</formula1>
    </dataValidation>
    <dataValidation type="list" showInputMessage="1" showErrorMessage="1" sqref="E14">
      <formula1>$B$66:$B$68</formula1>
    </dataValidation>
    <dataValidation type="list" allowBlank="1" showInputMessage="1" showErrorMessage="1" sqref="R14:R58">
      <formula1>$A$63:$A$66</formula1>
    </dataValidation>
  </dataValidations>
  <printOptions horizontalCentered="1" verticalCentered="1"/>
  <pageMargins left="0.23622047244094491" right="0.23622047244094491" top="0.74803149606299213" bottom="0.74803149606299213" header="0.31496062992125984" footer="0.31496062992125984"/>
  <pageSetup scale="58" orientation="landscape" r:id="rId1"/>
  <ignoredErrors>
    <ignoredError sqref="I18:I19" evalError="1"/>
  </ignoredError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>
    <tabColor rgb="FFFFFF00"/>
  </sheetPr>
  <dimension ref="A1:G64"/>
  <sheetViews>
    <sheetView workbookViewId="0">
      <selection activeCell="F7" sqref="F7"/>
    </sheetView>
  </sheetViews>
  <sheetFormatPr baseColWidth="10" defaultColWidth="11.42578125" defaultRowHeight="15" x14ac:dyDescent="0.25"/>
  <cols>
    <col min="1" max="1" width="5.42578125" style="66" customWidth="1"/>
    <col min="2" max="2" width="11.42578125" style="66"/>
    <col min="3" max="3" width="30.7109375" style="66" customWidth="1"/>
    <col min="4" max="4" width="32.140625" style="66" customWidth="1"/>
    <col min="5" max="5" width="12.5703125" style="66" customWidth="1"/>
    <col min="6" max="16384" width="11.42578125" style="66"/>
  </cols>
  <sheetData>
    <row r="1" spans="1:7" x14ac:dyDescent="0.25">
      <c r="A1" s="72"/>
      <c r="B1" s="72"/>
      <c r="C1" s="72"/>
      <c r="D1" s="72"/>
      <c r="E1" s="72"/>
      <c r="F1" s="72"/>
      <c r="G1" s="72"/>
    </row>
    <row r="2" spans="1:7" x14ac:dyDescent="0.25">
      <c r="A2" s="72"/>
      <c r="B2" s="147" t="s">
        <v>234</v>
      </c>
      <c r="C2" s="147" t="s">
        <v>23</v>
      </c>
      <c r="D2" s="147" t="s">
        <v>235</v>
      </c>
      <c r="E2" s="87"/>
      <c r="F2" s="72"/>
      <c r="G2" s="72"/>
    </row>
    <row r="3" spans="1:7" ht="150" customHeight="1" x14ac:dyDescent="0.25">
      <c r="A3" s="72"/>
      <c r="B3" s="148" t="s">
        <v>104</v>
      </c>
      <c r="C3" s="282" t="str">
        <f>'C. FILIACION'!C14:D14</f>
        <v>SUAREZ EVELIN ISELA</v>
      </c>
      <c r="D3" s="146"/>
      <c r="E3" s="149" t="s">
        <v>148</v>
      </c>
      <c r="F3" s="72"/>
      <c r="G3" s="72"/>
    </row>
    <row r="4" spans="1:7" ht="150" customHeight="1" x14ac:dyDescent="0.25">
      <c r="A4" s="72"/>
      <c r="B4" s="148" t="s">
        <v>100</v>
      </c>
      <c r="C4" s="282" t="str">
        <f>'C. FILIACION'!C15:D15</f>
        <v>ALARCON  VARGAS JAIR ALEXIS</v>
      </c>
      <c r="D4" s="146"/>
      <c r="E4" s="149" t="s">
        <v>149</v>
      </c>
      <c r="F4" s="72"/>
      <c r="G4" s="72"/>
    </row>
    <row r="5" spans="1:7" ht="150" customHeight="1" x14ac:dyDescent="0.25">
      <c r="A5" s="72"/>
      <c r="B5" s="148" t="s">
        <v>105</v>
      </c>
      <c r="C5" s="282" t="str">
        <f>'C. FILIACION'!C16:D16</f>
        <v>AÑAZGO  VARGAS NOELIA</v>
      </c>
      <c r="D5" s="146"/>
      <c r="E5" s="149" t="s">
        <v>150</v>
      </c>
      <c r="F5" s="72"/>
      <c r="G5" s="72"/>
    </row>
    <row r="6" spans="1:7" ht="150" customHeight="1" x14ac:dyDescent="0.25">
      <c r="A6" s="72"/>
      <c r="B6" s="148" t="s">
        <v>106</v>
      </c>
      <c r="C6" s="282" t="str">
        <f>'C. FILIACION'!C17:D17</f>
        <v>AQUISE HINOJOSA YHAMIR FABIO</v>
      </c>
      <c r="D6" s="146"/>
      <c r="E6" s="149" t="s">
        <v>151</v>
      </c>
      <c r="F6" s="72"/>
      <c r="G6" s="72"/>
    </row>
    <row r="7" spans="1:7" ht="150" customHeight="1" x14ac:dyDescent="0.25">
      <c r="A7" s="72"/>
      <c r="B7" s="148" t="s">
        <v>107</v>
      </c>
      <c r="C7" s="282" t="str">
        <f>'C. FILIACION'!C18:D18</f>
        <v>ARGANI  LAREDO MARIA JESUS</v>
      </c>
      <c r="D7" s="146"/>
      <c r="E7" s="149" t="s">
        <v>152</v>
      </c>
      <c r="F7" s="72"/>
      <c r="G7" s="72"/>
    </row>
    <row r="8" spans="1:7" ht="150" customHeight="1" x14ac:dyDescent="0.25">
      <c r="A8" s="72"/>
      <c r="B8" s="148" t="s">
        <v>108</v>
      </c>
      <c r="C8" s="282" t="str">
        <f>'C. FILIACION'!C19:D19</f>
        <v>AYLLON MOLLO RONNY BRUCE</v>
      </c>
      <c r="D8" s="146"/>
      <c r="E8" s="149" t="s">
        <v>153</v>
      </c>
      <c r="F8" s="72"/>
      <c r="G8" s="72"/>
    </row>
    <row r="9" spans="1:7" ht="150" customHeight="1" x14ac:dyDescent="0.25">
      <c r="A9" s="72"/>
      <c r="B9" s="148" t="s">
        <v>109</v>
      </c>
      <c r="C9" s="282" t="str">
        <f>'C. FILIACION'!C20:D20</f>
        <v>BALBOA  PAZ ANTHONY JR</v>
      </c>
      <c r="D9" s="146"/>
      <c r="E9" s="149" t="s">
        <v>154</v>
      </c>
      <c r="F9" s="72"/>
      <c r="G9" s="72"/>
    </row>
    <row r="10" spans="1:7" ht="150" customHeight="1" x14ac:dyDescent="0.25">
      <c r="A10" s="72"/>
      <c r="B10" s="148" t="s">
        <v>110</v>
      </c>
      <c r="C10" s="282" t="str">
        <f>'C. FILIACION'!C21:D21</f>
        <v>CAMACHO SALGADO LEONARDO</v>
      </c>
      <c r="D10" s="146"/>
      <c r="E10" s="149" t="s">
        <v>155</v>
      </c>
      <c r="F10" s="72"/>
      <c r="G10" s="72"/>
    </row>
    <row r="11" spans="1:7" ht="150" customHeight="1" x14ac:dyDescent="0.25">
      <c r="A11" s="72"/>
      <c r="B11" s="148" t="s">
        <v>111</v>
      </c>
      <c r="C11" s="282" t="str">
        <f>'C. FILIACION'!C22:D22</f>
        <v>CARRION MARGUAY FABIANA ALEXANDRA</v>
      </c>
      <c r="D11" s="146"/>
      <c r="E11" s="149" t="s">
        <v>156</v>
      </c>
      <c r="F11" s="72"/>
      <c r="G11" s="72"/>
    </row>
    <row r="12" spans="1:7" ht="150" customHeight="1" x14ac:dyDescent="0.25">
      <c r="A12" s="72"/>
      <c r="B12" s="148" t="s">
        <v>112</v>
      </c>
      <c r="C12" s="282" t="str">
        <f>'C. FILIACION'!C23:D23</f>
        <v>CAYO CALLE JUAN PABLO</v>
      </c>
      <c r="D12" s="146"/>
      <c r="E12" s="149" t="s">
        <v>157</v>
      </c>
      <c r="F12" s="72"/>
      <c r="G12" s="72"/>
    </row>
    <row r="13" spans="1:7" ht="150" customHeight="1" x14ac:dyDescent="0.25">
      <c r="A13" s="72"/>
      <c r="B13" s="148" t="s">
        <v>113</v>
      </c>
      <c r="C13" s="282" t="str">
        <f>'C. FILIACION'!C24:D24</f>
        <v>CONDE ZARATE ASHLY OTHANY</v>
      </c>
      <c r="D13" s="146"/>
      <c r="E13" s="149" t="s">
        <v>158</v>
      </c>
      <c r="F13" s="72"/>
      <c r="G13" s="72"/>
    </row>
    <row r="14" spans="1:7" ht="150" customHeight="1" x14ac:dyDescent="0.25">
      <c r="A14" s="72"/>
      <c r="B14" s="148" t="s">
        <v>114</v>
      </c>
      <c r="C14" s="282" t="str">
        <f>'C. FILIACION'!C25:D25</f>
        <v>CORTEZ RODRIGUEZ  GONZALO AXCELL</v>
      </c>
      <c r="D14" s="146"/>
      <c r="E14" s="149" t="s">
        <v>159</v>
      </c>
      <c r="F14" s="72"/>
      <c r="G14" s="72"/>
    </row>
    <row r="15" spans="1:7" ht="150" customHeight="1" x14ac:dyDescent="0.25">
      <c r="A15" s="72"/>
      <c r="B15" s="148" t="s">
        <v>115</v>
      </c>
      <c r="C15" s="282" t="str">
        <f>'C. FILIACION'!C26:D26</f>
        <v>HILAYA  TORREZ CARLA JHULIANA</v>
      </c>
      <c r="D15" s="146"/>
      <c r="E15" s="149" t="s">
        <v>160</v>
      </c>
      <c r="F15" s="72"/>
      <c r="G15" s="72"/>
    </row>
    <row r="16" spans="1:7" ht="150" customHeight="1" x14ac:dyDescent="0.25">
      <c r="A16" s="72"/>
      <c r="B16" s="148" t="s">
        <v>116</v>
      </c>
      <c r="C16" s="282" t="str">
        <f>'C. FILIACION'!C27:D27</f>
        <v>HUANCA CALLISAYA  PATRICIA</v>
      </c>
      <c r="D16" s="146"/>
      <c r="E16" s="149" t="s">
        <v>161</v>
      </c>
      <c r="F16" s="72"/>
      <c r="G16" s="72"/>
    </row>
    <row r="17" spans="1:7" ht="150" customHeight="1" x14ac:dyDescent="0.25">
      <c r="A17" s="72"/>
      <c r="B17" s="148" t="s">
        <v>117</v>
      </c>
      <c r="C17" s="282" t="str">
        <f>'C. FILIACION'!C28:D28</f>
        <v>LIMACHI RADA GERMAN DOMINGO</v>
      </c>
      <c r="D17" s="146"/>
      <c r="E17" s="149" t="s">
        <v>162</v>
      </c>
      <c r="F17" s="72"/>
      <c r="G17" s="72"/>
    </row>
    <row r="18" spans="1:7" ht="150" customHeight="1" x14ac:dyDescent="0.25">
      <c r="A18" s="72"/>
      <c r="B18" s="148" t="s">
        <v>118</v>
      </c>
      <c r="C18" s="282" t="str">
        <f>'C. FILIACION'!C29:D29</f>
        <v>MANTILLA SANCHEZ CAROLINA VALERIA</v>
      </c>
      <c r="D18" s="146"/>
      <c r="E18" s="149" t="s">
        <v>163</v>
      </c>
      <c r="F18" s="72"/>
      <c r="G18" s="72"/>
    </row>
    <row r="19" spans="1:7" ht="150" customHeight="1" x14ac:dyDescent="0.25">
      <c r="A19" s="72"/>
      <c r="B19" s="148" t="s">
        <v>119</v>
      </c>
      <c r="C19" s="282" t="str">
        <f>'C. FILIACION'!C30:D30</f>
        <v>MULLER  ESCOBAR MARCIA BIBIANA</v>
      </c>
      <c r="D19" s="146"/>
      <c r="E19" s="149" t="s">
        <v>164</v>
      </c>
      <c r="F19" s="72"/>
      <c r="G19" s="72"/>
    </row>
    <row r="20" spans="1:7" ht="150" customHeight="1" x14ac:dyDescent="0.25">
      <c r="A20" s="72"/>
      <c r="B20" s="148" t="s">
        <v>120</v>
      </c>
      <c r="C20" s="282" t="str">
        <f>'C. FILIACION'!C31:D31</f>
        <v xml:space="preserve">POMA MAMANI ADRIAN </v>
      </c>
      <c r="D20" s="146"/>
      <c r="E20" s="149" t="s">
        <v>165</v>
      </c>
      <c r="F20" s="72"/>
      <c r="G20" s="72"/>
    </row>
    <row r="21" spans="1:7" ht="150" customHeight="1" x14ac:dyDescent="0.25">
      <c r="A21" s="72"/>
      <c r="B21" s="148" t="s">
        <v>121</v>
      </c>
      <c r="C21" s="282" t="str">
        <f>'C. FILIACION'!C32:D32</f>
        <v>PORTILLO  JALJA JHOSEP ERLAN</v>
      </c>
      <c r="D21" s="146"/>
      <c r="E21" s="149" t="s">
        <v>166</v>
      </c>
      <c r="F21" s="72"/>
      <c r="G21" s="72"/>
    </row>
    <row r="22" spans="1:7" ht="150" customHeight="1" x14ac:dyDescent="0.25">
      <c r="A22" s="72"/>
      <c r="B22" s="148" t="s">
        <v>122</v>
      </c>
      <c r="C22" s="282" t="str">
        <f>'C. FILIACION'!C33:D33</f>
        <v>PUJRO  CHAUCA DIANA MARIBEL</v>
      </c>
      <c r="D22" s="146"/>
      <c r="E22" s="149" t="s">
        <v>167</v>
      </c>
      <c r="F22" s="72"/>
      <c r="G22" s="72"/>
    </row>
    <row r="23" spans="1:7" ht="150" customHeight="1" x14ac:dyDescent="0.25">
      <c r="A23" s="72"/>
      <c r="B23" s="148" t="s">
        <v>123</v>
      </c>
      <c r="C23" s="282" t="str">
        <f>'C. FILIACION'!C34:D34</f>
        <v>SANCHEZ  MOLINA ALEXIS VHADIR</v>
      </c>
      <c r="D23" s="146"/>
      <c r="E23" s="149" t="s">
        <v>168</v>
      </c>
      <c r="F23" s="72"/>
      <c r="G23" s="72"/>
    </row>
    <row r="24" spans="1:7" ht="150" customHeight="1" x14ac:dyDescent="0.25">
      <c r="A24" s="72"/>
      <c r="B24" s="148" t="s">
        <v>124</v>
      </c>
      <c r="C24" s="282" t="str">
        <f>'C. FILIACION'!C35:D35</f>
        <v>SARAVIA SALVATIERRA JOSSE AMED</v>
      </c>
      <c r="D24" s="146"/>
      <c r="E24" s="149" t="s">
        <v>169</v>
      </c>
      <c r="F24" s="72"/>
      <c r="G24" s="72"/>
    </row>
    <row r="25" spans="1:7" ht="150" customHeight="1" x14ac:dyDescent="0.25">
      <c r="A25" s="72"/>
      <c r="B25" s="148" t="s">
        <v>125</v>
      </c>
      <c r="C25" s="282" t="str">
        <f>'C. FILIACION'!C36:D36</f>
        <v>SIERRA LUNA GABRIEL  GERMAN</v>
      </c>
      <c r="D25" s="146"/>
      <c r="E25" s="149" t="s">
        <v>170</v>
      </c>
      <c r="F25" s="72"/>
      <c r="G25" s="72"/>
    </row>
    <row r="26" spans="1:7" ht="150" customHeight="1" x14ac:dyDescent="0.25">
      <c r="A26" s="72"/>
      <c r="B26" s="148" t="s">
        <v>126</v>
      </c>
      <c r="C26" s="282" t="str">
        <f>'C. FILIACION'!C37:D37</f>
        <v>ZEWANE  MARTINEZ LINDA JHAMILETT</v>
      </c>
      <c r="D26" s="146"/>
      <c r="E26" s="149" t="s">
        <v>171</v>
      </c>
      <c r="F26" s="72"/>
      <c r="G26" s="72"/>
    </row>
    <row r="27" spans="1:7" ht="150" customHeight="1" x14ac:dyDescent="0.25">
      <c r="A27" s="72"/>
      <c r="B27" s="148" t="s">
        <v>127</v>
      </c>
      <c r="C27" s="282">
        <f>'C. FILIACION'!C38:D38</f>
        <v>0</v>
      </c>
      <c r="D27" s="146"/>
      <c r="E27" s="149" t="s">
        <v>172</v>
      </c>
      <c r="F27" s="72"/>
      <c r="G27" s="72"/>
    </row>
    <row r="28" spans="1:7" ht="150" customHeight="1" x14ac:dyDescent="0.25">
      <c r="A28" s="72"/>
      <c r="B28" s="148" t="s">
        <v>128</v>
      </c>
      <c r="C28" s="282">
        <f>'C. FILIACION'!C39:D39</f>
        <v>0</v>
      </c>
      <c r="D28" s="146"/>
      <c r="E28" s="149" t="s">
        <v>173</v>
      </c>
      <c r="F28" s="72"/>
      <c r="G28" s="72"/>
    </row>
    <row r="29" spans="1:7" ht="150" customHeight="1" x14ac:dyDescent="0.25">
      <c r="A29" s="72"/>
      <c r="B29" s="148" t="s">
        <v>129</v>
      </c>
      <c r="C29" s="282">
        <f>'C. FILIACION'!C40:D40</f>
        <v>0</v>
      </c>
      <c r="D29" s="146"/>
      <c r="E29" s="149" t="s">
        <v>174</v>
      </c>
      <c r="F29" s="72"/>
      <c r="G29" s="72"/>
    </row>
    <row r="30" spans="1:7" ht="150" customHeight="1" x14ac:dyDescent="0.25">
      <c r="A30" s="72"/>
      <c r="B30" s="148" t="s">
        <v>130</v>
      </c>
      <c r="C30" s="282">
        <f>'C. FILIACION'!C41:D41</f>
        <v>0</v>
      </c>
      <c r="D30" s="146"/>
      <c r="E30" s="149" t="s">
        <v>175</v>
      </c>
      <c r="F30" s="72"/>
      <c r="G30" s="72"/>
    </row>
    <row r="31" spans="1:7" ht="150" customHeight="1" x14ac:dyDescent="0.25">
      <c r="A31" s="72"/>
      <c r="B31" s="148" t="s">
        <v>131</v>
      </c>
      <c r="C31" s="282">
        <f>'C. FILIACION'!C42:D42</f>
        <v>0</v>
      </c>
      <c r="D31" s="146"/>
      <c r="E31" s="149" t="s">
        <v>176</v>
      </c>
      <c r="F31" s="72"/>
      <c r="G31" s="72"/>
    </row>
    <row r="32" spans="1:7" ht="150" customHeight="1" x14ac:dyDescent="0.25">
      <c r="A32" s="72"/>
      <c r="B32" s="148" t="s">
        <v>132</v>
      </c>
      <c r="C32" s="282">
        <f>'C. FILIACION'!C43:D43</f>
        <v>0</v>
      </c>
      <c r="D32" s="146"/>
      <c r="E32" s="149" t="s">
        <v>177</v>
      </c>
      <c r="F32" s="72"/>
      <c r="G32" s="72"/>
    </row>
    <row r="33" spans="1:7" ht="150" customHeight="1" x14ac:dyDescent="0.25">
      <c r="A33" s="72"/>
      <c r="B33" s="148" t="s">
        <v>133</v>
      </c>
      <c r="C33" s="282">
        <f>'C. FILIACION'!C44:D44</f>
        <v>0</v>
      </c>
      <c r="D33" s="146"/>
      <c r="E33" s="149" t="s">
        <v>178</v>
      </c>
      <c r="F33" s="72"/>
      <c r="G33" s="72"/>
    </row>
    <row r="34" spans="1:7" ht="150" customHeight="1" x14ac:dyDescent="0.25">
      <c r="A34" s="72"/>
      <c r="B34" s="148" t="s">
        <v>134</v>
      </c>
      <c r="C34" s="282">
        <f>'C. FILIACION'!C45:D45</f>
        <v>0</v>
      </c>
      <c r="D34" s="146"/>
      <c r="E34" s="149" t="s">
        <v>179</v>
      </c>
      <c r="F34" s="72"/>
      <c r="G34" s="72"/>
    </row>
    <row r="35" spans="1:7" ht="150" customHeight="1" x14ac:dyDescent="0.25">
      <c r="A35" s="72"/>
      <c r="B35" s="148" t="s">
        <v>135</v>
      </c>
      <c r="C35" s="282">
        <f>'C. FILIACION'!C46:D46</f>
        <v>0</v>
      </c>
      <c r="D35" s="146"/>
      <c r="E35" s="149" t="s">
        <v>180</v>
      </c>
      <c r="F35" s="72"/>
      <c r="G35" s="72"/>
    </row>
    <row r="36" spans="1:7" ht="150" customHeight="1" x14ac:dyDescent="0.25">
      <c r="A36" s="72"/>
      <c r="B36" s="148" t="s">
        <v>136</v>
      </c>
      <c r="C36" s="282">
        <f>'C. FILIACION'!C47:D47</f>
        <v>0</v>
      </c>
      <c r="D36" s="146"/>
      <c r="E36" s="149" t="s">
        <v>181</v>
      </c>
      <c r="F36" s="72"/>
      <c r="G36" s="72"/>
    </row>
    <row r="37" spans="1:7" ht="150" customHeight="1" x14ac:dyDescent="0.25">
      <c r="A37" s="72"/>
      <c r="B37" s="148" t="s">
        <v>137</v>
      </c>
      <c r="C37" s="282">
        <f>'C. FILIACION'!C48:D48</f>
        <v>0</v>
      </c>
      <c r="D37" s="146"/>
      <c r="E37" s="149" t="s">
        <v>182</v>
      </c>
      <c r="F37" s="72"/>
      <c r="G37" s="72"/>
    </row>
    <row r="38" spans="1:7" ht="150" customHeight="1" x14ac:dyDescent="0.25">
      <c r="A38" s="72"/>
      <c r="B38" s="148" t="s">
        <v>138</v>
      </c>
      <c r="C38" s="282">
        <f>'C. FILIACION'!C49:D49</f>
        <v>0</v>
      </c>
      <c r="D38" s="146"/>
      <c r="E38" s="149" t="s">
        <v>183</v>
      </c>
      <c r="F38" s="72"/>
      <c r="G38" s="72"/>
    </row>
    <row r="39" spans="1:7" ht="150" customHeight="1" x14ac:dyDescent="0.25">
      <c r="A39" s="72"/>
      <c r="B39" s="148" t="s">
        <v>139</v>
      </c>
      <c r="C39" s="282">
        <f>'C. FILIACION'!C50:D50</f>
        <v>0</v>
      </c>
      <c r="D39" s="146"/>
      <c r="E39" s="149" t="s">
        <v>184</v>
      </c>
      <c r="F39" s="72"/>
      <c r="G39" s="72"/>
    </row>
    <row r="40" spans="1:7" ht="150" customHeight="1" x14ac:dyDescent="0.25">
      <c r="A40" s="72"/>
      <c r="B40" s="148" t="s">
        <v>140</v>
      </c>
      <c r="C40" s="282">
        <f>'C. FILIACION'!C51:D51</f>
        <v>0</v>
      </c>
      <c r="D40" s="146"/>
      <c r="E40" s="149" t="s">
        <v>185</v>
      </c>
      <c r="F40" s="72"/>
      <c r="G40" s="72"/>
    </row>
    <row r="41" spans="1:7" ht="150" customHeight="1" x14ac:dyDescent="0.25">
      <c r="A41" s="72"/>
      <c r="B41" s="148" t="s">
        <v>141</v>
      </c>
      <c r="C41" s="282">
        <f>'C. FILIACION'!C52:D52</f>
        <v>0</v>
      </c>
      <c r="D41" s="146"/>
      <c r="E41" s="149" t="s">
        <v>186</v>
      </c>
      <c r="F41" s="72"/>
      <c r="G41" s="72"/>
    </row>
    <row r="42" spans="1:7" ht="150" customHeight="1" x14ac:dyDescent="0.25">
      <c r="A42" s="72"/>
      <c r="B42" s="148" t="s">
        <v>142</v>
      </c>
      <c r="C42" s="282">
        <f>'C. FILIACION'!C53:D53</f>
        <v>0</v>
      </c>
      <c r="D42" s="146"/>
      <c r="E42" s="149" t="s">
        <v>187</v>
      </c>
      <c r="F42" s="72"/>
      <c r="G42" s="72"/>
    </row>
    <row r="43" spans="1:7" ht="150" customHeight="1" x14ac:dyDescent="0.25">
      <c r="A43" s="72"/>
      <c r="B43" s="148" t="s">
        <v>143</v>
      </c>
      <c r="C43" s="282">
        <f>'C. FILIACION'!C54:D54</f>
        <v>0</v>
      </c>
      <c r="D43" s="146"/>
      <c r="E43" s="149" t="s">
        <v>188</v>
      </c>
      <c r="F43" s="72"/>
      <c r="G43" s="72"/>
    </row>
    <row r="44" spans="1:7" ht="150" customHeight="1" x14ac:dyDescent="0.25">
      <c r="A44" s="72"/>
      <c r="B44" s="148" t="s">
        <v>144</v>
      </c>
      <c r="C44" s="282">
        <f>'C. FILIACION'!C55:D55</f>
        <v>0</v>
      </c>
      <c r="D44" s="146"/>
      <c r="E44" s="149" t="s">
        <v>189</v>
      </c>
      <c r="F44" s="72"/>
      <c r="G44" s="72"/>
    </row>
    <row r="45" spans="1:7" ht="150" customHeight="1" x14ac:dyDescent="0.25">
      <c r="A45" s="72"/>
      <c r="B45" s="148" t="s">
        <v>145</v>
      </c>
      <c r="C45" s="282">
        <f>'C. FILIACION'!C56:D56</f>
        <v>0</v>
      </c>
      <c r="D45" s="146"/>
      <c r="E45" s="149" t="s">
        <v>190</v>
      </c>
      <c r="F45" s="72"/>
      <c r="G45" s="72"/>
    </row>
    <row r="46" spans="1:7" ht="150" customHeight="1" x14ac:dyDescent="0.25">
      <c r="A46" s="72"/>
      <c r="B46" s="148" t="s">
        <v>146</v>
      </c>
      <c r="C46" s="282">
        <f>'C. FILIACION'!C57:D57</f>
        <v>0</v>
      </c>
      <c r="D46" s="146"/>
      <c r="E46" s="149" t="s">
        <v>191</v>
      </c>
      <c r="F46" s="72"/>
      <c r="G46" s="72"/>
    </row>
    <row r="47" spans="1:7" ht="150" customHeight="1" x14ac:dyDescent="0.25">
      <c r="A47" s="72"/>
      <c r="B47" s="148" t="s">
        <v>147</v>
      </c>
      <c r="C47" s="282">
        <f>'C. FILIACION'!C58:D58</f>
        <v>0</v>
      </c>
      <c r="D47" s="146"/>
      <c r="E47" s="149" t="s">
        <v>192</v>
      </c>
      <c r="F47" s="72"/>
      <c r="G47" s="72"/>
    </row>
    <row r="48" spans="1:7" x14ac:dyDescent="0.25">
      <c r="A48" s="72"/>
      <c r="B48" s="72"/>
      <c r="C48" s="72"/>
      <c r="D48" s="72"/>
      <c r="E48" s="72"/>
      <c r="F48" s="72"/>
      <c r="G48" s="72"/>
    </row>
    <row r="49" spans="1:7" x14ac:dyDescent="0.25">
      <c r="A49" s="72"/>
      <c r="B49" s="72"/>
      <c r="C49" s="72"/>
      <c r="D49" s="72"/>
      <c r="E49" s="72"/>
      <c r="F49" s="72"/>
      <c r="G49" s="72"/>
    </row>
    <row r="50" spans="1:7" x14ac:dyDescent="0.25">
      <c r="A50" s="72"/>
      <c r="B50" s="72"/>
      <c r="C50" s="72"/>
      <c r="D50" s="72"/>
      <c r="E50" s="72"/>
      <c r="F50" s="72"/>
    </row>
    <row r="51" spans="1:7" x14ac:dyDescent="0.25">
      <c r="A51" s="72"/>
      <c r="B51" s="72"/>
      <c r="C51" s="72"/>
      <c r="D51" s="72"/>
      <c r="E51" s="72"/>
      <c r="F51" s="72"/>
    </row>
    <row r="52" spans="1:7" x14ac:dyDescent="0.25">
      <c r="A52" s="72"/>
      <c r="B52" s="72"/>
      <c r="C52" s="72"/>
      <c r="D52" s="72"/>
      <c r="E52" s="72"/>
      <c r="F52" s="72"/>
    </row>
    <row r="53" spans="1:7" x14ac:dyDescent="0.25">
      <c r="A53" s="72"/>
      <c r="B53" s="72"/>
      <c r="C53" s="72"/>
      <c r="D53" s="72"/>
      <c r="E53" s="72"/>
      <c r="F53" s="72"/>
    </row>
    <row r="54" spans="1:7" x14ac:dyDescent="0.25">
      <c r="A54" s="72"/>
      <c r="B54" s="72"/>
      <c r="C54" s="72"/>
      <c r="D54" s="72"/>
      <c r="E54" s="72"/>
      <c r="F54" s="72"/>
    </row>
    <row r="55" spans="1:7" x14ac:dyDescent="0.25">
      <c r="A55" s="72"/>
      <c r="B55" s="72"/>
      <c r="C55" s="72"/>
      <c r="D55" s="72"/>
      <c r="E55" s="72"/>
      <c r="F55" s="72"/>
    </row>
    <row r="56" spans="1:7" x14ac:dyDescent="0.25">
      <c r="A56" s="72"/>
      <c r="B56" s="72"/>
      <c r="C56" s="72"/>
      <c r="D56" s="72"/>
      <c r="E56" s="72"/>
      <c r="F56" s="72"/>
    </row>
    <row r="57" spans="1:7" x14ac:dyDescent="0.25">
      <c r="A57" s="72"/>
      <c r="B57" s="72"/>
      <c r="C57" s="72"/>
      <c r="E57" s="72"/>
    </row>
    <row r="58" spans="1:7" x14ac:dyDescent="0.25">
      <c r="A58" s="72"/>
      <c r="B58" s="72"/>
      <c r="C58" s="72"/>
      <c r="E58" s="72"/>
    </row>
    <row r="59" spans="1:7" x14ac:dyDescent="0.25">
      <c r="A59" s="72"/>
      <c r="B59" s="72"/>
      <c r="C59" s="72"/>
      <c r="E59" s="72"/>
    </row>
    <row r="60" spans="1:7" x14ac:dyDescent="0.25">
      <c r="A60" s="72"/>
      <c r="B60" s="72"/>
      <c r="C60" s="72"/>
      <c r="E60" s="72"/>
    </row>
    <row r="61" spans="1:7" x14ac:dyDescent="0.25">
      <c r="A61" s="72"/>
      <c r="B61" s="72"/>
      <c r="C61" s="72"/>
      <c r="E61" s="72"/>
    </row>
    <row r="62" spans="1:7" x14ac:dyDescent="0.25">
      <c r="A62" s="72"/>
      <c r="B62" s="72"/>
      <c r="C62" s="72"/>
      <c r="E62" s="72"/>
    </row>
    <row r="63" spans="1:7" x14ac:dyDescent="0.25">
      <c r="A63" s="72"/>
      <c r="B63" s="72"/>
      <c r="C63" s="72"/>
      <c r="E63" s="72"/>
    </row>
    <row r="64" spans="1:7" x14ac:dyDescent="0.25">
      <c r="A64" s="72"/>
      <c r="B64" s="72"/>
      <c r="C64" s="72"/>
      <c r="E64" s="72"/>
    </row>
  </sheetData>
  <sheetProtection password="D989" sheet="1" formatCells="0"/>
  <protectedRanges>
    <protectedRange sqref="D3:D47" name="INSERTAR FOTO"/>
  </protectedRanges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4">
    <tabColor rgb="FF00B050"/>
    <pageSetUpPr fitToPage="1"/>
  </sheetPr>
  <dimension ref="A1:BL75"/>
  <sheetViews>
    <sheetView showZeros="0" workbookViewId="0">
      <pane ySplit="14" topLeftCell="A34" activePane="bottomLeft" state="frozen"/>
      <selection pane="bottomLeft" activeCell="H40" sqref="H40"/>
    </sheetView>
  </sheetViews>
  <sheetFormatPr baseColWidth="10" defaultColWidth="11.42578125" defaultRowHeight="15" x14ac:dyDescent="0.25"/>
  <cols>
    <col min="1" max="2" width="4.140625" style="66" customWidth="1"/>
    <col min="3" max="3" width="34" style="66" customWidth="1"/>
    <col min="4" max="4" width="1" style="66" customWidth="1"/>
    <col min="5" max="56" width="2.7109375" style="66" customWidth="1"/>
    <col min="57" max="60" width="4.7109375" style="66" customWidth="1"/>
    <col min="61" max="61" width="11.42578125" style="66"/>
    <col min="62" max="62" width="1.140625" style="66" customWidth="1"/>
    <col min="63" max="16384" width="11.42578125" style="66"/>
  </cols>
  <sheetData>
    <row r="1" spans="1:61" ht="15.75" thickBot="1" x14ac:dyDescent="0.3">
      <c r="A1" s="72"/>
      <c r="B1" s="72"/>
      <c r="C1" s="72"/>
      <c r="D1" s="72"/>
      <c r="E1" s="72"/>
      <c r="F1" s="72"/>
      <c r="G1" s="72"/>
      <c r="H1" s="72"/>
      <c r="I1" s="72"/>
      <c r="J1" s="72"/>
      <c r="K1" s="72"/>
      <c r="L1" s="72"/>
      <c r="M1" s="72"/>
      <c r="N1" s="72"/>
      <c r="O1" s="72"/>
      <c r="P1" s="72"/>
      <c r="Q1" s="72"/>
      <c r="R1" s="72"/>
      <c r="S1" s="72"/>
      <c r="T1" s="72"/>
      <c r="U1" s="72"/>
      <c r="V1" s="72"/>
      <c r="W1" s="72"/>
      <c r="X1" s="72"/>
      <c r="Y1" s="72"/>
      <c r="Z1" s="7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2"/>
      <c r="AT1" s="72"/>
      <c r="AU1" s="7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</row>
    <row r="2" spans="1:61" x14ac:dyDescent="0.25">
      <c r="A2" s="72"/>
      <c r="B2" s="583" t="s">
        <v>40</v>
      </c>
      <c r="C2" s="584"/>
      <c r="D2" s="584"/>
      <c r="E2" s="584"/>
      <c r="F2" s="584"/>
      <c r="G2" s="584"/>
      <c r="H2" s="584"/>
      <c r="I2" s="584"/>
      <c r="J2" s="584"/>
      <c r="K2" s="584"/>
      <c r="L2" s="584"/>
      <c r="M2" s="584"/>
      <c r="N2" s="584"/>
      <c r="O2" s="584"/>
      <c r="P2" s="584"/>
      <c r="Q2" s="584"/>
      <c r="R2" s="584"/>
      <c r="S2" s="584"/>
      <c r="T2" s="584"/>
      <c r="U2" s="584"/>
      <c r="V2" s="584"/>
      <c r="W2" s="584"/>
      <c r="X2" s="584"/>
      <c r="Y2" s="584"/>
      <c r="Z2" s="584"/>
      <c r="AA2" s="584"/>
      <c r="AB2" s="584"/>
      <c r="AC2" s="584"/>
      <c r="AD2" s="584"/>
      <c r="AE2" s="584"/>
      <c r="AF2" s="584"/>
      <c r="AG2" s="584"/>
      <c r="AH2" s="584"/>
      <c r="AI2" s="584"/>
      <c r="AJ2" s="584"/>
      <c r="AK2" s="584"/>
      <c r="AL2" s="584"/>
      <c r="AM2" s="584"/>
      <c r="AN2" s="584"/>
      <c r="AO2" s="584"/>
      <c r="AP2" s="584"/>
      <c r="AQ2" s="584"/>
      <c r="AR2" s="584"/>
      <c r="AS2" s="584"/>
      <c r="AT2" s="584"/>
      <c r="AU2" s="584"/>
      <c r="AV2" s="584"/>
      <c r="AW2" s="584"/>
      <c r="AX2" s="584"/>
      <c r="AY2" s="584"/>
      <c r="AZ2" s="584"/>
      <c r="BA2" s="584"/>
      <c r="BB2" s="584"/>
      <c r="BC2" s="584"/>
      <c r="BD2" s="584"/>
      <c r="BE2" s="584"/>
      <c r="BF2" s="584"/>
      <c r="BG2" s="584"/>
      <c r="BH2" s="584"/>
      <c r="BI2" s="585"/>
    </row>
    <row r="3" spans="1:61" x14ac:dyDescent="0.25">
      <c r="A3" s="72"/>
      <c r="B3" s="586"/>
      <c r="C3" s="587"/>
      <c r="D3" s="587"/>
      <c r="E3" s="587"/>
      <c r="F3" s="587"/>
      <c r="G3" s="587"/>
      <c r="H3" s="587"/>
      <c r="I3" s="587"/>
      <c r="J3" s="587"/>
      <c r="K3" s="587"/>
      <c r="L3" s="587"/>
      <c r="M3" s="587"/>
      <c r="N3" s="587"/>
      <c r="O3" s="587"/>
      <c r="P3" s="587"/>
      <c r="Q3" s="587"/>
      <c r="R3" s="587"/>
      <c r="S3" s="587"/>
      <c r="T3" s="587"/>
      <c r="U3" s="587"/>
      <c r="V3" s="587"/>
      <c r="W3" s="587"/>
      <c r="X3" s="587"/>
      <c r="Y3" s="587"/>
      <c r="Z3" s="587"/>
      <c r="AA3" s="587"/>
      <c r="AB3" s="587"/>
      <c r="AC3" s="587"/>
      <c r="AD3" s="587"/>
      <c r="AE3" s="587"/>
      <c r="AF3" s="587"/>
      <c r="AG3" s="587"/>
      <c r="AH3" s="587"/>
      <c r="AI3" s="587"/>
      <c r="AJ3" s="587"/>
      <c r="AK3" s="587"/>
      <c r="AL3" s="587"/>
      <c r="AM3" s="587"/>
      <c r="AN3" s="587"/>
      <c r="AO3" s="587"/>
      <c r="AP3" s="587"/>
      <c r="AQ3" s="587"/>
      <c r="AR3" s="587"/>
      <c r="AS3" s="587"/>
      <c r="AT3" s="587"/>
      <c r="AU3" s="587"/>
      <c r="AV3" s="587"/>
      <c r="AW3" s="587"/>
      <c r="AX3" s="587"/>
      <c r="AY3" s="587"/>
      <c r="AZ3" s="587"/>
      <c r="BA3" s="587"/>
      <c r="BB3" s="587"/>
      <c r="BC3" s="587"/>
      <c r="BD3" s="587"/>
      <c r="BE3" s="587"/>
      <c r="BF3" s="587"/>
      <c r="BG3" s="587"/>
      <c r="BH3" s="587"/>
      <c r="BI3" s="588"/>
    </row>
    <row r="4" spans="1:61" ht="2.25" customHeight="1" x14ac:dyDescent="0.25">
      <c r="A4" s="72"/>
      <c r="B4" s="592"/>
      <c r="C4" s="593"/>
      <c r="D4" s="593"/>
      <c r="E4" s="593"/>
      <c r="F4" s="593"/>
      <c r="G4" s="593"/>
      <c r="H4" s="593"/>
      <c r="I4" s="593"/>
      <c r="J4" s="593"/>
      <c r="K4" s="593"/>
      <c r="L4" s="593"/>
      <c r="M4" s="593"/>
      <c r="N4" s="593"/>
      <c r="O4" s="593"/>
      <c r="P4" s="593"/>
      <c r="Q4" s="593"/>
      <c r="R4" s="593"/>
      <c r="S4" s="593"/>
      <c r="T4" s="593"/>
      <c r="U4" s="593"/>
      <c r="V4" s="593"/>
      <c r="W4" s="593"/>
      <c r="X4" s="593"/>
      <c r="Y4" s="593"/>
      <c r="Z4" s="593"/>
      <c r="AA4" s="593"/>
      <c r="AB4" s="593"/>
      <c r="AC4" s="593"/>
      <c r="AD4" s="593"/>
      <c r="AE4" s="593"/>
      <c r="AF4" s="593"/>
      <c r="AG4" s="593"/>
      <c r="AH4" s="593"/>
      <c r="AI4" s="593"/>
      <c r="AJ4" s="593"/>
      <c r="AK4" s="593"/>
      <c r="AL4" s="593"/>
      <c r="AM4" s="593"/>
      <c r="AN4" s="593"/>
      <c r="AO4" s="593"/>
      <c r="AP4" s="593"/>
      <c r="AQ4" s="593"/>
      <c r="AR4" s="593"/>
      <c r="AS4" s="593"/>
      <c r="AT4" s="593"/>
      <c r="AU4" s="593"/>
      <c r="AV4" s="593"/>
      <c r="AW4" s="593"/>
      <c r="AX4" s="593"/>
      <c r="AY4" s="593"/>
      <c r="AZ4" s="593"/>
      <c r="BA4" s="593"/>
      <c r="BB4" s="593"/>
      <c r="BC4" s="593"/>
      <c r="BD4" s="593"/>
      <c r="BE4" s="593"/>
      <c r="BF4" s="593"/>
      <c r="BG4" s="593"/>
      <c r="BH4" s="593"/>
      <c r="BI4" s="594"/>
    </row>
    <row r="5" spans="1:61" ht="15.75" x14ac:dyDescent="0.25">
      <c r="A5" s="72"/>
      <c r="B5" s="73"/>
      <c r="C5" s="74" t="s">
        <v>1</v>
      </c>
      <c r="D5" s="75" t="s">
        <v>6</v>
      </c>
      <c r="E5" s="486">
        <f>CARATULA!G20</f>
        <v>0</v>
      </c>
      <c r="F5" s="292"/>
      <c r="G5" s="292"/>
      <c r="H5" s="292"/>
      <c r="I5" s="292"/>
      <c r="J5" s="292"/>
      <c r="K5" s="292"/>
      <c r="L5" s="292"/>
      <c r="M5" s="292"/>
      <c r="N5" s="292"/>
      <c r="O5" s="292"/>
      <c r="P5" s="292"/>
      <c r="Q5" s="292"/>
      <c r="R5" s="292"/>
      <c r="S5" s="292"/>
      <c r="T5" s="292"/>
      <c r="U5" s="292"/>
      <c r="V5" s="292"/>
      <c r="W5" s="292"/>
      <c r="X5" s="292"/>
      <c r="Y5" s="292"/>
      <c r="Z5" s="292"/>
      <c r="AA5" s="292"/>
      <c r="AB5" s="292"/>
      <c r="AC5" s="292"/>
      <c r="AD5" s="292"/>
      <c r="AE5" s="292"/>
      <c r="AF5" s="292"/>
      <c r="AG5" s="292"/>
      <c r="AH5" s="292"/>
      <c r="AI5" s="292"/>
      <c r="AJ5" s="292"/>
      <c r="AK5" s="292"/>
      <c r="AL5" s="292"/>
      <c r="AM5" s="292"/>
      <c r="AN5" s="292"/>
      <c r="AO5" s="292"/>
      <c r="AP5" s="292"/>
      <c r="AQ5" s="292"/>
      <c r="AR5" s="292"/>
      <c r="AS5" s="292"/>
      <c r="AT5" s="292"/>
      <c r="AU5" s="292"/>
      <c r="AV5" s="292"/>
      <c r="AW5" s="292"/>
      <c r="AX5" s="292"/>
      <c r="AY5" s="76"/>
      <c r="AZ5" s="589" t="s">
        <v>44</v>
      </c>
      <c r="BA5" s="589"/>
      <c r="BB5" s="589"/>
      <c r="BC5" s="589"/>
      <c r="BD5" s="589"/>
      <c r="BE5" s="589"/>
      <c r="BF5" s="590">
        <f>CARATULA!P8</f>
        <v>43503</v>
      </c>
      <c r="BG5" s="591"/>
      <c r="BH5" s="591"/>
      <c r="BI5" s="77"/>
    </row>
    <row r="6" spans="1:61" ht="15.75" x14ac:dyDescent="0.25">
      <c r="A6" s="72"/>
      <c r="B6" s="73"/>
      <c r="C6" s="74" t="s">
        <v>2</v>
      </c>
      <c r="D6" s="75" t="s">
        <v>6</v>
      </c>
      <c r="E6" s="486">
        <f>CARATULA!G26</f>
        <v>0</v>
      </c>
      <c r="F6" s="286"/>
      <c r="G6" s="286"/>
      <c r="H6" s="286"/>
      <c r="I6" s="286"/>
      <c r="J6" s="286"/>
      <c r="K6" s="286"/>
      <c r="L6" s="286"/>
      <c r="M6" s="286"/>
      <c r="N6" s="286"/>
      <c r="O6" s="286"/>
      <c r="P6" s="286"/>
      <c r="Q6" s="286"/>
      <c r="R6" s="286"/>
      <c r="S6" s="286"/>
      <c r="T6" s="286"/>
      <c r="U6" s="286"/>
      <c r="V6" s="286"/>
      <c r="W6" s="286"/>
      <c r="X6" s="286"/>
      <c r="Y6" s="286"/>
      <c r="Z6" s="286"/>
      <c r="AA6" s="286"/>
      <c r="AB6" s="286"/>
      <c r="AC6" s="286"/>
      <c r="AD6" s="286"/>
      <c r="AE6" s="286"/>
      <c r="AF6" s="286"/>
      <c r="AG6" s="286"/>
      <c r="AH6" s="286"/>
      <c r="AI6" s="286"/>
      <c r="AJ6" s="286"/>
      <c r="AK6" s="286"/>
      <c r="AL6" s="286"/>
      <c r="AM6" s="286"/>
      <c r="AN6" s="286"/>
      <c r="AO6" s="286"/>
      <c r="AP6" s="286"/>
      <c r="AQ6" s="286"/>
      <c r="AR6" s="286"/>
      <c r="AS6" s="286"/>
      <c r="AT6" s="286"/>
      <c r="AU6" s="286"/>
      <c r="AV6" s="286"/>
      <c r="AW6" s="286"/>
      <c r="AX6" s="286"/>
      <c r="AY6" s="76"/>
      <c r="AZ6" s="78"/>
      <c r="BA6" s="78"/>
      <c r="BB6" s="78"/>
      <c r="BC6" s="78"/>
      <c r="BD6" s="78"/>
      <c r="BE6" s="78"/>
      <c r="BF6" s="296"/>
      <c r="BG6" s="296"/>
      <c r="BH6" s="296"/>
      <c r="BI6" s="77"/>
    </row>
    <row r="7" spans="1:61" ht="15.75" x14ac:dyDescent="0.25">
      <c r="A7" s="72"/>
      <c r="B7" s="73"/>
      <c r="C7" s="74" t="s">
        <v>99</v>
      </c>
      <c r="D7" s="75" t="s">
        <v>6</v>
      </c>
      <c r="E7" s="486" t="str">
        <f>CONCATENATE(CARATULA!G28," ",CARATULA!H28)</f>
        <v xml:space="preserve"> </v>
      </c>
      <c r="F7" s="293"/>
      <c r="G7" s="293"/>
      <c r="H7" s="293"/>
      <c r="I7" s="293"/>
      <c r="J7" s="293"/>
      <c r="K7" s="293"/>
      <c r="L7" s="293"/>
      <c r="M7" s="286"/>
      <c r="N7" s="292"/>
      <c r="O7" s="292"/>
      <c r="P7" s="286"/>
      <c r="Q7" s="286"/>
      <c r="R7" s="293"/>
      <c r="S7" s="293"/>
      <c r="T7" s="293"/>
      <c r="U7" s="293"/>
      <c r="V7" s="293"/>
      <c r="W7" s="293"/>
      <c r="X7" s="293"/>
      <c r="Y7" s="293"/>
      <c r="Z7" s="293"/>
      <c r="AA7" s="293"/>
      <c r="AB7" s="293"/>
      <c r="AC7" s="293"/>
      <c r="AD7" s="293"/>
      <c r="AE7" s="293"/>
      <c r="AF7" s="293"/>
      <c r="AG7" s="293"/>
      <c r="AH7" s="293"/>
      <c r="AI7" s="293"/>
      <c r="AJ7" s="293"/>
      <c r="AK7" s="293"/>
      <c r="AL7" s="293"/>
      <c r="AM7" s="293"/>
      <c r="AN7" s="293"/>
      <c r="AO7" s="293"/>
      <c r="AP7" s="293"/>
      <c r="AQ7" s="293"/>
      <c r="AR7" s="293"/>
      <c r="AS7" s="293"/>
      <c r="AT7" s="293"/>
      <c r="AU7" s="293"/>
      <c r="AV7" s="286"/>
      <c r="AW7" s="286"/>
      <c r="AX7" s="286"/>
      <c r="AY7" s="76"/>
      <c r="AZ7" s="589" t="s">
        <v>45</v>
      </c>
      <c r="BA7" s="589"/>
      <c r="BB7" s="589"/>
      <c r="BC7" s="589"/>
      <c r="BD7" s="589"/>
      <c r="BE7" s="589"/>
      <c r="BF7" s="590">
        <f>CARATULA!R8</f>
        <v>43575</v>
      </c>
      <c r="BG7" s="591"/>
      <c r="BH7" s="591"/>
      <c r="BI7" s="77"/>
    </row>
    <row r="8" spans="1:61" ht="15.75" x14ac:dyDescent="0.25">
      <c r="A8" s="72"/>
      <c r="B8" s="73"/>
      <c r="C8" s="74" t="s">
        <v>382</v>
      </c>
      <c r="D8" s="75" t="s">
        <v>6</v>
      </c>
      <c r="E8" s="486">
        <f>CARATULA!G22</f>
        <v>0</v>
      </c>
      <c r="F8" s="292"/>
      <c r="G8" s="292"/>
      <c r="H8" s="292"/>
      <c r="I8" s="292"/>
      <c r="J8" s="292"/>
      <c r="K8" s="292"/>
      <c r="L8" s="292"/>
      <c r="M8" s="292"/>
      <c r="N8" s="292"/>
      <c r="O8" s="292"/>
      <c r="P8" s="292"/>
      <c r="Q8" s="292"/>
      <c r="R8" s="292"/>
      <c r="S8" s="292"/>
      <c r="T8" s="292"/>
      <c r="U8" s="292"/>
      <c r="V8" s="292"/>
      <c r="W8" s="292"/>
      <c r="X8" s="292"/>
      <c r="Y8" s="292"/>
      <c r="Z8" s="292"/>
      <c r="AA8" s="292"/>
      <c r="AB8" s="292"/>
      <c r="AC8" s="292"/>
      <c r="AD8" s="292"/>
      <c r="AE8" s="292"/>
      <c r="AF8" s="292"/>
      <c r="AG8" s="292"/>
      <c r="AH8" s="292"/>
      <c r="AI8" s="292"/>
      <c r="AJ8" s="292"/>
      <c r="AK8" s="292"/>
      <c r="AL8" s="292"/>
      <c r="AM8" s="292"/>
      <c r="AN8" s="292"/>
      <c r="AO8" s="292"/>
      <c r="AP8" s="292"/>
      <c r="AQ8" s="292"/>
      <c r="AR8" s="292"/>
      <c r="AS8" s="292"/>
      <c r="AT8" s="292"/>
      <c r="AU8" s="292"/>
      <c r="AV8" s="286"/>
      <c r="AW8" s="286"/>
      <c r="AX8" s="286"/>
      <c r="AY8" s="76"/>
      <c r="AZ8" s="76"/>
      <c r="BA8" s="76"/>
      <c r="BB8" s="76"/>
      <c r="BC8" s="76"/>
      <c r="BD8" s="76"/>
      <c r="BE8" s="76"/>
      <c r="BF8" s="297"/>
      <c r="BG8" s="297"/>
      <c r="BH8" s="297"/>
      <c r="BI8" s="77"/>
    </row>
    <row r="9" spans="1:61" ht="15.75" x14ac:dyDescent="0.25">
      <c r="A9" s="72"/>
      <c r="B9" s="73"/>
      <c r="C9" s="74" t="s">
        <v>383</v>
      </c>
      <c r="D9" s="75" t="s">
        <v>6</v>
      </c>
      <c r="E9" s="486">
        <f>CARATULA!G24</f>
        <v>0</v>
      </c>
      <c r="F9" s="292"/>
      <c r="G9" s="292"/>
      <c r="H9" s="292"/>
      <c r="I9" s="292"/>
      <c r="J9" s="292"/>
      <c r="K9" s="292"/>
      <c r="L9" s="292"/>
      <c r="M9" s="292"/>
      <c r="N9" s="292"/>
      <c r="O9" s="292"/>
      <c r="P9" s="292"/>
      <c r="Q9" s="292"/>
      <c r="R9" s="292"/>
      <c r="S9" s="292"/>
      <c r="T9" s="292"/>
      <c r="U9" s="292"/>
      <c r="V9" s="292"/>
      <c r="W9" s="292"/>
      <c r="X9" s="292"/>
      <c r="Y9" s="292"/>
      <c r="Z9" s="292"/>
      <c r="AA9" s="292"/>
      <c r="AB9" s="292"/>
      <c r="AC9" s="292"/>
      <c r="AD9" s="292"/>
      <c r="AE9" s="292"/>
      <c r="AF9" s="292"/>
      <c r="AG9" s="292"/>
      <c r="AH9" s="292"/>
      <c r="AI9" s="292"/>
      <c r="AJ9" s="292"/>
      <c r="AK9" s="292"/>
      <c r="AL9" s="292"/>
      <c r="AM9" s="292"/>
      <c r="AN9" s="292"/>
      <c r="AO9" s="292"/>
      <c r="AP9" s="292"/>
      <c r="AQ9" s="292"/>
      <c r="AR9" s="292"/>
      <c r="AS9" s="292"/>
      <c r="AT9" s="292"/>
      <c r="AU9" s="292"/>
      <c r="AV9" s="286"/>
      <c r="AW9" s="286"/>
      <c r="AX9" s="286"/>
      <c r="AY9" s="76"/>
      <c r="AZ9" s="601" t="s">
        <v>66</v>
      </c>
      <c r="BA9" s="601"/>
      <c r="BB9" s="601"/>
      <c r="BC9" s="601"/>
      <c r="BD9" s="601"/>
      <c r="BE9" s="601"/>
      <c r="BF9" s="602">
        <f ca="1">TODAY()</f>
        <v>43510</v>
      </c>
      <c r="BG9" s="603"/>
      <c r="BH9" s="603"/>
      <c r="BI9" s="77"/>
    </row>
    <row r="10" spans="1:61" ht="15.75" x14ac:dyDescent="0.25">
      <c r="A10" s="72"/>
      <c r="B10" s="73"/>
      <c r="C10" s="74" t="s">
        <v>3</v>
      </c>
      <c r="D10" s="75" t="s">
        <v>6</v>
      </c>
      <c r="E10" s="486">
        <f>CARATULA!G30</f>
        <v>0</v>
      </c>
      <c r="F10" s="292"/>
      <c r="G10" s="292"/>
      <c r="H10" s="292"/>
      <c r="I10" s="292"/>
      <c r="J10" s="292"/>
      <c r="K10" s="292"/>
      <c r="L10" s="292"/>
      <c r="M10" s="292"/>
      <c r="N10" s="292"/>
      <c r="O10" s="292"/>
      <c r="P10" s="292"/>
      <c r="Q10" s="292"/>
      <c r="R10" s="292"/>
      <c r="S10" s="292"/>
      <c r="T10" s="292"/>
      <c r="U10" s="292"/>
      <c r="V10" s="292"/>
      <c r="W10" s="292"/>
      <c r="X10" s="292"/>
      <c r="Y10" s="292"/>
      <c r="Z10" s="292"/>
      <c r="AA10" s="292"/>
      <c r="AB10" s="292"/>
      <c r="AC10" s="292"/>
      <c r="AD10" s="292"/>
      <c r="AE10" s="292"/>
      <c r="AF10" s="292"/>
      <c r="AG10" s="292"/>
      <c r="AH10" s="292"/>
      <c r="AI10" s="292"/>
      <c r="AJ10" s="292"/>
      <c r="AK10" s="292"/>
      <c r="AL10" s="292"/>
      <c r="AM10" s="292"/>
      <c r="AN10" s="292"/>
      <c r="AO10" s="292"/>
      <c r="AP10" s="292"/>
      <c r="AQ10" s="292"/>
      <c r="AR10" s="292"/>
      <c r="AS10" s="292"/>
      <c r="AT10" s="292"/>
      <c r="AU10" s="292"/>
      <c r="AV10" s="286"/>
      <c r="AW10" s="286"/>
      <c r="AX10" s="286"/>
      <c r="AY10" s="76"/>
      <c r="AZ10" s="76"/>
      <c r="BA10" s="76"/>
      <c r="BB10" s="76"/>
      <c r="BC10" s="76"/>
      <c r="BD10" s="76"/>
      <c r="BE10" s="76"/>
      <c r="BF10" s="301"/>
      <c r="BG10" s="76"/>
      <c r="BH10" s="76"/>
      <c r="BI10" s="77"/>
    </row>
    <row r="11" spans="1:61" ht="15.75" x14ac:dyDescent="0.25">
      <c r="A11" s="72"/>
      <c r="B11" s="73"/>
      <c r="C11" s="74" t="s">
        <v>21</v>
      </c>
      <c r="D11" s="75" t="s">
        <v>6</v>
      </c>
      <c r="E11" s="486">
        <f>CARATULA!G32</f>
        <v>0</v>
      </c>
      <c r="F11" s="292"/>
      <c r="G11" s="292"/>
      <c r="H11" s="292"/>
      <c r="I11" s="292"/>
      <c r="J11" s="292"/>
      <c r="K11" s="292"/>
      <c r="L11" s="292"/>
      <c r="M11" s="292"/>
      <c r="N11" s="292"/>
      <c r="O11" s="292"/>
      <c r="P11" s="292"/>
      <c r="Q11" s="286"/>
      <c r="R11" s="286"/>
      <c r="S11" s="286"/>
      <c r="T11" s="286"/>
      <c r="U11" s="286"/>
      <c r="V11" s="286"/>
      <c r="W11" s="286"/>
      <c r="X11" s="286"/>
      <c r="Y11" s="286"/>
      <c r="Z11" s="286"/>
      <c r="AA11" s="286"/>
      <c r="AB11" s="286"/>
      <c r="AC11" s="286"/>
      <c r="AD11" s="286"/>
      <c r="AE11" s="286"/>
      <c r="AF11" s="286"/>
      <c r="AG11" s="286"/>
      <c r="AH11" s="286"/>
      <c r="AI11" s="286"/>
      <c r="AJ11" s="286"/>
      <c r="AK11" s="286"/>
      <c r="AL11" s="286"/>
      <c r="AM11" s="286"/>
      <c r="AN11" s="286"/>
      <c r="AO11" s="286"/>
      <c r="AP11" s="286"/>
      <c r="AQ11" s="286"/>
      <c r="AR11" s="286"/>
      <c r="AS11" s="286"/>
      <c r="AT11" s="286"/>
      <c r="AU11" s="286"/>
      <c r="AV11" s="286"/>
      <c r="AW11" s="286"/>
      <c r="AX11" s="286"/>
      <c r="AY11" s="76"/>
      <c r="AZ11" s="76"/>
      <c r="BA11" s="76"/>
      <c r="BB11" s="76"/>
      <c r="BC11" s="76"/>
      <c r="BD11" s="76"/>
      <c r="BE11" s="76"/>
      <c r="BF11" s="76"/>
      <c r="BG11" s="76"/>
      <c r="BH11" s="76"/>
      <c r="BI11" s="77"/>
    </row>
    <row r="12" spans="1:61" ht="1.5" customHeight="1" x14ac:dyDescent="0.25">
      <c r="B12" s="67"/>
      <c r="C12" s="68"/>
      <c r="D12" s="68"/>
      <c r="E12" s="68"/>
      <c r="F12" s="68"/>
      <c r="G12" s="68"/>
      <c r="H12" s="68"/>
      <c r="I12" s="68"/>
      <c r="J12" s="68"/>
      <c r="K12" s="68"/>
      <c r="L12" s="68"/>
      <c r="M12" s="68"/>
      <c r="N12" s="68"/>
      <c r="O12" s="68"/>
      <c r="P12" s="68"/>
      <c r="Q12" s="68"/>
      <c r="R12" s="68"/>
      <c r="S12" s="68"/>
      <c r="T12" s="68"/>
      <c r="U12" s="68"/>
      <c r="V12" s="68"/>
      <c r="W12" s="68"/>
      <c r="X12" s="68"/>
      <c r="Y12" s="68"/>
      <c r="Z12" s="68"/>
      <c r="AA12" s="68"/>
      <c r="AB12" s="68"/>
      <c r="AC12" s="68"/>
      <c r="AD12" s="68"/>
      <c r="AE12" s="68"/>
      <c r="AF12" s="68"/>
      <c r="AG12" s="68"/>
      <c r="AH12" s="68"/>
      <c r="AI12" s="68"/>
      <c r="AJ12" s="68"/>
      <c r="AK12" s="68"/>
      <c r="AL12" s="68"/>
      <c r="AM12" s="68"/>
      <c r="AN12" s="68"/>
      <c r="AO12" s="68"/>
      <c r="AP12" s="68"/>
      <c r="AQ12" s="68"/>
      <c r="AR12" s="68"/>
      <c r="AS12" s="68"/>
      <c r="AT12" s="68"/>
      <c r="AU12" s="68"/>
      <c r="AV12" s="68"/>
      <c r="AW12" s="68"/>
      <c r="AX12" s="68"/>
      <c r="AY12" s="68"/>
      <c r="AZ12" s="68"/>
      <c r="BA12" s="68"/>
      <c r="BB12" s="68"/>
      <c r="BC12" s="68"/>
      <c r="BD12" s="68"/>
      <c r="BE12" s="68"/>
      <c r="BF12" s="68"/>
      <c r="BG12" s="68"/>
      <c r="BH12" s="68"/>
      <c r="BI12" s="69"/>
    </row>
    <row r="13" spans="1:61" x14ac:dyDescent="0.25">
      <c r="A13" s="72"/>
      <c r="B13" s="595" t="s">
        <v>41</v>
      </c>
      <c r="C13" s="608" t="s">
        <v>23</v>
      </c>
      <c r="D13" s="608"/>
      <c r="E13" s="597" t="s">
        <v>236</v>
      </c>
      <c r="F13" s="597"/>
      <c r="G13" s="597"/>
      <c r="H13" s="597"/>
      <c r="I13" s="597"/>
      <c r="J13" s="597"/>
      <c r="K13" s="597"/>
      <c r="L13" s="597"/>
      <c r="M13" s="597"/>
      <c r="N13" s="597"/>
      <c r="O13" s="597"/>
      <c r="P13" s="597"/>
      <c r="Q13" s="597"/>
      <c r="R13" s="597"/>
      <c r="S13" s="597"/>
      <c r="T13" s="597"/>
      <c r="U13" s="597"/>
      <c r="V13" s="597"/>
      <c r="W13" s="597"/>
      <c r="X13" s="597"/>
      <c r="Y13" s="597"/>
      <c r="Z13" s="597"/>
      <c r="AA13" s="597"/>
      <c r="AB13" s="597"/>
      <c r="AC13" s="597"/>
      <c r="AD13" s="597"/>
      <c r="AE13" s="597"/>
      <c r="AF13" s="597"/>
      <c r="AG13" s="597"/>
      <c r="AH13" s="597"/>
      <c r="AI13" s="597"/>
      <c r="AJ13" s="597"/>
      <c r="AK13" s="597"/>
      <c r="AL13" s="597"/>
      <c r="AM13" s="597"/>
      <c r="AN13" s="597"/>
      <c r="AO13" s="597"/>
      <c r="AP13" s="597"/>
      <c r="AQ13" s="597"/>
      <c r="AR13" s="597"/>
      <c r="AS13" s="597"/>
      <c r="AT13" s="597"/>
      <c r="AU13" s="597"/>
      <c r="AV13" s="597"/>
      <c r="AW13" s="597"/>
      <c r="AX13" s="597"/>
      <c r="AY13" s="597"/>
      <c r="AZ13" s="597"/>
      <c r="BA13" s="597"/>
      <c r="BB13" s="597"/>
      <c r="BC13" s="597"/>
      <c r="BD13" s="598"/>
      <c r="BE13" s="599" t="s">
        <v>42</v>
      </c>
      <c r="BF13" s="599"/>
      <c r="BG13" s="599"/>
      <c r="BH13" s="600"/>
      <c r="BI13" s="605" t="s">
        <v>237</v>
      </c>
    </row>
    <row r="14" spans="1:61" ht="68.25" customHeight="1" thickBot="1" x14ac:dyDescent="0.3">
      <c r="A14" s="72"/>
      <c r="B14" s="596"/>
      <c r="C14" s="609"/>
      <c r="D14" s="609"/>
      <c r="E14" s="264">
        <v>43507</v>
      </c>
      <c r="F14" s="264"/>
      <c r="G14" s="264"/>
      <c r="H14" s="264"/>
      <c r="I14" s="264"/>
      <c r="J14" s="264"/>
      <c r="K14" s="264"/>
      <c r="L14" s="264"/>
      <c r="M14" s="264"/>
      <c r="N14" s="264"/>
      <c r="O14" s="264"/>
      <c r="P14" s="264"/>
      <c r="Q14" s="264"/>
      <c r="R14" s="264"/>
      <c r="S14" s="264"/>
      <c r="T14" s="264"/>
      <c r="U14" s="264"/>
      <c r="V14" s="264"/>
      <c r="W14" s="264"/>
      <c r="X14" s="264"/>
      <c r="Y14" s="264"/>
      <c r="Z14" s="264"/>
      <c r="AA14" s="264"/>
      <c r="AB14" s="264"/>
      <c r="AC14" s="264"/>
      <c r="AD14" s="264"/>
      <c r="AE14" s="264"/>
      <c r="AF14" s="264"/>
      <c r="AG14" s="264"/>
      <c r="AH14" s="264"/>
      <c r="AI14" s="264"/>
      <c r="AJ14" s="264"/>
      <c r="AK14" s="264"/>
      <c r="AL14" s="264"/>
      <c r="AM14" s="264"/>
      <c r="AN14" s="264"/>
      <c r="AO14" s="264"/>
      <c r="AP14" s="264"/>
      <c r="AQ14" s="264"/>
      <c r="AR14" s="264"/>
      <c r="AS14" s="264"/>
      <c r="AT14" s="264"/>
      <c r="AU14" s="264"/>
      <c r="AV14" s="264"/>
      <c r="AW14" s="264"/>
      <c r="AX14" s="264"/>
      <c r="AY14" s="264"/>
      <c r="AZ14" s="264"/>
      <c r="BA14" s="264"/>
      <c r="BB14" s="264"/>
      <c r="BC14" s="264"/>
      <c r="BD14" s="265"/>
      <c r="BE14" s="96" t="s">
        <v>196</v>
      </c>
      <c r="BF14" s="96" t="s">
        <v>197</v>
      </c>
      <c r="BG14" s="96" t="s">
        <v>198</v>
      </c>
      <c r="BH14" s="97" t="s">
        <v>199</v>
      </c>
      <c r="BI14" s="606"/>
    </row>
    <row r="15" spans="1:61" x14ac:dyDescent="0.25">
      <c r="B15" s="81">
        <v>1</v>
      </c>
      <c r="C15" s="610" t="str">
        <f>'C. FILIACION'!C14</f>
        <v>SUAREZ EVELIN ISELA</v>
      </c>
      <c r="D15" s="610"/>
      <c r="E15" s="262" t="s">
        <v>243</v>
      </c>
      <c r="F15" s="262"/>
      <c r="G15" s="262"/>
      <c r="H15" s="262"/>
      <c r="I15" s="262"/>
      <c r="J15" s="262"/>
      <c r="K15" s="262"/>
      <c r="L15" s="262"/>
      <c r="M15" s="262"/>
      <c r="N15" s="262"/>
      <c r="O15" s="262"/>
      <c r="P15" s="262"/>
      <c r="Q15" s="262"/>
      <c r="R15" s="262"/>
      <c r="S15" s="262"/>
      <c r="T15" s="262"/>
      <c r="U15" s="262"/>
      <c r="V15" s="262"/>
      <c r="W15" s="262"/>
      <c r="X15" s="262"/>
      <c r="Y15" s="262"/>
      <c r="Z15" s="262"/>
      <c r="AA15" s="262"/>
      <c r="AB15" s="262"/>
      <c r="AC15" s="262"/>
      <c r="AD15" s="262"/>
      <c r="AE15" s="262"/>
      <c r="AF15" s="262"/>
      <c r="AG15" s="262"/>
      <c r="AH15" s="262"/>
      <c r="AI15" s="262"/>
      <c r="AJ15" s="262"/>
      <c r="AK15" s="262"/>
      <c r="AL15" s="262"/>
      <c r="AM15" s="262"/>
      <c r="AN15" s="262"/>
      <c r="AO15" s="262"/>
      <c r="AP15" s="262"/>
      <c r="AQ15" s="262"/>
      <c r="AR15" s="262"/>
      <c r="AS15" s="262"/>
      <c r="AT15" s="262"/>
      <c r="AU15" s="262"/>
      <c r="AV15" s="262"/>
      <c r="AW15" s="262"/>
      <c r="AX15" s="262"/>
      <c r="AY15" s="262"/>
      <c r="AZ15" s="262"/>
      <c r="BA15" s="262"/>
      <c r="BB15" s="262"/>
      <c r="BC15" s="262"/>
      <c r="BD15" s="262"/>
      <c r="BE15" s="487">
        <f t="shared" ref="BE15:BE59" si="0">IF(COUNTIF(E15:BD15,"A")=0,"",COUNTIF(E15:BD15,"A"))</f>
        <v>1</v>
      </c>
      <c r="BF15" s="487" t="str">
        <f t="shared" ref="BF15:BF59" si="1">IF(COUNTIF(E15:BD15,"F")=0,"",COUNTIF(E15:BD15,"F"))</f>
        <v/>
      </c>
      <c r="BG15" s="487" t="str">
        <f t="shared" ref="BG15:BG59" si="2">IF(COUNTIF(E15:BD15,"R")=0,"",COUNTIF(E15:BD15,"R"))</f>
        <v/>
      </c>
      <c r="BH15" s="488" t="str">
        <f t="shared" ref="BH15:BH59" si="3">IF(COUNTIF(E15:BD15,"L")=0,"",COUNTIF(E15:BD15,"L"))</f>
        <v/>
      </c>
      <c r="BI15" s="489">
        <f>IF((IF(BE15="",0,BE15)+IF(BG15="",0,BG15))=0,"",(IF(BE15="",0,BE15)+IF(BG15="",0,BG15)))</f>
        <v>1</v>
      </c>
    </row>
    <row r="16" spans="1:61" x14ac:dyDescent="0.25">
      <c r="B16" s="82">
        <v>2</v>
      </c>
      <c r="C16" s="604" t="str">
        <f>'C. FILIACION'!C15</f>
        <v>ALARCON  VARGAS JAIR ALEXIS</v>
      </c>
      <c r="D16" s="604"/>
      <c r="E16" s="262" t="s">
        <v>243</v>
      </c>
      <c r="F16" s="262"/>
      <c r="G16" s="262"/>
      <c r="H16" s="262"/>
      <c r="I16" s="262"/>
      <c r="J16" s="262"/>
      <c r="K16" s="262"/>
      <c r="L16" s="262"/>
      <c r="M16" s="262"/>
      <c r="N16" s="262"/>
      <c r="O16" s="262"/>
      <c r="P16" s="262"/>
      <c r="Q16" s="262"/>
      <c r="R16" s="262"/>
      <c r="S16" s="262"/>
      <c r="T16" s="262"/>
      <c r="U16" s="262"/>
      <c r="V16" s="262"/>
      <c r="W16" s="262"/>
      <c r="X16" s="262"/>
      <c r="Y16" s="262"/>
      <c r="Z16" s="262"/>
      <c r="AA16" s="262"/>
      <c r="AB16" s="262"/>
      <c r="AC16" s="262"/>
      <c r="AD16" s="262"/>
      <c r="AE16" s="262"/>
      <c r="AF16" s="262"/>
      <c r="AG16" s="262"/>
      <c r="AH16" s="262"/>
      <c r="AI16" s="262"/>
      <c r="AJ16" s="262"/>
      <c r="AK16" s="262"/>
      <c r="AL16" s="262"/>
      <c r="AM16" s="262"/>
      <c r="AN16" s="262"/>
      <c r="AO16" s="262"/>
      <c r="AP16" s="262"/>
      <c r="AQ16" s="262"/>
      <c r="AR16" s="262"/>
      <c r="AS16" s="262"/>
      <c r="AT16" s="262"/>
      <c r="AU16" s="262"/>
      <c r="AV16" s="262"/>
      <c r="AW16" s="262"/>
      <c r="AX16" s="262"/>
      <c r="AY16" s="262"/>
      <c r="AZ16" s="262"/>
      <c r="BA16" s="262"/>
      <c r="BB16" s="262"/>
      <c r="BC16" s="262"/>
      <c r="BD16" s="262"/>
      <c r="BE16" s="490">
        <f t="shared" si="0"/>
        <v>1</v>
      </c>
      <c r="BF16" s="490" t="str">
        <f t="shared" si="1"/>
        <v/>
      </c>
      <c r="BG16" s="490" t="str">
        <f t="shared" si="2"/>
        <v/>
      </c>
      <c r="BH16" s="491" t="str">
        <f t="shared" si="3"/>
        <v/>
      </c>
      <c r="BI16" s="492">
        <f t="shared" ref="BI16:BI59" si="4">IF((IF(BE16="",0,BE16)+IF(BG16="",0,BG16))=0,"",(IF(BE16="",0,BE16)+IF(BG16="",0,BG16)))</f>
        <v>1</v>
      </c>
    </row>
    <row r="17" spans="2:61" x14ac:dyDescent="0.25">
      <c r="B17" s="82">
        <v>3</v>
      </c>
      <c r="C17" s="604" t="str">
        <f>'C. FILIACION'!C16</f>
        <v>AÑAZGO  VARGAS NOELIA</v>
      </c>
      <c r="D17" s="604"/>
      <c r="E17" s="262" t="s">
        <v>243</v>
      </c>
      <c r="F17" s="262"/>
      <c r="G17" s="262"/>
      <c r="H17" s="262"/>
      <c r="I17" s="262"/>
      <c r="J17" s="262"/>
      <c r="K17" s="262"/>
      <c r="L17" s="262"/>
      <c r="M17" s="262"/>
      <c r="N17" s="262"/>
      <c r="O17" s="262"/>
      <c r="P17" s="262"/>
      <c r="Q17" s="262"/>
      <c r="R17" s="262"/>
      <c r="S17" s="262"/>
      <c r="T17" s="262"/>
      <c r="U17" s="262"/>
      <c r="V17" s="262"/>
      <c r="W17" s="262"/>
      <c r="X17" s="262"/>
      <c r="Y17" s="262"/>
      <c r="Z17" s="262"/>
      <c r="AA17" s="262"/>
      <c r="AB17" s="262"/>
      <c r="AC17" s="262"/>
      <c r="AD17" s="262"/>
      <c r="AE17" s="262"/>
      <c r="AF17" s="262"/>
      <c r="AG17" s="262"/>
      <c r="AH17" s="262"/>
      <c r="AI17" s="262"/>
      <c r="AJ17" s="262"/>
      <c r="AK17" s="262"/>
      <c r="AL17" s="262"/>
      <c r="AM17" s="262"/>
      <c r="AN17" s="262"/>
      <c r="AO17" s="262"/>
      <c r="AP17" s="262"/>
      <c r="AQ17" s="262"/>
      <c r="AR17" s="262"/>
      <c r="AS17" s="262"/>
      <c r="AT17" s="262"/>
      <c r="AU17" s="262"/>
      <c r="AV17" s="262"/>
      <c r="AW17" s="262"/>
      <c r="AX17" s="262"/>
      <c r="AY17" s="262"/>
      <c r="AZ17" s="262"/>
      <c r="BA17" s="262"/>
      <c r="BB17" s="262"/>
      <c r="BC17" s="262"/>
      <c r="BD17" s="262"/>
      <c r="BE17" s="490">
        <f t="shared" si="0"/>
        <v>1</v>
      </c>
      <c r="BF17" s="490" t="str">
        <f t="shared" si="1"/>
        <v/>
      </c>
      <c r="BG17" s="490" t="str">
        <f t="shared" si="2"/>
        <v/>
      </c>
      <c r="BH17" s="491" t="str">
        <f t="shared" si="3"/>
        <v/>
      </c>
      <c r="BI17" s="492">
        <f t="shared" si="4"/>
        <v>1</v>
      </c>
    </row>
    <row r="18" spans="2:61" x14ac:dyDescent="0.25">
      <c r="B18" s="82">
        <v>4</v>
      </c>
      <c r="C18" s="604" t="str">
        <f>'C. FILIACION'!C17</f>
        <v>AQUISE HINOJOSA YHAMIR FABIO</v>
      </c>
      <c r="D18" s="604"/>
      <c r="E18" s="262" t="s">
        <v>243</v>
      </c>
      <c r="F18" s="262"/>
      <c r="G18" s="262"/>
      <c r="H18" s="262"/>
      <c r="I18" s="262"/>
      <c r="J18" s="262"/>
      <c r="K18" s="262"/>
      <c r="L18" s="262"/>
      <c r="M18" s="262"/>
      <c r="N18" s="262"/>
      <c r="O18" s="262"/>
      <c r="P18" s="262"/>
      <c r="Q18" s="262"/>
      <c r="R18" s="262"/>
      <c r="S18" s="262"/>
      <c r="T18" s="262"/>
      <c r="U18" s="262"/>
      <c r="V18" s="262"/>
      <c r="W18" s="262"/>
      <c r="X18" s="262"/>
      <c r="Y18" s="262"/>
      <c r="Z18" s="262"/>
      <c r="AA18" s="262"/>
      <c r="AB18" s="262"/>
      <c r="AC18" s="262"/>
      <c r="AD18" s="262"/>
      <c r="AE18" s="262"/>
      <c r="AF18" s="262"/>
      <c r="AG18" s="262"/>
      <c r="AH18" s="262"/>
      <c r="AI18" s="262"/>
      <c r="AJ18" s="262"/>
      <c r="AK18" s="262"/>
      <c r="AL18" s="262"/>
      <c r="AM18" s="262"/>
      <c r="AN18" s="262"/>
      <c r="AO18" s="262"/>
      <c r="AP18" s="262"/>
      <c r="AQ18" s="262"/>
      <c r="AR18" s="262"/>
      <c r="AS18" s="262"/>
      <c r="AT18" s="262"/>
      <c r="AU18" s="262"/>
      <c r="AV18" s="262"/>
      <c r="AW18" s="262"/>
      <c r="AX18" s="262"/>
      <c r="AY18" s="262"/>
      <c r="AZ18" s="262"/>
      <c r="BA18" s="262"/>
      <c r="BB18" s="262"/>
      <c r="BC18" s="262"/>
      <c r="BD18" s="262"/>
      <c r="BE18" s="490">
        <f t="shared" si="0"/>
        <v>1</v>
      </c>
      <c r="BF18" s="490" t="str">
        <f t="shared" si="1"/>
        <v/>
      </c>
      <c r="BG18" s="490" t="str">
        <f t="shared" si="2"/>
        <v/>
      </c>
      <c r="BH18" s="491" t="str">
        <f t="shared" si="3"/>
        <v/>
      </c>
      <c r="BI18" s="492">
        <f t="shared" si="4"/>
        <v>1</v>
      </c>
    </row>
    <row r="19" spans="2:61" x14ac:dyDescent="0.25">
      <c r="B19" s="82">
        <v>5</v>
      </c>
      <c r="C19" s="604" t="str">
        <f>'C. FILIACION'!C18</f>
        <v>ARGANI  LAREDO MARIA JESUS</v>
      </c>
      <c r="D19" s="604"/>
      <c r="E19" s="262" t="s">
        <v>243</v>
      </c>
      <c r="F19" s="262"/>
      <c r="G19" s="262"/>
      <c r="H19" s="262"/>
      <c r="I19" s="262"/>
      <c r="J19" s="262"/>
      <c r="K19" s="262"/>
      <c r="L19" s="262"/>
      <c r="M19" s="262"/>
      <c r="N19" s="262"/>
      <c r="O19" s="262"/>
      <c r="P19" s="262"/>
      <c r="Q19" s="262"/>
      <c r="R19" s="262"/>
      <c r="S19" s="262"/>
      <c r="T19" s="262"/>
      <c r="U19" s="262"/>
      <c r="V19" s="262"/>
      <c r="W19" s="262"/>
      <c r="X19" s="262"/>
      <c r="Y19" s="262"/>
      <c r="Z19" s="262"/>
      <c r="AA19" s="262"/>
      <c r="AB19" s="262"/>
      <c r="AC19" s="262"/>
      <c r="AD19" s="262"/>
      <c r="AE19" s="262"/>
      <c r="AF19" s="262"/>
      <c r="AG19" s="262"/>
      <c r="AH19" s="262"/>
      <c r="AI19" s="262"/>
      <c r="AJ19" s="262"/>
      <c r="AK19" s="262"/>
      <c r="AL19" s="262"/>
      <c r="AM19" s="262"/>
      <c r="AN19" s="262"/>
      <c r="AO19" s="262"/>
      <c r="AP19" s="262"/>
      <c r="AQ19" s="262"/>
      <c r="AR19" s="262"/>
      <c r="AS19" s="262"/>
      <c r="AT19" s="262"/>
      <c r="AU19" s="262"/>
      <c r="AV19" s="262"/>
      <c r="AW19" s="262"/>
      <c r="AX19" s="262"/>
      <c r="AY19" s="262"/>
      <c r="AZ19" s="262"/>
      <c r="BA19" s="262"/>
      <c r="BB19" s="262"/>
      <c r="BC19" s="262"/>
      <c r="BD19" s="262"/>
      <c r="BE19" s="490">
        <f t="shared" si="0"/>
        <v>1</v>
      </c>
      <c r="BF19" s="490" t="str">
        <f t="shared" si="1"/>
        <v/>
      </c>
      <c r="BG19" s="490" t="str">
        <f t="shared" si="2"/>
        <v/>
      </c>
      <c r="BH19" s="491" t="str">
        <f t="shared" si="3"/>
        <v/>
      </c>
      <c r="BI19" s="492">
        <f t="shared" si="4"/>
        <v>1</v>
      </c>
    </row>
    <row r="20" spans="2:61" x14ac:dyDescent="0.25">
      <c r="B20" s="82">
        <v>6</v>
      </c>
      <c r="C20" s="604" t="str">
        <f>'C. FILIACION'!C19</f>
        <v>AYLLON MOLLO RONNY BRUCE</v>
      </c>
      <c r="D20" s="604"/>
      <c r="E20" s="262" t="s">
        <v>243</v>
      </c>
      <c r="F20" s="262"/>
      <c r="G20" s="262"/>
      <c r="H20" s="262"/>
      <c r="I20" s="262"/>
      <c r="J20" s="262"/>
      <c r="K20" s="262"/>
      <c r="L20" s="262"/>
      <c r="M20" s="262"/>
      <c r="N20" s="262"/>
      <c r="O20" s="262"/>
      <c r="P20" s="262"/>
      <c r="Q20" s="262"/>
      <c r="R20" s="262"/>
      <c r="S20" s="262"/>
      <c r="T20" s="262"/>
      <c r="U20" s="262"/>
      <c r="V20" s="262"/>
      <c r="W20" s="262"/>
      <c r="X20" s="262"/>
      <c r="Y20" s="262"/>
      <c r="Z20" s="262"/>
      <c r="AA20" s="262"/>
      <c r="AB20" s="262"/>
      <c r="AC20" s="262"/>
      <c r="AD20" s="262"/>
      <c r="AE20" s="262"/>
      <c r="AF20" s="262"/>
      <c r="AG20" s="262"/>
      <c r="AH20" s="262"/>
      <c r="AI20" s="262"/>
      <c r="AJ20" s="262"/>
      <c r="AK20" s="262"/>
      <c r="AL20" s="262"/>
      <c r="AM20" s="262"/>
      <c r="AN20" s="262"/>
      <c r="AO20" s="262"/>
      <c r="AP20" s="262"/>
      <c r="AQ20" s="262"/>
      <c r="AR20" s="262"/>
      <c r="AS20" s="262"/>
      <c r="AT20" s="262"/>
      <c r="AU20" s="262"/>
      <c r="AV20" s="262"/>
      <c r="AW20" s="262"/>
      <c r="AX20" s="262"/>
      <c r="AY20" s="262"/>
      <c r="AZ20" s="262"/>
      <c r="BA20" s="262"/>
      <c r="BB20" s="262"/>
      <c r="BC20" s="262"/>
      <c r="BD20" s="262"/>
      <c r="BE20" s="490">
        <f t="shared" si="0"/>
        <v>1</v>
      </c>
      <c r="BF20" s="490" t="str">
        <f t="shared" si="1"/>
        <v/>
      </c>
      <c r="BG20" s="490" t="str">
        <f t="shared" si="2"/>
        <v/>
      </c>
      <c r="BH20" s="491" t="str">
        <f t="shared" si="3"/>
        <v/>
      </c>
      <c r="BI20" s="492">
        <f t="shared" si="4"/>
        <v>1</v>
      </c>
    </row>
    <row r="21" spans="2:61" x14ac:dyDescent="0.25">
      <c r="B21" s="82">
        <v>7</v>
      </c>
      <c r="C21" s="604" t="str">
        <f>'C. FILIACION'!C20</f>
        <v>BALBOA  PAZ ANTHONY JR</v>
      </c>
      <c r="D21" s="604"/>
      <c r="E21" s="262" t="s">
        <v>43</v>
      </c>
      <c r="F21" s="262"/>
      <c r="G21" s="262"/>
      <c r="H21" s="262"/>
      <c r="I21" s="262"/>
      <c r="J21" s="262"/>
      <c r="K21" s="262"/>
      <c r="L21" s="262"/>
      <c r="M21" s="262"/>
      <c r="N21" s="262"/>
      <c r="O21" s="262"/>
      <c r="P21" s="262"/>
      <c r="Q21" s="262"/>
      <c r="R21" s="262"/>
      <c r="S21" s="262"/>
      <c r="T21" s="262"/>
      <c r="U21" s="262"/>
      <c r="V21" s="262"/>
      <c r="W21" s="262"/>
      <c r="X21" s="262"/>
      <c r="Y21" s="262"/>
      <c r="Z21" s="262"/>
      <c r="AA21" s="262"/>
      <c r="AB21" s="262"/>
      <c r="AC21" s="262"/>
      <c r="AD21" s="262"/>
      <c r="AE21" s="262"/>
      <c r="AF21" s="262"/>
      <c r="AG21" s="262"/>
      <c r="AH21" s="262"/>
      <c r="AI21" s="262"/>
      <c r="AJ21" s="262"/>
      <c r="AK21" s="262"/>
      <c r="AL21" s="262"/>
      <c r="AM21" s="262"/>
      <c r="AN21" s="262"/>
      <c r="AO21" s="262"/>
      <c r="AP21" s="262"/>
      <c r="AQ21" s="262"/>
      <c r="AR21" s="262"/>
      <c r="AS21" s="262"/>
      <c r="AT21" s="262"/>
      <c r="AU21" s="262"/>
      <c r="AV21" s="262"/>
      <c r="AW21" s="262"/>
      <c r="AX21" s="262"/>
      <c r="AY21" s="262"/>
      <c r="AZ21" s="262"/>
      <c r="BA21" s="262"/>
      <c r="BB21" s="262"/>
      <c r="BC21" s="262"/>
      <c r="BD21" s="262"/>
      <c r="BE21" s="490" t="str">
        <f t="shared" si="0"/>
        <v/>
      </c>
      <c r="BF21" s="490">
        <f t="shared" si="1"/>
        <v>1</v>
      </c>
      <c r="BG21" s="490" t="str">
        <f t="shared" si="2"/>
        <v/>
      </c>
      <c r="BH21" s="491" t="str">
        <f t="shared" si="3"/>
        <v/>
      </c>
      <c r="BI21" s="492" t="str">
        <f t="shared" si="4"/>
        <v/>
      </c>
    </row>
    <row r="22" spans="2:61" x14ac:dyDescent="0.25">
      <c r="B22" s="82">
        <v>8</v>
      </c>
      <c r="C22" s="604" t="str">
        <f>'C. FILIACION'!C21</f>
        <v>CAMACHO SALGADO LEONARDO</v>
      </c>
      <c r="D22" s="604"/>
      <c r="E22" s="262" t="s">
        <v>243</v>
      </c>
      <c r="F22" s="262"/>
      <c r="G22" s="262"/>
      <c r="H22" s="262"/>
      <c r="I22" s="262"/>
      <c r="J22" s="262"/>
      <c r="K22" s="262"/>
      <c r="L22" s="262"/>
      <c r="M22" s="262"/>
      <c r="N22" s="262"/>
      <c r="O22" s="262"/>
      <c r="P22" s="262"/>
      <c r="Q22" s="262"/>
      <c r="R22" s="262"/>
      <c r="S22" s="262"/>
      <c r="T22" s="262"/>
      <c r="U22" s="262"/>
      <c r="V22" s="262"/>
      <c r="W22" s="262"/>
      <c r="X22" s="262"/>
      <c r="Y22" s="262"/>
      <c r="Z22" s="262"/>
      <c r="AA22" s="262"/>
      <c r="AB22" s="262"/>
      <c r="AC22" s="262"/>
      <c r="AD22" s="262"/>
      <c r="AE22" s="262"/>
      <c r="AF22" s="262"/>
      <c r="AG22" s="262"/>
      <c r="AH22" s="262"/>
      <c r="AI22" s="262"/>
      <c r="AJ22" s="262"/>
      <c r="AK22" s="262"/>
      <c r="AL22" s="262"/>
      <c r="AM22" s="262"/>
      <c r="AN22" s="262"/>
      <c r="AO22" s="262"/>
      <c r="AP22" s="262"/>
      <c r="AQ22" s="262"/>
      <c r="AR22" s="262"/>
      <c r="AS22" s="262"/>
      <c r="AT22" s="262"/>
      <c r="AU22" s="262"/>
      <c r="AV22" s="262"/>
      <c r="AW22" s="262"/>
      <c r="AX22" s="262"/>
      <c r="AY22" s="262"/>
      <c r="AZ22" s="262"/>
      <c r="BA22" s="262"/>
      <c r="BB22" s="262"/>
      <c r="BC22" s="262"/>
      <c r="BD22" s="262"/>
      <c r="BE22" s="490">
        <f t="shared" si="0"/>
        <v>1</v>
      </c>
      <c r="BF22" s="490" t="str">
        <f t="shared" si="1"/>
        <v/>
      </c>
      <c r="BG22" s="490" t="str">
        <f t="shared" si="2"/>
        <v/>
      </c>
      <c r="BH22" s="491" t="str">
        <f t="shared" si="3"/>
        <v/>
      </c>
      <c r="BI22" s="492">
        <f t="shared" si="4"/>
        <v>1</v>
      </c>
    </row>
    <row r="23" spans="2:61" x14ac:dyDescent="0.25">
      <c r="B23" s="82">
        <v>9</v>
      </c>
      <c r="C23" s="604" t="str">
        <f>'C. FILIACION'!C22</f>
        <v>CARRION MARGUAY FABIANA ALEXANDRA</v>
      </c>
      <c r="D23" s="604"/>
      <c r="E23" s="262" t="s">
        <v>243</v>
      </c>
      <c r="F23" s="262"/>
      <c r="G23" s="262"/>
      <c r="H23" s="262"/>
      <c r="I23" s="262"/>
      <c r="J23" s="262"/>
      <c r="K23" s="262"/>
      <c r="L23" s="262"/>
      <c r="M23" s="262"/>
      <c r="N23" s="262"/>
      <c r="O23" s="262"/>
      <c r="P23" s="262"/>
      <c r="Q23" s="262"/>
      <c r="R23" s="262"/>
      <c r="S23" s="262"/>
      <c r="T23" s="262"/>
      <c r="U23" s="262"/>
      <c r="V23" s="262"/>
      <c r="W23" s="262"/>
      <c r="X23" s="262"/>
      <c r="Y23" s="262"/>
      <c r="Z23" s="262"/>
      <c r="AA23" s="262"/>
      <c r="AB23" s="262"/>
      <c r="AC23" s="262"/>
      <c r="AD23" s="262"/>
      <c r="AE23" s="262"/>
      <c r="AF23" s="262"/>
      <c r="AG23" s="262"/>
      <c r="AH23" s="262"/>
      <c r="AI23" s="262"/>
      <c r="AJ23" s="262"/>
      <c r="AK23" s="262"/>
      <c r="AL23" s="262"/>
      <c r="AM23" s="262"/>
      <c r="AN23" s="262"/>
      <c r="AO23" s="262"/>
      <c r="AP23" s="262"/>
      <c r="AQ23" s="262"/>
      <c r="AR23" s="262"/>
      <c r="AS23" s="262"/>
      <c r="AT23" s="262"/>
      <c r="AU23" s="262"/>
      <c r="AV23" s="262"/>
      <c r="AW23" s="262"/>
      <c r="AX23" s="262"/>
      <c r="AY23" s="262"/>
      <c r="AZ23" s="262"/>
      <c r="BA23" s="262"/>
      <c r="BB23" s="262"/>
      <c r="BC23" s="262"/>
      <c r="BD23" s="262"/>
      <c r="BE23" s="490">
        <f t="shared" si="0"/>
        <v>1</v>
      </c>
      <c r="BF23" s="490" t="str">
        <f t="shared" si="1"/>
        <v/>
      </c>
      <c r="BG23" s="490" t="str">
        <f t="shared" si="2"/>
        <v/>
      </c>
      <c r="BH23" s="491" t="str">
        <f t="shared" si="3"/>
        <v/>
      </c>
      <c r="BI23" s="492">
        <f t="shared" si="4"/>
        <v>1</v>
      </c>
    </row>
    <row r="24" spans="2:61" x14ac:dyDescent="0.25">
      <c r="B24" s="82">
        <v>10</v>
      </c>
      <c r="C24" s="604" t="str">
        <f>'C. FILIACION'!C23</f>
        <v>CAYO CALLE JUAN PABLO</v>
      </c>
      <c r="D24" s="604"/>
      <c r="E24" s="262" t="s">
        <v>243</v>
      </c>
      <c r="F24" s="262"/>
      <c r="G24" s="262"/>
      <c r="H24" s="262"/>
      <c r="I24" s="262"/>
      <c r="J24" s="262"/>
      <c r="K24" s="262"/>
      <c r="L24" s="262"/>
      <c r="M24" s="262"/>
      <c r="N24" s="262"/>
      <c r="O24" s="262"/>
      <c r="P24" s="262"/>
      <c r="Q24" s="262"/>
      <c r="R24" s="262"/>
      <c r="S24" s="262"/>
      <c r="T24" s="262"/>
      <c r="U24" s="262"/>
      <c r="V24" s="262"/>
      <c r="W24" s="262"/>
      <c r="X24" s="262"/>
      <c r="Y24" s="262"/>
      <c r="Z24" s="262"/>
      <c r="AA24" s="262"/>
      <c r="AB24" s="262"/>
      <c r="AC24" s="262"/>
      <c r="AD24" s="262"/>
      <c r="AE24" s="262"/>
      <c r="AF24" s="262"/>
      <c r="AG24" s="262"/>
      <c r="AH24" s="262"/>
      <c r="AI24" s="262"/>
      <c r="AJ24" s="262"/>
      <c r="AK24" s="262"/>
      <c r="AL24" s="262"/>
      <c r="AM24" s="262"/>
      <c r="AN24" s="262"/>
      <c r="AO24" s="262"/>
      <c r="AP24" s="262"/>
      <c r="AQ24" s="262"/>
      <c r="AR24" s="262"/>
      <c r="AS24" s="262"/>
      <c r="AT24" s="262"/>
      <c r="AU24" s="262"/>
      <c r="AV24" s="262"/>
      <c r="AW24" s="262"/>
      <c r="AX24" s="262"/>
      <c r="AY24" s="262"/>
      <c r="AZ24" s="262"/>
      <c r="BA24" s="262"/>
      <c r="BB24" s="262"/>
      <c r="BC24" s="262"/>
      <c r="BD24" s="262"/>
      <c r="BE24" s="490">
        <f t="shared" si="0"/>
        <v>1</v>
      </c>
      <c r="BF24" s="490" t="str">
        <f t="shared" si="1"/>
        <v/>
      </c>
      <c r="BG24" s="490" t="str">
        <f t="shared" si="2"/>
        <v/>
      </c>
      <c r="BH24" s="491" t="str">
        <f t="shared" si="3"/>
        <v/>
      </c>
      <c r="BI24" s="492">
        <f t="shared" si="4"/>
        <v>1</v>
      </c>
    </row>
    <row r="25" spans="2:61" x14ac:dyDescent="0.25">
      <c r="B25" s="82">
        <v>11</v>
      </c>
      <c r="C25" s="604" t="str">
        <f>'C. FILIACION'!C24</f>
        <v>CONDE ZARATE ASHLY OTHANY</v>
      </c>
      <c r="D25" s="604"/>
      <c r="E25" s="262" t="s">
        <v>243</v>
      </c>
      <c r="F25" s="262"/>
      <c r="G25" s="262"/>
      <c r="H25" s="262"/>
      <c r="I25" s="262"/>
      <c r="J25" s="262"/>
      <c r="K25" s="262"/>
      <c r="L25" s="262"/>
      <c r="M25" s="262"/>
      <c r="N25" s="262"/>
      <c r="O25" s="262"/>
      <c r="P25" s="262"/>
      <c r="Q25" s="262"/>
      <c r="R25" s="262"/>
      <c r="S25" s="262"/>
      <c r="T25" s="262"/>
      <c r="U25" s="262"/>
      <c r="V25" s="262"/>
      <c r="W25" s="262"/>
      <c r="X25" s="262"/>
      <c r="Y25" s="262"/>
      <c r="Z25" s="262"/>
      <c r="AA25" s="262"/>
      <c r="AB25" s="262"/>
      <c r="AC25" s="262"/>
      <c r="AD25" s="262"/>
      <c r="AE25" s="262"/>
      <c r="AF25" s="262"/>
      <c r="AG25" s="262"/>
      <c r="AH25" s="262"/>
      <c r="AI25" s="262"/>
      <c r="AJ25" s="262"/>
      <c r="AK25" s="262"/>
      <c r="AL25" s="262"/>
      <c r="AM25" s="262"/>
      <c r="AN25" s="262"/>
      <c r="AO25" s="262"/>
      <c r="AP25" s="262"/>
      <c r="AQ25" s="262"/>
      <c r="AR25" s="262"/>
      <c r="AS25" s="262"/>
      <c r="AT25" s="262"/>
      <c r="AU25" s="262"/>
      <c r="AV25" s="262"/>
      <c r="AW25" s="262"/>
      <c r="AX25" s="262"/>
      <c r="AY25" s="262"/>
      <c r="AZ25" s="262"/>
      <c r="BA25" s="262"/>
      <c r="BB25" s="262"/>
      <c r="BC25" s="262"/>
      <c r="BD25" s="262"/>
      <c r="BE25" s="490">
        <f t="shared" si="0"/>
        <v>1</v>
      </c>
      <c r="BF25" s="490" t="str">
        <f t="shared" si="1"/>
        <v/>
      </c>
      <c r="BG25" s="490" t="str">
        <f t="shared" si="2"/>
        <v/>
      </c>
      <c r="BH25" s="491" t="str">
        <f t="shared" si="3"/>
        <v/>
      </c>
      <c r="BI25" s="492">
        <f t="shared" si="4"/>
        <v>1</v>
      </c>
    </row>
    <row r="26" spans="2:61" x14ac:dyDescent="0.25">
      <c r="B26" s="82">
        <v>12</v>
      </c>
      <c r="C26" s="604" t="str">
        <f>'C. FILIACION'!C25</f>
        <v>CORTEZ RODRIGUEZ  GONZALO AXCELL</v>
      </c>
      <c r="D26" s="604"/>
      <c r="E26" s="262" t="s">
        <v>243</v>
      </c>
      <c r="F26" s="262"/>
      <c r="G26" s="262"/>
      <c r="H26" s="262"/>
      <c r="I26" s="262"/>
      <c r="J26" s="262"/>
      <c r="K26" s="262"/>
      <c r="L26" s="262"/>
      <c r="M26" s="262"/>
      <c r="N26" s="262"/>
      <c r="O26" s="262"/>
      <c r="P26" s="262"/>
      <c r="Q26" s="262"/>
      <c r="R26" s="262"/>
      <c r="S26" s="262"/>
      <c r="T26" s="262"/>
      <c r="U26" s="262"/>
      <c r="V26" s="262"/>
      <c r="W26" s="262"/>
      <c r="X26" s="262"/>
      <c r="Y26" s="262"/>
      <c r="Z26" s="262"/>
      <c r="AA26" s="262"/>
      <c r="AB26" s="262"/>
      <c r="AC26" s="262"/>
      <c r="AD26" s="262"/>
      <c r="AE26" s="262"/>
      <c r="AF26" s="262"/>
      <c r="AG26" s="262"/>
      <c r="AH26" s="262"/>
      <c r="AI26" s="262"/>
      <c r="AJ26" s="262"/>
      <c r="AK26" s="262"/>
      <c r="AL26" s="262"/>
      <c r="AM26" s="262"/>
      <c r="AN26" s="262"/>
      <c r="AO26" s="262"/>
      <c r="AP26" s="262"/>
      <c r="AQ26" s="262"/>
      <c r="AR26" s="262"/>
      <c r="AS26" s="262"/>
      <c r="AT26" s="262"/>
      <c r="AU26" s="262"/>
      <c r="AV26" s="262"/>
      <c r="AW26" s="262"/>
      <c r="AX26" s="262"/>
      <c r="AY26" s="262"/>
      <c r="AZ26" s="262"/>
      <c r="BA26" s="262"/>
      <c r="BB26" s="262"/>
      <c r="BC26" s="262"/>
      <c r="BD26" s="262"/>
      <c r="BE26" s="490">
        <f t="shared" si="0"/>
        <v>1</v>
      </c>
      <c r="BF26" s="490" t="str">
        <f t="shared" si="1"/>
        <v/>
      </c>
      <c r="BG26" s="490" t="str">
        <f t="shared" si="2"/>
        <v/>
      </c>
      <c r="BH26" s="491" t="str">
        <f t="shared" si="3"/>
        <v/>
      </c>
      <c r="BI26" s="492">
        <f t="shared" si="4"/>
        <v>1</v>
      </c>
    </row>
    <row r="27" spans="2:61" x14ac:dyDescent="0.25">
      <c r="B27" s="82">
        <v>13</v>
      </c>
      <c r="C27" s="604" t="str">
        <f>'C. FILIACION'!C26</f>
        <v>HILAYA  TORREZ CARLA JHULIANA</v>
      </c>
      <c r="D27" s="604"/>
      <c r="E27" s="262" t="s">
        <v>243</v>
      </c>
      <c r="F27" s="262"/>
      <c r="G27" s="262"/>
      <c r="H27" s="262"/>
      <c r="I27" s="262"/>
      <c r="J27" s="262"/>
      <c r="K27" s="262"/>
      <c r="L27" s="262"/>
      <c r="M27" s="262"/>
      <c r="N27" s="262"/>
      <c r="O27" s="262"/>
      <c r="P27" s="262"/>
      <c r="Q27" s="262"/>
      <c r="R27" s="262"/>
      <c r="S27" s="262"/>
      <c r="T27" s="262"/>
      <c r="U27" s="262"/>
      <c r="V27" s="262"/>
      <c r="W27" s="262"/>
      <c r="X27" s="262"/>
      <c r="Y27" s="262"/>
      <c r="Z27" s="262"/>
      <c r="AA27" s="262"/>
      <c r="AB27" s="262"/>
      <c r="AC27" s="262"/>
      <c r="AD27" s="262"/>
      <c r="AE27" s="262"/>
      <c r="AF27" s="262"/>
      <c r="AG27" s="262"/>
      <c r="AH27" s="262"/>
      <c r="AI27" s="262"/>
      <c r="AJ27" s="262"/>
      <c r="AK27" s="262"/>
      <c r="AL27" s="262"/>
      <c r="AM27" s="262"/>
      <c r="AN27" s="262"/>
      <c r="AO27" s="262"/>
      <c r="AP27" s="262"/>
      <c r="AQ27" s="262"/>
      <c r="AR27" s="262"/>
      <c r="AS27" s="262"/>
      <c r="AT27" s="262"/>
      <c r="AU27" s="262"/>
      <c r="AV27" s="262"/>
      <c r="AW27" s="262"/>
      <c r="AX27" s="262"/>
      <c r="AY27" s="262"/>
      <c r="AZ27" s="262"/>
      <c r="BA27" s="262"/>
      <c r="BB27" s="262"/>
      <c r="BC27" s="262"/>
      <c r="BD27" s="262"/>
      <c r="BE27" s="490">
        <f t="shared" si="0"/>
        <v>1</v>
      </c>
      <c r="BF27" s="490" t="str">
        <f t="shared" si="1"/>
        <v/>
      </c>
      <c r="BG27" s="490" t="str">
        <f t="shared" si="2"/>
        <v/>
      </c>
      <c r="BH27" s="491" t="str">
        <f t="shared" si="3"/>
        <v/>
      </c>
      <c r="BI27" s="492">
        <f t="shared" si="4"/>
        <v>1</v>
      </c>
    </row>
    <row r="28" spans="2:61" x14ac:dyDescent="0.25">
      <c r="B28" s="82">
        <v>14</v>
      </c>
      <c r="C28" s="604" t="str">
        <f>'C. FILIACION'!C27</f>
        <v>HUANCA CALLISAYA  PATRICIA</v>
      </c>
      <c r="D28" s="604"/>
      <c r="E28" s="262" t="s">
        <v>243</v>
      </c>
      <c r="F28" s="262"/>
      <c r="G28" s="262"/>
      <c r="H28" s="262"/>
      <c r="I28" s="262"/>
      <c r="J28" s="262"/>
      <c r="K28" s="262"/>
      <c r="L28" s="262"/>
      <c r="M28" s="262"/>
      <c r="N28" s="262"/>
      <c r="O28" s="262"/>
      <c r="P28" s="262"/>
      <c r="Q28" s="262"/>
      <c r="R28" s="262"/>
      <c r="S28" s="262"/>
      <c r="T28" s="262"/>
      <c r="U28" s="262"/>
      <c r="V28" s="262"/>
      <c r="W28" s="262"/>
      <c r="X28" s="262"/>
      <c r="Y28" s="262"/>
      <c r="Z28" s="262"/>
      <c r="AA28" s="262"/>
      <c r="AB28" s="262"/>
      <c r="AC28" s="262"/>
      <c r="AD28" s="262"/>
      <c r="AE28" s="262"/>
      <c r="AF28" s="262"/>
      <c r="AG28" s="262"/>
      <c r="AH28" s="262"/>
      <c r="AI28" s="262"/>
      <c r="AJ28" s="262"/>
      <c r="AK28" s="262"/>
      <c r="AL28" s="262"/>
      <c r="AM28" s="262"/>
      <c r="AN28" s="262"/>
      <c r="AO28" s="262"/>
      <c r="AP28" s="262"/>
      <c r="AQ28" s="262"/>
      <c r="AR28" s="262"/>
      <c r="AS28" s="262"/>
      <c r="AT28" s="262"/>
      <c r="AU28" s="262"/>
      <c r="AV28" s="262"/>
      <c r="AW28" s="262"/>
      <c r="AX28" s="262"/>
      <c r="AY28" s="262"/>
      <c r="AZ28" s="262"/>
      <c r="BA28" s="262"/>
      <c r="BB28" s="262"/>
      <c r="BC28" s="262"/>
      <c r="BD28" s="262"/>
      <c r="BE28" s="490">
        <f t="shared" si="0"/>
        <v>1</v>
      </c>
      <c r="BF28" s="490" t="str">
        <f t="shared" si="1"/>
        <v/>
      </c>
      <c r="BG28" s="490" t="str">
        <f t="shared" si="2"/>
        <v/>
      </c>
      <c r="BH28" s="491" t="str">
        <f t="shared" si="3"/>
        <v/>
      </c>
      <c r="BI28" s="492">
        <f t="shared" si="4"/>
        <v>1</v>
      </c>
    </row>
    <row r="29" spans="2:61" x14ac:dyDescent="0.25">
      <c r="B29" s="82">
        <v>15</v>
      </c>
      <c r="C29" s="604" t="str">
        <f>'C. FILIACION'!C28</f>
        <v>LIMACHI RADA GERMAN DOMINGO</v>
      </c>
      <c r="D29" s="604"/>
      <c r="E29" s="262" t="s">
        <v>243</v>
      </c>
      <c r="F29" s="262"/>
      <c r="G29" s="262"/>
      <c r="H29" s="262"/>
      <c r="I29" s="262"/>
      <c r="J29" s="262"/>
      <c r="K29" s="262"/>
      <c r="L29" s="262"/>
      <c r="M29" s="262"/>
      <c r="N29" s="262"/>
      <c r="O29" s="262"/>
      <c r="P29" s="262"/>
      <c r="Q29" s="262"/>
      <c r="R29" s="262"/>
      <c r="S29" s="262"/>
      <c r="T29" s="262"/>
      <c r="U29" s="262"/>
      <c r="V29" s="262"/>
      <c r="W29" s="262"/>
      <c r="X29" s="262"/>
      <c r="Y29" s="262"/>
      <c r="Z29" s="262"/>
      <c r="AA29" s="262"/>
      <c r="AB29" s="262"/>
      <c r="AC29" s="262"/>
      <c r="AD29" s="262"/>
      <c r="AE29" s="262"/>
      <c r="AF29" s="262"/>
      <c r="AG29" s="262"/>
      <c r="AH29" s="262"/>
      <c r="AI29" s="262"/>
      <c r="AJ29" s="262"/>
      <c r="AK29" s="262"/>
      <c r="AL29" s="262"/>
      <c r="AM29" s="262"/>
      <c r="AN29" s="262"/>
      <c r="AO29" s="262"/>
      <c r="AP29" s="262"/>
      <c r="AQ29" s="262"/>
      <c r="AR29" s="262"/>
      <c r="AS29" s="262"/>
      <c r="AT29" s="262"/>
      <c r="AU29" s="262"/>
      <c r="AV29" s="262"/>
      <c r="AW29" s="262"/>
      <c r="AX29" s="262"/>
      <c r="AY29" s="262"/>
      <c r="AZ29" s="262"/>
      <c r="BA29" s="262"/>
      <c r="BB29" s="262"/>
      <c r="BC29" s="262"/>
      <c r="BD29" s="262"/>
      <c r="BE29" s="490">
        <f t="shared" si="0"/>
        <v>1</v>
      </c>
      <c r="BF29" s="490" t="str">
        <f t="shared" si="1"/>
        <v/>
      </c>
      <c r="BG29" s="490" t="str">
        <f t="shared" si="2"/>
        <v/>
      </c>
      <c r="BH29" s="491" t="str">
        <f t="shared" si="3"/>
        <v/>
      </c>
      <c r="BI29" s="492">
        <f t="shared" si="4"/>
        <v>1</v>
      </c>
    </row>
    <row r="30" spans="2:61" x14ac:dyDescent="0.25">
      <c r="B30" s="82">
        <v>16</v>
      </c>
      <c r="C30" s="604" t="str">
        <f>'C. FILIACION'!C29</f>
        <v>MANTILLA SANCHEZ CAROLINA VALERIA</v>
      </c>
      <c r="D30" s="604"/>
      <c r="E30" s="262"/>
      <c r="F30" s="262"/>
      <c r="G30" s="262"/>
      <c r="H30" s="262"/>
      <c r="I30" s="262"/>
      <c r="J30" s="262"/>
      <c r="K30" s="262"/>
      <c r="L30" s="262"/>
      <c r="M30" s="262"/>
      <c r="N30" s="262"/>
      <c r="O30" s="262"/>
      <c r="P30" s="262"/>
      <c r="Q30" s="262"/>
      <c r="R30" s="262"/>
      <c r="S30" s="262"/>
      <c r="T30" s="262"/>
      <c r="U30" s="262"/>
      <c r="V30" s="262"/>
      <c r="W30" s="262"/>
      <c r="X30" s="262"/>
      <c r="Y30" s="262"/>
      <c r="Z30" s="262"/>
      <c r="AA30" s="262"/>
      <c r="AB30" s="262"/>
      <c r="AC30" s="262"/>
      <c r="AD30" s="262"/>
      <c r="AE30" s="262"/>
      <c r="AF30" s="262"/>
      <c r="AG30" s="262"/>
      <c r="AH30" s="262"/>
      <c r="AI30" s="262"/>
      <c r="AJ30" s="262"/>
      <c r="AK30" s="262"/>
      <c r="AL30" s="262"/>
      <c r="AM30" s="262"/>
      <c r="AN30" s="262"/>
      <c r="AO30" s="262"/>
      <c r="AP30" s="262"/>
      <c r="AQ30" s="262"/>
      <c r="AR30" s="262"/>
      <c r="AS30" s="262"/>
      <c r="AT30" s="262"/>
      <c r="AU30" s="262"/>
      <c r="AV30" s="262"/>
      <c r="AW30" s="262"/>
      <c r="AX30" s="262"/>
      <c r="AY30" s="262"/>
      <c r="AZ30" s="262"/>
      <c r="BA30" s="262"/>
      <c r="BB30" s="262"/>
      <c r="BC30" s="262"/>
      <c r="BD30" s="262"/>
      <c r="BE30" s="490" t="str">
        <f t="shared" si="0"/>
        <v/>
      </c>
      <c r="BF30" s="490" t="str">
        <f t="shared" si="1"/>
        <v/>
      </c>
      <c r="BG30" s="490" t="str">
        <f t="shared" si="2"/>
        <v/>
      </c>
      <c r="BH30" s="491" t="str">
        <f t="shared" si="3"/>
        <v/>
      </c>
      <c r="BI30" s="492" t="str">
        <f t="shared" si="4"/>
        <v/>
      </c>
    </row>
    <row r="31" spans="2:61" x14ac:dyDescent="0.25">
      <c r="B31" s="82">
        <v>17</v>
      </c>
      <c r="C31" s="604" t="str">
        <f>'C. FILIACION'!C30</f>
        <v>MULLER  ESCOBAR MARCIA BIBIANA</v>
      </c>
      <c r="D31" s="604"/>
      <c r="E31" s="262" t="s">
        <v>243</v>
      </c>
      <c r="F31" s="262"/>
      <c r="G31" s="262"/>
      <c r="H31" s="262"/>
      <c r="I31" s="262"/>
      <c r="J31" s="262"/>
      <c r="K31" s="262"/>
      <c r="L31" s="262"/>
      <c r="M31" s="262"/>
      <c r="N31" s="262"/>
      <c r="O31" s="262"/>
      <c r="P31" s="262"/>
      <c r="Q31" s="262"/>
      <c r="R31" s="262"/>
      <c r="S31" s="262"/>
      <c r="T31" s="262"/>
      <c r="U31" s="262"/>
      <c r="V31" s="262"/>
      <c r="W31" s="262"/>
      <c r="X31" s="262"/>
      <c r="Y31" s="262"/>
      <c r="Z31" s="262"/>
      <c r="AA31" s="262"/>
      <c r="AB31" s="262"/>
      <c r="AC31" s="262"/>
      <c r="AD31" s="262"/>
      <c r="AE31" s="262"/>
      <c r="AF31" s="262"/>
      <c r="AG31" s="262"/>
      <c r="AH31" s="262"/>
      <c r="AI31" s="262"/>
      <c r="AJ31" s="262"/>
      <c r="AK31" s="262"/>
      <c r="AL31" s="262"/>
      <c r="AM31" s="262"/>
      <c r="AN31" s="262"/>
      <c r="AO31" s="262"/>
      <c r="AP31" s="262"/>
      <c r="AQ31" s="262"/>
      <c r="AR31" s="262"/>
      <c r="AS31" s="262"/>
      <c r="AT31" s="262"/>
      <c r="AU31" s="262"/>
      <c r="AV31" s="262"/>
      <c r="AW31" s="262"/>
      <c r="AX31" s="262"/>
      <c r="AY31" s="262"/>
      <c r="AZ31" s="262"/>
      <c r="BA31" s="262"/>
      <c r="BB31" s="262"/>
      <c r="BC31" s="262"/>
      <c r="BD31" s="262"/>
      <c r="BE31" s="490">
        <f t="shared" si="0"/>
        <v>1</v>
      </c>
      <c r="BF31" s="490" t="str">
        <f t="shared" si="1"/>
        <v/>
      </c>
      <c r="BG31" s="490" t="str">
        <f t="shared" si="2"/>
        <v/>
      </c>
      <c r="BH31" s="491" t="str">
        <f t="shared" si="3"/>
        <v/>
      </c>
      <c r="BI31" s="492">
        <f t="shared" si="4"/>
        <v>1</v>
      </c>
    </row>
    <row r="32" spans="2:61" x14ac:dyDescent="0.25">
      <c r="B32" s="82">
        <v>18</v>
      </c>
      <c r="C32" s="604" t="str">
        <f>'C. FILIACION'!C31</f>
        <v xml:space="preserve">POMA MAMANI ADRIAN </v>
      </c>
      <c r="D32" s="604"/>
      <c r="E32" s="262" t="s">
        <v>243</v>
      </c>
      <c r="F32" s="262"/>
      <c r="G32" s="262"/>
      <c r="H32" s="262"/>
      <c r="I32" s="262"/>
      <c r="J32" s="262"/>
      <c r="K32" s="262"/>
      <c r="L32" s="262"/>
      <c r="M32" s="262"/>
      <c r="N32" s="262"/>
      <c r="O32" s="262"/>
      <c r="P32" s="262"/>
      <c r="Q32" s="262"/>
      <c r="R32" s="262"/>
      <c r="S32" s="262"/>
      <c r="T32" s="262"/>
      <c r="U32" s="262"/>
      <c r="V32" s="262"/>
      <c r="W32" s="262"/>
      <c r="X32" s="262"/>
      <c r="Y32" s="262"/>
      <c r="Z32" s="262"/>
      <c r="AA32" s="262"/>
      <c r="AB32" s="262"/>
      <c r="AC32" s="262"/>
      <c r="AD32" s="262"/>
      <c r="AE32" s="262"/>
      <c r="AF32" s="262"/>
      <c r="AG32" s="262"/>
      <c r="AH32" s="262"/>
      <c r="AI32" s="262"/>
      <c r="AJ32" s="262"/>
      <c r="AK32" s="262"/>
      <c r="AL32" s="262"/>
      <c r="AM32" s="262"/>
      <c r="AN32" s="262"/>
      <c r="AO32" s="262"/>
      <c r="AP32" s="262"/>
      <c r="AQ32" s="262"/>
      <c r="AR32" s="262"/>
      <c r="AS32" s="262"/>
      <c r="AT32" s="262"/>
      <c r="AU32" s="262"/>
      <c r="AV32" s="262"/>
      <c r="AW32" s="262"/>
      <c r="AX32" s="262"/>
      <c r="AY32" s="262"/>
      <c r="AZ32" s="262"/>
      <c r="BA32" s="262"/>
      <c r="BB32" s="262"/>
      <c r="BC32" s="262"/>
      <c r="BD32" s="262"/>
      <c r="BE32" s="490">
        <f t="shared" si="0"/>
        <v>1</v>
      </c>
      <c r="BF32" s="490" t="str">
        <f t="shared" si="1"/>
        <v/>
      </c>
      <c r="BG32" s="490" t="str">
        <f t="shared" si="2"/>
        <v/>
      </c>
      <c r="BH32" s="491" t="str">
        <f t="shared" si="3"/>
        <v/>
      </c>
      <c r="BI32" s="492">
        <f t="shared" si="4"/>
        <v>1</v>
      </c>
    </row>
    <row r="33" spans="2:61" x14ac:dyDescent="0.25">
      <c r="B33" s="82">
        <v>19</v>
      </c>
      <c r="C33" s="604" t="str">
        <f>'C. FILIACION'!C32</f>
        <v>PORTILLO  JALJA JHOSEP ERLAN</v>
      </c>
      <c r="D33" s="604"/>
      <c r="E33" s="262" t="s">
        <v>243</v>
      </c>
      <c r="F33" s="262"/>
      <c r="G33" s="262"/>
      <c r="H33" s="262"/>
      <c r="I33" s="262"/>
      <c r="J33" s="262"/>
      <c r="K33" s="262"/>
      <c r="L33" s="262"/>
      <c r="M33" s="262"/>
      <c r="N33" s="262"/>
      <c r="O33" s="262"/>
      <c r="P33" s="262"/>
      <c r="Q33" s="262"/>
      <c r="R33" s="262"/>
      <c r="S33" s="262"/>
      <c r="T33" s="262"/>
      <c r="U33" s="262"/>
      <c r="V33" s="262"/>
      <c r="W33" s="262"/>
      <c r="X33" s="262"/>
      <c r="Y33" s="262"/>
      <c r="Z33" s="262"/>
      <c r="AA33" s="262"/>
      <c r="AB33" s="262"/>
      <c r="AC33" s="262"/>
      <c r="AD33" s="262"/>
      <c r="AE33" s="262"/>
      <c r="AF33" s="262"/>
      <c r="AG33" s="262"/>
      <c r="AH33" s="262"/>
      <c r="AI33" s="262"/>
      <c r="AJ33" s="262"/>
      <c r="AK33" s="262"/>
      <c r="AL33" s="262"/>
      <c r="AM33" s="262"/>
      <c r="AN33" s="262"/>
      <c r="AO33" s="262"/>
      <c r="AP33" s="262"/>
      <c r="AQ33" s="262"/>
      <c r="AR33" s="262"/>
      <c r="AS33" s="262"/>
      <c r="AT33" s="262"/>
      <c r="AU33" s="262"/>
      <c r="AV33" s="262"/>
      <c r="AW33" s="262"/>
      <c r="AX33" s="262"/>
      <c r="AY33" s="262"/>
      <c r="AZ33" s="262"/>
      <c r="BA33" s="262"/>
      <c r="BB33" s="262"/>
      <c r="BC33" s="262"/>
      <c r="BD33" s="262"/>
      <c r="BE33" s="490">
        <f t="shared" si="0"/>
        <v>1</v>
      </c>
      <c r="BF33" s="490" t="str">
        <f t="shared" si="1"/>
        <v/>
      </c>
      <c r="BG33" s="490" t="str">
        <f t="shared" si="2"/>
        <v/>
      </c>
      <c r="BH33" s="491" t="str">
        <f t="shared" si="3"/>
        <v/>
      </c>
      <c r="BI33" s="492">
        <f t="shared" si="4"/>
        <v>1</v>
      </c>
    </row>
    <row r="34" spans="2:61" x14ac:dyDescent="0.25">
      <c r="B34" s="82">
        <v>20</v>
      </c>
      <c r="C34" s="604" t="str">
        <f>'C. FILIACION'!C33</f>
        <v>PUJRO  CHAUCA DIANA MARIBEL</v>
      </c>
      <c r="D34" s="604"/>
      <c r="E34" s="262" t="s">
        <v>243</v>
      </c>
      <c r="F34" s="262"/>
      <c r="G34" s="262"/>
      <c r="H34" s="262"/>
      <c r="I34" s="262"/>
      <c r="J34" s="262"/>
      <c r="K34" s="262"/>
      <c r="L34" s="262"/>
      <c r="M34" s="262"/>
      <c r="N34" s="262"/>
      <c r="O34" s="262"/>
      <c r="P34" s="262"/>
      <c r="Q34" s="262"/>
      <c r="R34" s="262"/>
      <c r="S34" s="262"/>
      <c r="T34" s="262"/>
      <c r="U34" s="262"/>
      <c r="V34" s="262"/>
      <c r="W34" s="262"/>
      <c r="X34" s="262"/>
      <c r="Y34" s="262"/>
      <c r="Z34" s="262"/>
      <c r="AA34" s="262"/>
      <c r="AB34" s="262"/>
      <c r="AC34" s="262"/>
      <c r="AD34" s="262"/>
      <c r="AE34" s="262"/>
      <c r="AF34" s="262"/>
      <c r="AG34" s="262"/>
      <c r="AH34" s="262"/>
      <c r="AI34" s="262"/>
      <c r="AJ34" s="262"/>
      <c r="AK34" s="262"/>
      <c r="AL34" s="262"/>
      <c r="AM34" s="262"/>
      <c r="AN34" s="262"/>
      <c r="AO34" s="262"/>
      <c r="AP34" s="262"/>
      <c r="AQ34" s="262"/>
      <c r="AR34" s="262"/>
      <c r="AS34" s="262"/>
      <c r="AT34" s="262"/>
      <c r="AU34" s="262"/>
      <c r="AV34" s="262"/>
      <c r="AW34" s="262"/>
      <c r="AX34" s="262"/>
      <c r="AY34" s="262"/>
      <c r="AZ34" s="262"/>
      <c r="BA34" s="262"/>
      <c r="BB34" s="262"/>
      <c r="BC34" s="262"/>
      <c r="BD34" s="262"/>
      <c r="BE34" s="490">
        <f t="shared" si="0"/>
        <v>1</v>
      </c>
      <c r="BF34" s="490" t="str">
        <f t="shared" si="1"/>
        <v/>
      </c>
      <c r="BG34" s="490" t="str">
        <f t="shared" si="2"/>
        <v/>
      </c>
      <c r="BH34" s="491" t="str">
        <f t="shared" si="3"/>
        <v/>
      </c>
      <c r="BI34" s="492">
        <f t="shared" si="4"/>
        <v>1</v>
      </c>
    </row>
    <row r="35" spans="2:61" x14ac:dyDescent="0.25">
      <c r="B35" s="82">
        <v>21</v>
      </c>
      <c r="C35" s="604" t="str">
        <f>'C. FILIACION'!C34</f>
        <v>SANCHEZ  MOLINA ALEXIS VHADIR</v>
      </c>
      <c r="D35" s="604"/>
      <c r="E35" s="262" t="s">
        <v>43</v>
      </c>
      <c r="F35" s="262"/>
      <c r="G35" s="262"/>
      <c r="H35" s="262"/>
      <c r="I35" s="262"/>
      <c r="J35" s="262"/>
      <c r="K35" s="262"/>
      <c r="L35" s="262"/>
      <c r="M35" s="262"/>
      <c r="N35" s="262"/>
      <c r="O35" s="262"/>
      <c r="P35" s="262"/>
      <c r="Q35" s="262"/>
      <c r="R35" s="262"/>
      <c r="S35" s="262"/>
      <c r="T35" s="262"/>
      <c r="U35" s="262"/>
      <c r="V35" s="262"/>
      <c r="W35" s="262"/>
      <c r="X35" s="262"/>
      <c r="Y35" s="262"/>
      <c r="Z35" s="262"/>
      <c r="AA35" s="262"/>
      <c r="AB35" s="262"/>
      <c r="AC35" s="262"/>
      <c r="AD35" s="262"/>
      <c r="AE35" s="262"/>
      <c r="AF35" s="262"/>
      <c r="AG35" s="262"/>
      <c r="AH35" s="262"/>
      <c r="AI35" s="262"/>
      <c r="AJ35" s="262"/>
      <c r="AK35" s="262"/>
      <c r="AL35" s="262"/>
      <c r="AM35" s="262"/>
      <c r="AN35" s="262"/>
      <c r="AO35" s="262"/>
      <c r="AP35" s="262"/>
      <c r="AQ35" s="262"/>
      <c r="AR35" s="262"/>
      <c r="AS35" s="262"/>
      <c r="AT35" s="262"/>
      <c r="AU35" s="262"/>
      <c r="AV35" s="262"/>
      <c r="AW35" s="262"/>
      <c r="AX35" s="262"/>
      <c r="AY35" s="262"/>
      <c r="AZ35" s="262"/>
      <c r="BA35" s="262"/>
      <c r="BB35" s="262"/>
      <c r="BC35" s="262"/>
      <c r="BD35" s="262"/>
      <c r="BE35" s="490" t="str">
        <f t="shared" si="0"/>
        <v/>
      </c>
      <c r="BF35" s="490">
        <f t="shared" si="1"/>
        <v>1</v>
      </c>
      <c r="BG35" s="490" t="str">
        <f t="shared" si="2"/>
        <v/>
      </c>
      <c r="BH35" s="491" t="str">
        <f t="shared" si="3"/>
        <v/>
      </c>
      <c r="BI35" s="492" t="str">
        <f t="shared" si="4"/>
        <v/>
      </c>
    </row>
    <row r="36" spans="2:61" x14ac:dyDescent="0.25">
      <c r="B36" s="82">
        <v>22</v>
      </c>
      <c r="C36" s="604" t="str">
        <f>'C. FILIACION'!C35</f>
        <v>SARAVIA SALVATIERRA JOSSE AMED</v>
      </c>
      <c r="D36" s="604"/>
      <c r="E36" s="262" t="s">
        <v>243</v>
      </c>
      <c r="F36" s="262"/>
      <c r="G36" s="262"/>
      <c r="H36" s="262"/>
      <c r="I36" s="262"/>
      <c r="J36" s="262"/>
      <c r="K36" s="262"/>
      <c r="L36" s="262"/>
      <c r="M36" s="262"/>
      <c r="N36" s="262"/>
      <c r="O36" s="262"/>
      <c r="P36" s="262"/>
      <c r="Q36" s="262"/>
      <c r="R36" s="262"/>
      <c r="S36" s="262"/>
      <c r="T36" s="262"/>
      <c r="U36" s="262"/>
      <c r="V36" s="262"/>
      <c r="W36" s="262"/>
      <c r="X36" s="262"/>
      <c r="Y36" s="262"/>
      <c r="Z36" s="262"/>
      <c r="AA36" s="262"/>
      <c r="AB36" s="262"/>
      <c r="AC36" s="262"/>
      <c r="AD36" s="262"/>
      <c r="AE36" s="262"/>
      <c r="AF36" s="262"/>
      <c r="AG36" s="262"/>
      <c r="AH36" s="262"/>
      <c r="AI36" s="262"/>
      <c r="AJ36" s="262"/>
      <c r="AK36" s="262"/>
      <c r="AL36" s="262"/>
      <c r="AM36" s="262"/>
      <c r="AN36" s="262"/>
      <c r="AO36" s="262"/>
      <c r="AP36" s="262"/>
      <c r="AQ36" s="262"/>
      <c r="AR36" s="262"/>
      <c r="AS36" s="262"/>
      <c r="AT36" s="262"/>
      <c r="AU36" s="262"/>
      <c r="AV36" s="262"/>
      <c r="AW36" s="262"/>
      <c r="AX36" s="262"/>
      <c r="AY36" s="262"/>
      <c r="AZ36" s="262"/>
      <c r="BA36" s="262"/>
      <c r="BB36" s="262"/>
      <c r="BC36" s="262"/>
      <c r="BD36" s="262"/>
      <c r="BE36" s="490">
        <f t="shared" si="0"/>
        <v>1</v>
      </c>
      <c r="BF36" s="490" t="str">
        <f t="shared" si="1"/>
        <v/>
      </c>
      <c r="BG36" s="490" t="str">
        <f t="shared" si="2"/>
        <v/>
      </c>
      <c r="BH36" s="491" t="str">
        <f t="shared" si="3"/>
        <v/>
      </c>
      <c r="BI36" s="492">
        <f t="shared" si="4"/>
        <v>1</v>
      </c>
    </row>
    <row r="37" spans="2:61" x14ac:dyDescent="0.25">
      <c r="B37" s="82">
        <v>23</v>
      </c>
      <c r="C37" s="604" t="str">
        <f>'C. FILIACION'!C36</f>
        <v>SIERRA LUNA GABRIEL  GERMAN</v>
      </c>
      <c r="D37" s="604"/>
      <c r="E37" s="262" t="s">
        <v>243</v>
      </c>
      <c r="F37" s="262"/>
      <c r="G37" s="262"/>
      <c r="H37" s="262"/>
      <c r="I37" s="262"/>
      <c r="J37" s="262"/>
      <c r="K37" s="262"/>
      <c r="L37" s="262"/>
      <c r="M37" s="262"/>
      <c r="N37" s="262"/>
      <c r="O37" s="262"/>
      <c r="P37" s="262"/>
      <c r="Q37" s="262"/>
      <c r="R37" s="262"/>
      <c r="S37" s="262"/>
      <c r="T37" s="262"/>
      <c r="U37" s="262"/>
      <c r="V37" s="262"/>
      <c r="W37" s="262"/>
      <c r="X37" s="262"/>
      <c r="Y37" s="262"/>
      <c r="Z37" s="262"/>
      <c r="AA37" s="262"/>
      <c r="AB37" s="262"/>
      <c r="AC37" s="262"/>
      <c r="AD37" s="262"/>
      <c r="AE37" s="262"/>
      <c r="AF37" s="262"/>
      <c r="AG37" s="262"/>
      <c r="AH37" s="262"/>
      <c r="AI37" s="262"/>
      <c r="AJ37" s="262"/>
      <c r="AK37" s="262"/>
      <c r="AL37" s="262"/>
      <c r="AM37" s="262"/>
      <c r="AN37" s="262"/>
      <c r="AO37" s="262"/>
      <c r="AP37" s="262"/>
      <c r="AQ37" s="262"/>
      <c r="AR37" s="262"/>
      <c r="AS37" s="262"/>
      <c r="AT37" s="262"/>
      <c r="AU37" s="262"/>
      <c r="AV37" s="262"/>
      <c r="AW37" s="262"/>
      <c r="AX37" s="262"/>
      <c r="AY37" s="262"/>
      <c r="AZ37" s="262"/>
      <c r="BA37" s="262"/>
      <c r="BB37" s="262"/>
      <c r="BC37" s="262"/>
      <c r="BD37" s="262"/>
      <c r="BE37" s="490">
        <f t="shared" si="0"/>
        <v>1</v>
      </c>
      <c r="BF37" s="490" t="str">
        <f t="shared" si="1"/>
        <v/>
      </c>
      <c r="BG37" s="490" t="str">
        <f t="shared" si="2"/>
        <v/>
      </c>
      <c r="BH37" s="491" t="str">
        <f t="shared" si="3"/>
        <v/>
      </c>
      <c r="BI37" s="492">
        <f t="shared" si="4"/>
        <v>1</v>
      </c>
    </row>
    <row r="38" spans="2:61" x14ac:dyDescent="0.25">
      <c r="B38" s="82">
        <v>24</v>
      </c>
      <c r="C38" s="604" t="str">
        <f>'C. FILIACION'!C37</f>
        <v>ZEWANE  MARTINEZ LINDA JHAMILETT</v>
      </c>
      <c r="D38" s="604"/>
      <c r="E38" s="262" t="s">
        <v>243</v>
      </c>
      <c r="F38" s="262"/>
      <c r="G38" s="262"/>
      <c r="H38" s="262"/>
      <c r="I38" s="262"/>
      <c r="J38" s="262"/>
      <c r="K38" s="262"/>
      <c r="L38" s="262"/>
      <c r="M38" s="262"/>
      <c r="N38" s="262"/>
      <c r="O38" s="262"/>
      <c r="P38" s="262"/>
      <c r="Q38" s="262"/>
      <c r="R38" s="262"/>
      <c r="S38" s="262"/>
      <c r="T38" s="262"/>
      <c r="U38" s="262"/>
      <c r="V38" s="262"/>
      <c r="W38" s="262"/>
      <c r="X38" s="262"/>
      <c r="Y38" s="262"/>
      <c r="Z38" s="262"/>
      <c r="AA38" s="262"/>
      <c r="AB38" s="262"/>
      <c r="AC38" s="262"/>
      <c r="AD38" s="262"/>
      <c r="AE38" s="262"/>
      <c r="AF38" s="262"/>
      <c r="AG38" s="262"/>
      <c r="AH38" s="262"/>
      <c r="AI38" s="262"/>
      <c r="AJ38" s="262"/>
      <c r="AK38" s="262"/>
      <c r="AL38" s="262"/>
      <c r="AM38" s="262"/>
      <c r="AN38" s="262"/>
      <c r="AO38" s="262"/>
      <c r="AP38" s="262"/>
      <c r="AQ38" s="262"/>
      <c r="AR38" s="262"/>
      <c r="AS38" s="262"/>
      <c r="AT38" s="262"/>
      <c r="AU38" s="262"/>
      <c r="AV38" s="262"/>
      <c r="AW38" s="262"/>
      <c r="AX38" s="262"/>
      <c r="AY38" s="262"/>
      <c r="AZ38" s="262"/>
      <c r="BA38" s="262"/>
      <c r="BB38" s="262"/>
      <c r="BC38" s="262"/>
      <c r="BD38" s="262"/>
      <c r="BE38" s="490">
        <f t="shared" si="0"/>
        <v>1</v>
      </c>
      <c r="BF38" s="490" t="str">
        <f t="shared" si="1"/>
        <v/>
      </c>
      <c r="BG38" s="490" t="str">
        <f t="shared" si="2"/>
        <v/>
      </c>
      <c r="BH38" s="491" t="str">
        <f t="shared" si="3"/>
        <v/>
      </c>
      <c r="BI38" s="492">
        <f t="shared" si="4"/>
        <v>1</v>
      </c>
    </row>
    <row r="39" spans="2:61" x14ac:dyDescent="0.25">
      <c r="B39" s="82">
        <v>25</v>
      </c>
      <c r="C39" s="604">
        <f>'C. FILIACION'!C38</f>
        <v>0</v>
      </c>
      <c r="D39" s="604"/>
      <c r="E39" s="262"/>
      <c r="F39" s="262"/>
      <c r="G39" s="262"/>
      <c r="H39" s="262"/>
      <c r="I39" s="262"/>
      <c r="J39" s="262"/>
      <c r="K39" s="262"/>
      <c r="L39" s="262"/>
      <c r="M39" s="262"/>
      <c r="N39" s="262"/>
      <c r="O39" s="262"/>
      <c r="P39" s="262"/>
      <c r="Q39" s="262"/>
      <c r="R39" s="262"/>
      <c r="S39" s="262"/>
      <c r="T39" s="262"/>
      <c r="U39" s="262"/>
      <c r="V39" s="262"/>
      <c r="W39" s="262"/>
      <c r="X39" s="262"/>
      <c r="Y39" s="262"/>
      <c r="Z39" s="262"/>
      <c r="AA39" s="262"/>
      <c r="AB39" s="262"/>
      <c r="AC39" s="262"/>
      <c r="AD39" s="262"/>
      <c r="AE39" s="262"/>
      <c r="AF39" s="262"/>
      <c r="AG39" s="262"/>
      <c r="AH39" s="262"/>
      <c r="AI39" s="262"/>
      <c r="AJ39" s="262"/>
      <c r="AK39" s="262"/>
      <c r="AL39" s="262"/>
      <c r="AM39" s="262"/>
      <c r="AN39" s="262"/>
      <c r="AO39" s="262"/>
      <c r="AP39" s="262"/>
      <c r="AQ39" s="262"/>
      <c r="AR39" s="262"/>
      <c r="AS39" s="262"/>
      <c r="AT39" s="262"/>
      <c r="AU39" s="262"/>
      <c r="AV39" s="262"/>
      <c r="AW39" s="262"/>
      <c r="AX39" s="262"/>
      <c r="AY39" s="262"/>
      <c r="AZ39" s="262"/>
      <c r="BA39" s="262"/>
      <c r="BB39" s="262"/>
      <c r="BC39" s="262"/>
      <c r="BD39" s="262"/>
      <c r="BE39" s="490" t="str">
        <f t="shared" si="0"/>
        <v/>
      </c>
      <c r="BF39" s="490" t="str">
        <f t="shared" si="1"/>
        <v/>
      </c>
      <c r="BG39" s="490" t="str">
        <f t="shared" si="2"/>
        <v/>
      </c>
      <c r="BH39" s="491" t="str">
        <f t="shared" si="3"/>
        <v/>
      </c>
      <c r="BI39" s="492" t="str">
        <f t="shared" si="4"/>
        <v/>
      </c>
    </row>
    <row r="40" spans="2:61" x14ac:dyDescent="0.25">
      <c r="B40" s="82">
        <v>26</v>
      </c>
      <c r="C40" s="604">
        <f>'C. FILIACION'!C39</f>
        <v>0</v>
      </c>
      <c r="D40" s="604"/>
      <c r="E40" s="262"/>
      <c r="F40" s="262"/>
      <c r="G40" s="262"/>
      <c r="H40" s="262"/>
      <c r="I40" s="262"/>
      <c r="J40" s="262"/>
      <c r="K40" s="262"/>
      <c r="L40" s="262"/>
      <c r="M40" s="262"/>
      <c r="N40" s="262"/>
      <c r="O40" s="262"/>
      <c r="P40" s="262"/>
      <c r="Q40" s="262"/>
      <c r="R40" s="262"/>
      <c r="S40" s="262"/>
      <c r="T40" s="262"/>
      <c r="U40" s="262"/>
      <c r="V40" s="262"/>
      <c r="W40" s="262"/>
      <c r="X40" s="262"/>
      <c r="Y40" s="262"/>
      <c r="Z40" s="262"/>
      <c r="AA40" s="262"/>
      <c r="AB40" s="262"/>
      <c r="AC40" s="262"/>
      <c r="AD40" s="262"/>
      <c r="AE40" s="262"/>
      <c r="AF40" s="262"/>
      <c r="AG40" s="262"/>
      <c r="AH40" s="262"/>
      <c r="AI40" s="262"/>
      <c r="AJ40" s="262"/>
      <c r="AK40" s="262"/>
      <c r="AL40" s="262"/>
      <c r="AM40" s="262"/>
      <c r="AN40" s="262"/>
      <c r="AO40" s="262"/>
      <c r="AP40" s="262"/>
      <c r="AQ40" s="262"/>
      <c r="AR40" s="262"/>
      <c r="AS40" s="262"/>
      <c r="AT40" s="262"/>
      <c r="AU40" s="262"/>
      <c r="AV40" s="262"/>
      <c r="AW40" s="262"/>
      <c r="AX40" s="262"/>
      <c r="AY40" s="262"/>
      <c r="AZ40" s="262"/>
      <c r="BA40" s="262"/>
      <c r="BB40" s="262"/>
      <c r="BC40" s="262"/>
      <c r="BD40" s="262"/>
      <c r="BE40" s="490" t="str">
        <f t="shared" si="0"/>
        <v/>
      </c>
      <c r="BF40" s="490" t="str">
        <f t="shared" si="1"/>
        <v/>
      </c>
      <c r="BG40" s="490" t="str">
        <f t="shared" si="2"/>
        <v/>
      </c>
      <c r="BH40" s="491" t="str">
        <f t="shared" si="3"/>
        <v/>
      </c>
      <c r="BI40" s="492" t="str">
        <f t="shared" si="4"/>
        <v/>
      </c>
    </row>
    <row r="41" spans="2:61" x14ac:dyDescent="0.25">
      <c r="B41" s="82">
        <v>27</v>
      </c>
      <c r="C41" s="604">
        <f>'C. FILIACION'!C40</f>
        <v>0</v>
      </c>
      <c r="D41" s="604"/>
      <c r="E41" s="262"/>
      <c r="F41" s="262"/>
      <c r="G41" s="262"/>
      <c r="H41" s="262"/>
      <c r="I41" s="262"/>
      <c r="J41" s="262"/>
      <c r="K41" s="262"/>
      <c r="L41" s="262"/>
      <c r="M41" s="262"/>
      <c r="N41" s="262"/>
      <c r="O41" s="262"/>
      <c r="P41" s="262"/>
      <c r="Q41" s="262"/>
      <c r="R41" s="262"/>
      <c r="S41" s="262"/>
      <c r="T41" s="262"/>
      <c r="U41" s="262"/>
      <c r="V41" s="262"/>
      <c r="W41" s="262"/>
      <c r="X41" s="262"/>
      <c r="Y41" s="262"/>
      <c r="Z41" s="262"/>
      <c r="AA41" s="262"/>
      <c r="AB41" s="262"/>
      <c r="AC41" s="262"/>
      <c r="AD41" s="262"/>
      <c r="AE41" s="262"/>
      <c r="AF41" s="262"/>
      <c r="AG41" s="262"/>
      <c r="AH41" s="262"/>
      <c r="AI41" s="262"/>
      <c r="AJ41" s="262"/>
      <c r="AK41" s="262"/>
      <c r="AL41" s="262"/>
      <c r="AM41" s="262"/>
      <c r="AN41" s="262"/>
      <c r="AO41" s="262"/>
      <c r="AP41" s="262"/>
      <c r="AQ41" s="262"/>
      <c r="AR41" s="262"/>
      <c r="AS41" s="262"/>
      <c r="AT41" s="262"/>
      <c r="AU41" s="262"/>
      <c r="AV41" s="262"/>
      <c r="AW41" s="262"/>
      <c r="AX41" s="262"/>
      <c r="AY41" s="262"/>
      <c r="AZ41" s="262"/>
      <c r="BA41" s="262"/>
      <c r="BB41" s="262"/>
      <c r="BC41" s="262"/>
      <c r="BD41" s="262"/>
      <c r="BE41" s="490" t="str">
        <f t="shared" si="0"/>
        <v/>
      </c>
      <c r="BF41" s="490" t="str">
        <f t="shared" si="1"/>
        <v/>
      </c>
      <c r="BG41" s="490" t="str">
        <f t="shared" si="2"/>
        <v/>
      </c>
      <c r="BH41" s="491" t="str">
        <f t="shared" si="3"/>
        <v/>
      </c>
      <c r="BI41" s="492" t="str">
        <f t="shared" si="4"/>
        <v/>
      </c>
    </row>
    <row r="42" spans="2:61" x14ac:dyDescent="0.25">
      <c r="B42" s="82">
        <v>28</v>
      </c>
      <c r="C42" s="604">
        <f>'C. FILIACION'!C41</f>
        <v>0</v>
      </c>
      <c r="D42" s="604"/>
      <c r="E42" s="262"/>
      <c r="F42" s="262"/>
      <c r="G42" s="262"/>
      <c r="H42" s="262"/>
      <c r="I42" s="262"/>
      <c r="J42" s="262"/>
      <c r="K42" s="262"/>
      <c r="L42" s="262"/>
      <c r="M42" s="262"/>
      <c r="N42" s="262"/>
      <c r="O42" s="262"/>
      <c r="P42" s="262"/>
      <c r="Q42" s="262"/>
      <c r="R42" s="262"/>
      <c r="S42" s="262"/>
      <c r="T42" s="262"/>
      <c r="U42" s="262"/>
      <c r="V42" s="262"/>
      <c r="W42" s="262"/>
      <c r="X42" s="262"/>
      <c r="Y42" s="262"/>
      <c r="Z42" s="262"/>
      <c r="AA42" s="262"/>
      <c r="AB42" s="262"/>
      <c r="AC42" s="262"/>
      <c r="AD42" s="262"/>
      <c r="AE42" s="262"/>
      <c r="AF42" s="262"/>
      <c r="AG42" s="262"/>
      <c r="AH42" s="262"/>
      <c r="AI42" s="262"/>
      <c r="AJ42" s="262"/>
      <c r="AK42" s="262"/>
      <c r="AL42" s="262"/>
      <c r="AM42" s="262"/>
      <c r="AN42" s="262"/>
      <c r="AO42" s="262"/>
      <c r="AP42" s="262"/>
      <c r="AQ42" s="262"/>
      <c r="AR42" s="262"/>
      <c r="AS42" s="262"/>
      <c r="AT42" s="262"/>
      <c r="AU42" s="262"/>
      <c r="AV42" s="262"/>
      <c r="AW42" s="262"/>
      <c r="AX42" s="262"/>
      <c r="AY42" s="262"/>
      <c r="AZ42" s="262"/>
      <c r="BA42" s="262"/>
      <c r="BB42" s="262"/>
      <c r="BC42" s="262"/>
      <c r="BD42" s="262"/>
      <c r="BE42" s="490" t="str">
        <f t="shared" si="0"/>
        <v/>
      </c>
      <c r="BF42" s="490" t="str">
        <f t="shared" si="1"/>
        <v/>
      </c>
      <c r="BG42" s="490" t="str">
        <f t="shared" si="2"/>
        <v/>
      </c>
      <c r="BH42" s="491" t="str">
        <f t="shared" si="3"/>
        <v/>
      </c>
      <c r="BI42" s="492" t="str">
        <f t="shared" si="4"/>
        <v/>
      </c>
    </row>
    <row r="43" spans="2:61" x14ac:dyDescent="0.25">
      <c r="B43" s="82">
        <v>29</v>
      </c>
      <c r="C43" s="604">
        <f>'C. FILIACION'!C42</f>
        <v>0</v>
      </c>
      <c r="D43" s="604"/>
      <c r="E43" s="262"/>
      <c r="F43" s="262"/>
      <c r="G43" s="262"/>
      <c r="H43" s="262"/>
      <c r="I43" s="262"/>
      <c r="J43" s="262"/>
      <c r="K43" s="262"/>
      <c r="L43" s="262"/>
      <c r="M43" s="262"/>
      <c r="N43" s="262"/>
      <c r="O43" s="262"/>
      <c r="P43" s="262"/>
      <c r="Q43" s="262"/>
      <c r="R43" s="262"/>
      <c r="S43" s="262"/>
      <c r="T43" s="262"/>
      <c r="U43" s="262"/>
      <c r="V43" s="262"/>
      <c r="W43" s="262"/>
      <c r="X43" s="262"/>
      <c r="Y43" s="262"/>
      <c r="Z43" s="262"/>
      <c r="AA43" s="262"/>
      <c r="AB43" s="262"/>
      <c r="AC43" s="262"/>
      <c r="AD43" s="262"/>
      <c r="AE43" s="262"/>
      <c r="AF43" s="262"/>
      <c r="AG43" s="262"/>
      <c r="AH43" s="262"/>
      <c r="AI43" s="262"/>
      <c r="AJ43" s="262"/>
      <c r="AK43" s="262"/>
      <c r="AL43" s="262"/>
      <c r="AM43" s="262"/>
      <c r="AN43" s="262"/>
      <c r="AO43" s="262"/>
      <c r="AP43" s="262"/>
      <c r="AQ43" s="262"/>
      <c r="AR43" s="262"/>
      <c r="AS43" s="262"/>
      <c r="AT43" s="262"/>
      <c r="AU43" s="262"/>
      <c r="AV43" s="262"/>
      <c r="AW43" s="262"/>
      <c r="AX43" s="262"/>
      <c r="AY43" s="262"/>
      <c r="AZ43" s="262"/>
      <c r="BA43" s="262"/>
      <c r="BB43" s="262"/>
      <c r="BC43" s="262"/>
      <c r="BD43" s="262"/>
      <c r="BE43" s="490" t="str">
        <f t="shared" si="0"/>
        <v/>
      </c>
      <c r="BF43" s="490" t="str">
        <f t="shared" si="1"/>
        <v/>
      </c>
      <c r="BG43" s="490" t="str">
        <f t="shared" si="2"/>
        <v/>
      </c>
      <c r="BH43" s="491" t="str">
        <f t="shared" si="3"/>
        <v/>
      </c>
      <c r="BI43" s="492" t="str">
        <f t="shared" si="4"/>
        <v/>
      </c>
    </row>
    <row r="44" spans="2:61" x14ac:dyDescent="0.25">
      <c r="B44" s="82">
        <v>30</v>
      </c>
      <c r="C44" s="604">
        <f>'C. FILIACION'!C43</f>
        <v>0</v>
      </c>
      <c r="D44" s="604"/>
      <c r="E44" s="262"/>
      <c r="F44" s="262"/>
      <c r="G44" s="262"/>
      <c r="H44" s="262"/>
      <c r="I44" s="262"/>
      <c r="J44" s="262"/>
      <c r="K44" s="262"/>
      <c r="L44" s="262"/>
      <c r="M44" s="262"/>
      <c r="N44" s="262"/>
      <c r="O44" s="262"/>
      <c r="P44" s="262"/>
      <c r="Q44" s="262"/>
      <c r="R44" s="262"/>
      <c r="S44" s="262"/>
      <c r="T44" s="262"/>
      <c r="U44" s="262"/>
      <c r="V44" s="262"/>
      <c r="W44" s="262"/>
      <c r="X44" s="262"/>
      <c r="Y44" s="262"/>
      <c r="Z44" s="262"/>
      <c r="AA44" s="262"/>
      <c r="AB44" s="262"/>
      <c r="AC44" s="262"/>
      <c r="AD44" s="262"/>
      <c r="AE44" s="262"/>
      <c r="AF44" s="262"/>
      <c r="AG44" s="262"/>
      <c r="AH44" s="262"/>
      <c r="AI44" s="262"/>
      <c r="AJ44" s="262"/>
      <c r="AK44" s="262"/>
      <c r="AL44" s="262"/>
      <c r="AM44" s="262"/>
      <c r="AN44" s="262"/>
      <c r="AO44" s="262"/>
      <c r="AP44" s="262"/>
      <c r="AQ44" s="262"/>
      <c r="AR44" s="262"/>
      <c r="AS44" s="262"/>
      <c r="AT44" s="262"/>
      <c r="AU44" s="262"/>
      <c r="AV44" s="262"/>
      <c r="AW44" s="262"/>
      <c r="AX44" s="262"/>
      <c r="AY44" s="262"/>
      <c r="AZ44" s="262"/>
      <c r="BA44" s="262"/>
      <c r="BB44" s="262"/>
      <c r="BC44" s="262"/>
      <c r="BD44" s="262"/>
      <c r="BE44" s="490" t="str">
        <f t="shared" si="0"/>
        <v/>
      </c>
      <c r="BF44" s="490" t="str">
        <f t="shared" si="1"/>
        <v/>
      </c>
      <c r="BG44" s="490" t="str">
        <f t="shared" si="2"/>
        <v/>
      </c>
      <c r="BH44" s="491" t="str">
        <f t="shared" si="3"/>
        <v/>
      </c>
      <c r="BI44" s="492" t="str">
        <f t="shared" si="4"/>
        <v/>
      </c>
    </row>
    <row r="45" spans="2:61" x14ac:dyDescent="0.25">
      <c r="B45" s="82">
        <v>31</v>
      </c>
      <c r="C45" s="604">
        <f>'C. FILIACION'!C44</f>
        <v>0</v>
      </c>
      <c r="D45" s="604"/>
      <c r="E45" s="262"/>
      <c r="F45" s="262"/>
      <c r="G45" s="262"/>
      <c r="H45" s="262"/>
      <c r="I45" s="262"/>
      <c r="J45" s="262"/>
      <c r="K45" s="262"/>
      <c r="L45" s="262"/>
      <c r="M45" s="262"/>
      <c r="N45" s="262"/>
      <c r="O45" s="262"/>
      <c r="P45" s="262"/>
      <c r="Q45" s="262"/>
      <c r="R45" s="262"/>
      <c r="S45" s="262"/>
      <c r="T45" s="262"/>
      <c r="U45" s="262"/>
      <c r="V45" s="262"/>
      <c r="W45" s="262"/>
      <c r="X45" s="262"/>
      <c r="Y45" s="262"/>
      <c r="Z45" s="262"/>
      <c r="AA45" s="262"/>
      <c r="AB45" s="262"/>
      <c r="AC45" s="262"/>
      <c r="AD45" s="262"/>
      <c r="AE45" s="262"/>
      <c r="AF45" s="262"/>
      <c r="AG45" s="262"/>
      <c r="AH45" s="262"/>
      <c r="AI45" s="262"/>
      <c r="AJ45" s="262"/>
      <c r="AK45" s="262"/>
      <c r="AL45" s="262"/>
      <c r="AM45" s="262"/>
      <c r="AN45" s="262"/>
      <c r="AO45" s="262"/>
      <c r="AP45" s="262"/>
      <c r="AQ45" s="262"/>
      <c r="AR45" s="262"/>
      <c r="AS45" s="262"/>
      <c r="AT45" s="262"/>
      <c r="AU45" s="262"/>
      <c r="AV45" s="262"/>
      <c r="AW45" s="262"/>
      <c r="AX45" s="262"/>
      <c r="AY45" s="262"/>
      <c r="AZ45" s="262"/>
      <c r="BA45" s="262"/>
      <c r="BB45" s="262"/>
      <c r="BC45" s="262"/>
      <c r="BD45" s="262"/>
      <c r="BE45" s="490" t="str">
        <f t="shared" si="0"/>
        <v/>
      </c>
      <c r="BF45" s="490" t="str">
        <f t="shared" si="1"/>
        <v/>
      </c>
      <c r="BG45" s="490" t="str">
        <f t="shared" si="2"/>
        <v/>
      </c>
      <c r="BH45" s="491" t="str">
        <f t="shared" si="3"/>
        <v/>
      </c>
      <c r="BI45" s="492" t="str">
        <f t="shared" si="4"/>
        <v/>
      </c>
    </row>
    <row r="46" spans="2:61" x14ac:dyDescent="0.25">
      <c r="B46" s="82">
        <v>32</v>
      </c>
      <c r="C46" s="604">
        <f>'C. FILIACION'!C45</f>
        <v>0</v>
      </c>
      <c r="D46" s="604"/>
      <c r="E46" s="262"/>
      <c r="F46" s="262"/>
      <c r="G46" s="262"/>
      <c r="H46" s="262"/>
      <c r="I46" s="262"/>
      <c r="J46" s="262"/>
      <c r="K46" s="262"/>
      <c r="L46" s="262"/>
      <c r="M46" s="262"/>
      <c r="N46" s="262"/>
      <c r="O46" s="262"/>
      <c r="P46" s="262"/>
      <c r="Q46" s="262"/>
      <c r="R46" s="262"/>
      <c r="S46" s="262"/>
      <c r="T46" s="262"/>
      <c r="U46" s="262"/>
      <c r="V46" s="262"/>
      <c r="W46" s="262"/>
      <c r="X46" s="262"/>
      <c r="Y46" s="262"/>
      <c r="Z46" s="262"/>
      <c r="AA46" s="262"/>
      <c r="AB46" s="262"/>
      <c r="AC46" s="262"/>
      <c r="AD46" s="262"/>
      <c r="AE46" s="262"/>
      <c r="AF46" s="262"/>
      <c r="AG46" s="262"/>
      <c r="AH46" s="262"/>
      <c r="AI46" s="262"/>
      <c r="AJ46" s="262"/>
      <c r="AK46" s="262"/>
      <c r="AL46" s="262"/>
      <c r="AM46" s="262"/>
      <c r="AN46" s="262"/>
      <c r="AO46" s="262"/>
      <c r="AP46" s="262"/>
      <c r="AQ46" s="262"/>
      <c r="AR46" s="262"/>
      <c r="AS46" s="262"/>
      <c r="AT46" s="262"/>
      <c r="AU46" s="262"/>
      <c r="AV46" s="262"/>
      <c r="AW46" s="262"/>
      <c r="AX46" s="262"/>
      <c r="AY46" s="262"/>
      <c r="AZ46" s="262"/>
      <c r="BA46" s="262"/>
      <c r="BB46" s="262"/>
      <c r="BC46" s="262"/>
      <c r="BD46" s="262"/>
      <c r="BE46" s="490" t="str">
        <f t="shared" si="0"/>
        <v/>
      </c>
      <c r="BF46" s="490" t="str">
        <f t="shared" si="1"/>
        <v/>
      </c>
      <c r="BG46" s="490" t="str">
        <f t="shared" si="2"/>
        <v/>
      </c>
      <c r="BH46" s="491" t="str">
        <f t="shared" si="3"/>
        <v/>
      </c>
      <c r="BI46" s="492" t="str">
        <f t="shared" si="4"/>
        <v/>
      </c>
    </row>
    <row r="47" spans="2:61" x14ac:dyDescent="0.25">
      <c r="B47" s="82">
        <v>33</v>
      </c>
      <c r="C47" s="604">
        <f>'C. FILIACION'!C46</f>
        <v>0</v>
      </c>
      <c r="D47" s="604"/>
      <c r="E47" s="262"/>
      <c r="F47" s="262"/>
      <c r="G47" s="262"/>
      <c r="H47" s="262"/>
      <c r="I47" s="262"/>
      <c r="J47" s="262"/>
      <c r="K47" s="262"/>
      <c r="L47" s="262"/>
      <c r="M47" s="262"/>
      <c r="N47" s="262"/>
      <c r="O47" s="262"/>
      <c r="P47" s="262"/>
      <c r="Q47" s="262"/>
      <c r="R47" s="262"/>
      <c r="S47" s="262"/>
      <c r="T47" s="262"/>
      <c r="U47" s="262"/>
      <c r="V47" s="262"/>
      <c r="W47" s="262"/>
      <c r="X47" s="262"/>
      <c r="Y47" s="262"/>
      <c r="Z47" s="262"/>
      <c r="AA47" s="262"/>
      <c r="AB47" s="262"/>
      <c r="AC47" s="262"/>
      <c r="AD47" s="262"/>
      <c r="AE47" s="262"/>
      <c r="AF47" s="262"/>
      <c r="AG47" s="262"/>
      <c r="AH47" s="262"/>
      <c r="AI47" s="262"/>
      <c r="AJ47" s="262"/>
      <c r="AK47" s="262"/>
      <c r="AL47" s="262"/>
      <c r="AM47" s="262"/>
      <c r="AN47" s="262"/>
      <c r="AO47" s="262"/>
      <c r="AP47" s="262"/>
      <c r="AQ47" s="262"/>
      <c r="AR47" s="262"/>
      <c r="AS47" s="262"/>
      <c r="AT47" s="262"/>
      <c r="AU47" s="262"/>
      <c r="AV47" s="262"/>
      <c r="AW47" s="262"/>
      <c r="AX47" s="262"/>
      <c r="AY47" s="262"/>
      <c r="AZ47" s="262"/>
      <c r="BA47" s="262"/>
      <c r="BB47" s="262"/>
      <c r="BC47" s="262"/>
      <c r="BD47" s="262"/>
      <c r="BE47" s="490" t="str">
        <f t="shared" si="0"/>
        <v/>
      </c>
      <c r="BF47" s="490" t="str">
        <f t="shared" si="1"/>
        <v/>
      </c>
      <c r="BG47" s="490" t="str">
        <f t="shared" si="2"/>
        <v/>
      </c>
      <c r="BH47" s="491" t="str">
        <f t="shared" si="3"/>
        <v/>
      </c>
      <c r="BI47" s="492" t="str">
        <f t="shared" si="4"/>
        <v/>
      </c>
    </row>
    <row r="48" spans="2:61" x14ac:dyDescent="0.25">
      <c r="B48" s="82">
        <v>34</v>
      </c>
      <c r="C48" s="604">
        <f>'C. FILIACION'!C47</f>
        <v>0</v>
      </c>
      <c r="D48" s="604"/>
      <c r="E48" s="262"/>
      <c r="F48" s="262"/>
      <c r="G48" s="262"/>
      <c r="H48" s="262"/>
      <c r="I48" s="262"/>
      <c r="J48" s="262"/>
      <c r="K48" s="262"/>
      <c r="L48" s="262"/>
      <c r="M48" s="262"/>
      <c r="N48" s="262"/>
      <c r="O48" s="262"/>
      <c r="P48" s="262"/>
      <c r="Q48" s="262"/>
      <c r="R48" s="262"/>
      <c r="S48" s="262"/>
      <c r="T48" s="262"/>
      <c r="U48" s="262"/>
      <c r="V48" s="262"/>
      <c r="W48" s="262"/>
      <c r="X48" s="262"/>
      <c r="Y48" s="262"/>
      <c r="Z48" s="262"/>
      <c r="AA48" s="262"/>
      <c r="AB48" s="262"/>
      <c r="AC48" s="262"/>
      <c r="AD48" s="262"/>
      <c r="AE48" s="262"/>
      <c r="AF48" s="262"/>
      <c r="AG48" s="262"/>
      <c r="AH48" s="262"/>
      <c r="AI48" s="262"/>
      <c r="AJ48" s="262"/>
      <c r="AK48" s="262"/>
      <c r="AL48" s="262"/>
      <c r="AM48" s="262"/>
      <c r="AN48" s="262"/>
      <c r="AO48" s="262"/>
      <c r="AP48" s="262"/>
      <c r="AQ48" s="262"/>
      <c r="AR48" s="262"/>
      <c r="AS48" s="262"/>
      <c r="AT48" s="262"/>
      <c r="AU48" s="262"/>
      <c r="AV48" s="262"/>
      <c r="AW48" s="262"/>
      <c r="AX48" s="262"/>
      <c r="AY48" s="262"/>
      <c r="AZ48" s="262"/>
      <c r="BA48" s="262"/>
      <c r="BB48" s="262"/>
      <c r="BC48" s="262"/>
      <c r="BD48" s="262"/>
      <c r="BE48" s="490" t="str">
        <f t="shared" si="0"/>
        <v/>
      </c>
      <c r="BF48" s="490" t="str">
        <f t="shared" si="1"/>
        <v/>
      </c>
      <c r="BG48" s="490" t="str">
        <f t="shared" si="2"/>
        <v/>
      </c>
      <c r="BH48" s="491" t="str">
        <f t="shared" si="3"/>
        <v/>
      </c>
      <c r="BI48" s="492" t="str">
        <f t="shared" si="4"/>
        <v/>
      </c>
    </row>
    <row r="49" spans="2:64" x14ac:dyDescent="0.25">
      <c r="B49" s="82">
        <v>35</v>
      </c>
      <c r="C49" s="604">
        <f>'C. FILIACION'!C48</f>
        <v>0</v>
      </c>
      <c r="D49" s="604"/>
      <c r="E49" s="262"/>
      <c r="F49" s="262"/>
      <c r="G49" s="262"/>
      <c r="H49" s="262"/>
      <c r="I49" s="262"/>
      <c r="J49" s="262"/>
      <c r="K49" s="262"/>
      <c r="L49" s="262"/>
      <c r="M49" s="262"/>
      <c r="N49" s="262"/>
      <c r="O49" s="262"/>
      <c r="P49" s="262"/>
      <c r="Q49" s="262"/>
      <c r="R49" s="262"/>
      <c r="S49" s="262"/>
      <c r="T49" s="262"/>
      <c r="U49" s="262"/>
      <c r="V49" s="262"/>
      <c r="W49" s="262"/>
      <c r="X49" s="262"/>
      <c r="Y49" s="262"/>
      <c r="Z49" s="262"/>
      <c r="AA49" s="262"/>
      <c r="AB49" s="262"/>
      <c r="AC49" s="262"/>
      <c r="AD49" s="262"/>
      <c r="AE49" s="262"/>
      <c r="AF49" s="262"/>
      <c r="AG49" s="262"/>
      <c r="AH49" s="262"/>
      <c r="AI49" s="262"/>
      <c r="AJ49" s="262"/>
      <c r="AK49" s="262"/>
      <c r="AL49" s="262"/>
      <c r="AM49" s="262"/>
      <c r="AN49" s="262"/>
      <c r="AO49" s="262"/>
      <c r="AP49" s="262"/>
      <c r="AQ49" s="262"/>
      <c r="AR49" s="262"/>
      <c r="AS49" s="262"/>
      <c r="AT49" s="262"/>
      <c r="AU49" s="262"/>
      <c r="AV49" s="262"/>
      <c r="AW49" s="262"/>
      <c r="AX49" s="262"/>
      <c r="AY49" s="262"/>
      <c r="AZ49" s="262"/>
      <c r="BA49" s="262"/>
      <c r="BB49" s="262"/>
      <c r="BC49" s="262"/>
      <c r="BD49" s="262"/>
      <c r="BE49" s="490" t="str">
        <f t="shared" si="0"/>
        <v/>
      </c>
      <c r="BF49" s="490" t="str">
        <f t="shared" si="1"/>
        <v/>
      </c>
      <c r="BG49" s="490" t="str">
        <f t="shared" si="2"/>
        <v/>
      </c>
      <c r="BH49" s="491" t="str">
        <f t="shared" si="3"/>
        <v/>
      </c>
      <c r="BI49" s="492" t="str">
        <f t="shared" si="4"/>
        <v/>
      </c>
    </row>
    <row r="50" spans="2:64" x14ac:dyDescent="0.25">
      <c r="B50" s="82">
        <v>36</v>
      </c>
      <c r="C50" s="604">
        <f>'C. FILIACION'!C49</f>
        <v>0</v>
      </c>
      <c r="D50" s="604"/>
      <c r="E50" s="262"/>
      <c r="F50" s="262"/>
      <c r="G50" s="262"/>
      <c r="H50" s="262"/>
      <c r="I50" s="262"/>
      <c r="J50" s="262"/>
      <c r="K50" s="262"/>
      <c r="L50" s="262"/>
      <c r="M50" s="262"/>
      <c r="N50" s="262"/>
      <c r="O50" s="262"/>
      <c r="P50" s="262"/>
      <c r="Q50" s="262"/>
      <c r="R50" s="262"/>
      <c r="S50" s="262"/>
      <c r="T50" s="262"/>
      <c r="U50" s="262"/>
      <c r="V50" s="262"/>
      <c r="W50" s="262"/>
      <c r="X50" s="262"/>
      <c r="Y50" s="262"/>
      <c r="Z50" s="262"/>
      <c r="AA50" s="262"/>
      <c r="AB50" s="262"/>
      <c r="AC50" s="262"/>
      <c r="AD50" s="262"/>
      <c r="AE50" s="262"/>
      <c r="AF50" s="262"/>
      <c r="AG50" s="262"/>
      <c r="AH50" s="262"/>
      <c r="AI50" s="262"/>
      <c r="AJ50" s="262"/>
      <c r="AK50" s="262"/>
      <c r="AL50" s="262"/>
      <c r="AM50" s="262"/>
      <c r="AN50" s="262"/>
      <c r="AO50" s="262"/>
      <c r="AP50" s="262"/>
      <c r="AQ50" s="262"/>
      <c r="AR50" s="262"/>
      <c r="AS50" s="262"/>
      <c r="AT50" s="262"/>
      <c r="AU50" s="262"/>
      <c r="AV50" s="262"/>
      <c r="AW50" s="262"/>
      <c r="AX50" s="262"/>
      <c r="AY50" s="262"/>
      <c r="AZ50" s="262"/>
      <c r="BA50" s="262"/>
      <c r="BB50" s="262"/>
      <c r="BC50" s="262"/>
      <c r="BD50" s="262"/>
      <c r="BE50" s="490" t="str">
        <f t="shared" si="0"/>
        <v/>
      </c>
      <c r="BF50" s="490" t="str">
        <f t="shared" si="1"/>
        <v/>
      </c>
      <c r="BG50" s="490" t="str">
        <f t="shared" si="2"/>
        <v/>
      </c>
      <c r="BH50" s="491" t="str">
        <f t="shared" si="3"/>
        <v/>
      </c>
      <c r="BI50" s="492" t="str">
        <f t="shared" si="4"/>
        <v/>
      </c>
    </row>
    <row r="51" spans="2:64" x14ac:dyDescent="0.25">
      <c r="B51" s="82">
        <v>37</v>
      </c>
      <c r="C51" s="604">
        <f>'C. FILIACION'!C50</f>
        <v>0</v>
      </c>
      <c r="D51" s="604"/>
      <c r="E51" s="262"/>
      <c r="F51" s="262"/>
      <c r="G51" s="262"/>
      <c r="H51" s="262"/>
      <c r="I51" s="262"/>
      <c r="J51" s="262"/>
      <c r="K51" s="262"/>
      <c r="L51" s="262"/>
      <c r="M51" s="262"/>
      <c r="N51" s="262"/>
      <c r="O51" s="262"/>
      <c r="P51" s="262"/>
      <c r="Q51" s="262"/>
      <c r="R51" s="262"/>
      <c r="S51" s="262"/>
      <c r="T51" s="262"/>
      <c r="U51" s="262"/>
      <c r="V51" s="262"/>
      <c r="W51" s="262"/>
      <c r="X51" s="262"/>
      <c r="Y51" s="262"/>
      <c r="Z51" s="262"/>
      <c r="AA51" s="262"/>
      <c r="AB51" s="262"/>
      <c r="AC51" s="262"/>
      <c r="AD51" s="262"/>
      <c r="AE51" s="262"/>
      <c r="AF51" s="262"/>
      <c r="AG51" s="262"/>
      <c r="AH51" s="262"/>
      <c r="AI51" s="262"/>
      <c r="AJ51" s="262"/>
      <c r="AK51" s="262"/>
      <c r="AL51" s="262"/>
      <c r="AM51" s="262"/>
      <c r="AN51" s="262"/>
      <c r="AO51" s="262"/>
      <c r="AP51" s="262"/>
      <c r="AQ51" s="262"/>
      <c r="AR51" s="262"/>
      <c r="AS51" s="262"/>
      <c r="AT51" s="262"/>
      <c r="AU51" s="262"/>
      <c r="AV51" s="262"/>
      <c r="AW51" s="262"/>
      <c r="AX51" s="262"/>
      <c r="AY51" s="262"/>
      <c r="AZ51" s="262"/>
      <c r="BA51" s="262"/>
      <c r="BB51" s="262"/>
      <c r="BC51" s="262"/>
      <c r="BD51" s="263"/>
      <c r="BE51" s="490" t="str">
        <f t="shared" si="0"/>
        <v/>
      </c>
      <c r="BF51" s="490" t="str">
        <f t="shared" si="1"/>
        <v/>
      </c>
      <c r="BG51" s="490" t="str">
        <f t="shared" si="2"/>
        <v/>
      </c>
      <c r="BH51" s="491" t="str">
        <f t="shared" si="3"/>
        <v/>
      </c>
      <c r="BI51" s="492" t="str">
        <f t="shared" si="4"/>
        <v/>
      </c>
    </row>
    <row r="52" spans="2:64" x14ac:dyDescent="0.25">
      <c r="B52" s="82">
        <v>38</v>
      </c>
      <c r="C52" s="604">
        <f>'C. FILIACION'!C51</f>
        <v>0</v>
      </c>
      <c r="D52" s="604"/>
      <c r="E52" s="262"/>
      <c r="F52" s="262"/>
      <c r="G52" s="262"/>
      <c r="H52" s="262"/>
      <c r="I52" s="262"/>
      <c r="J52" s="262"/>
      <c r="K52" s="262"/>
      <c r="L52" s="262"/>
      <c r="M52" s="262"/>
      <c r="N52" s="262"/>
      <c r="O52" s="262"/>
      <c r="P52" s="262"/>
      <c r="Q52" s="262"/>
      <c r="R52" s="262"/>
      <c r="S52" s="262"/>
      <c r="T52" s="262"/>
      <c r="U52" s="262"/>
      <c r="V52" s="262"/>
      <c r="W52" s="262"/>
      <c r="X52" s="262"/>
      <c r="Y52" s="262"/>
      <c r="Z52" s="262"/>
      <c r="AA52" s="262"/>
      <c r="AB52" s="262"/>
      <c r="AC52" s="262"/>
      <c r="AD52" s="262"/>
      <c r="AE52" s="262"/>
      <c r="AF52" s="262"/>
      <c r="AG52" s="262"/>
      <c r="AH52" s="262"/>
      <c r="AI52" s="262"/>
      <c r="AJ52" s="262"/>
      <c r="AK52" s="262"/>
      <c r="AL52" s="262"/>
      <c r="AM52" s="262"/>
      <c r="AN52" s="262"/>
      <c r="AO52" s="262"/>
      <c r="AP52" s="262"/>
      <c r="AQ52" s="262"/>
      <c r="AR52" s="262"/>
      <c r="AS52" s="262"/>
      <c r="AT52" s="262"/>
      <c r="AU52" s="262"/>
      <c r="AV52" s="262"/>
      <c r="AW52" s="262"/>
      <c r="AX52" s="262"/>
      <c r="AY52" s="262"/>
      <c r="AZ52" s="262"/>
      <c r="BA52" s="262"/>
      <c r="BB52" s="262"/>
      <c r="BC52" s="262"/>
      <c r="BD52" s="263"/>
      <c r="BE52" s="490" t="str">
        <f t="shared" si="0"/>
        <v/>
      </c>
      <c r="BF52" s="490" t="str">
        <f t="shared" si="1"/>
        <v/>
      </c>
      <c r="BG52" s="490" t="str">
        <f t="shared" si="2"/>
        <v/>
      </c>
      <c r="BH52" s="491" t="str">
        <f t="shared" si="3"/>
        <v/>
      </c>
      <c r="BI52" s="492" t="str">
        <f t="shared" si="4"/>
        <v/>
      </c>
    </row>
    <row r="53" spans="2:64" x14ac:dyDescent="0.25">
      <c r="B53" s="82">
        <v>39</v>
      </c>
      <c r="C53" s="604">
        <f>'C. FILIACION'!C52</f>
        <v>0</v>
      </c>
      <c r="D53" s="604"/>
      <c r="E53" s="262"/>
      <c r="F53" s="262"/>
      <c r="G53" s="262"/>
      <c r="H53" s="262"/>
      <c r="I53" s="262"/>
      <c r="J53" s="262"/>
      <c r="K53" s="262"/>
      <c r="L53" s="262"/>
      <c r="M53" s="262"/>
      <c r="N53" s="262"/>
      <c r="O53" s="262"/>
      <c r="P53" s="262"/>
      <c r="Q53" s="262"/>
      <c r="R53" s="262"/>
      <c r="S53" s="262"/>
      <c r="T53" s="262"/>
      <c r="U53" s="262"/>
      <c r="V53" s="262"/>
      <c r="W53" s="262"/>
      <c r="X53" s="262"/>
      <c r="Y53" s="262"/>
      <c r="Z53" s="262"/>
      <c r="AA53" s="262"/>
      <c r="AB53" s="262"/>
      <c r="AC53" s="262"/>
      <c r="AD53" s="262"/>
      <c r="AE53" s="262"/>
      <c r="AF53" s="262"/>
      <c r="AG53" s="262"/>
      <c r="AH53" s="262"/>
      <c r="AI53" s="262"/>
      <c r="AJ53" s="262"/>
      <c r="AK53" s="262"/>
      <c r="AL53" s="262"/>
      <c r="AM53" s="262"/>
      <c r="AN53" s="262"/>
      <c r="AO53" s="262"/>
      <c r="AP53" s="262"/>
      <c r="AQ53" s="262"/>
      <c r="AR53" s="262"/>
      <c r="AS53" s="262"/>
      <c r="AT53" s="262"/>
      <c r="AU53" s="262"/>
      <c r="AV53" s="262"/>
      <c r="AW53" s="262"/>
      <c r="AX53" s="262"/>
      <c r="AY53" s="262"/>
      <c r="AZ53" s="262"/>
      <c r="BA53" s="262"/>
      <c r="BB53" s="262"/>
      <c r="BC53" s="262"/>
      <c r="BD53" s="263"/>
      <c r="BE53" s="490" t="str">
        <f t="shared" si="0"/>
        <v/>
      </c>
      <c r="BF53" s="490" t="str">
        <f t="shared" si="1"/>
        <v/>
      </c>
      <c r="BG53" s="490" t="str">
        <f t="shared" si="2"/>
        <v/>
      </c>
      <c r="BH53" s="491" t="str">
        <f t="shared" si="3"/>
        <v/>
      </c>
      <c r="BI53" s="492" t="str">
        <f t="shared" si="4"/>
        <v/>
      </c>
    </row>
    <row r="54" spans="2:64" x14ac:dyDescent="0.25">
      <c r="B54" s="82">
        <v>40</v>
      </c>
      <c r="C54" s="604">
        <f>'C. FILIACION'!C53</f>
        <v>0</v>
      </c>
      <c r="D54" s="604"/>
      <c r="E54" s="262"/>
      <c r="F54" s="262"/>
      <c r="G54" s="262"/>
      <c r="H54" s="262"/>
      <c r="I54" s="262"/>
      <c r="J54" s="262"/>
      <c r="K54" s="262"/>
      <c r="L54" s="262"/>
      <c r="M54" s="262"/>
      <c r="N54" s="262"/>
      <c r="O54" s="262"/>
      <c r="P54" s="262"/>
      <c r="Q54" s="262"/>
      <c r="R54" s="262"/>
      <c r="S54" s="262"/>
      <c r="T54" s="262"/>
      <c r="U54" s="262"/>
      <c r="V54" s="262"/>
      <c r="W54" s="262"/>
      <c r="X54" s="262"/>
      <c r="Y54" s="262"/>
      <c r="Z54" s="262"/>
      <c r="AA54" s="262"/>
      <c r="AB54" s="262"/>
      <c r="AC54" s="262"/>
      <c r="AD54" s="262"/>
      <c r="AE54" s="262"/>
      <c r="AF54" s="262"/>
      <c r="AG54" s="262"/>
      <c r="AH54" s="262"/>
      <c r="AI54" s="262"/>
      <c r="AJ54" s="262"/>
      <c r="AK54" s="262"/>
      <c r="AL54" s="262"/>
      <c r="AM54" s="262"/>
      <c r="AN54" s="262"/>
      <c r="AO54" s="262"/>
      <c r="AP54" s="262"/>
      <c r="AQ54" s="262"/>
      <c r="AR54" s="262"/>
      <c r="AS54" s="262"/>
      <c r="AT54" s="262"/>
      <c r="AU54" s="262"/>
      <c r="AV54" s="262"/>
      <c r="AW54" s="262"/>
      <c r="AX54" s="262"/>
      <c r="AY54" s="262"/>
      <c r="AZ54" s="262"/>
      <c r="BA54" s="262"/>
      <c r="BB54" s="262"/>
      <c r="BC54" s="262"/>
      <c r="BD54" s="263"/>
      <c r="BE54" s="490" t="str">
        <f t="shared" si="0"/>
        <v/>
      </c>
      <c r="BF54" s="490" t="str">
        <f t="shared" si="1"/>
        <v/>
      </c>
      <c r="BG54" s="490" t="str">
        <f t="shared" si="2"/>
        <v/>
      </c>
      <c r="BH54" s="491" t="str">
        <f t="shared" si="3"/>
        <v/>
      </c>
      <c r="BI54" s="492" t="str">
        <f t="shared" si="4"/>
        <v/>
      </c>
    </row>
    <row r="55" spans="2:64" x14ac:dyDescent="0.25">
      <c r="B55" s="82">
        <v>41</v>
      </c>
      <c r="C55" s="604">
        <f>'C. FILIACION'!C54</f>
        <v>0</v>
      </c>
      <c r="D55" s="604"/>
      <c r="E55" s="262"/>
      <c r="F55" s="262"/>
      <c r="G55" s="262"/>
      <c r="H55" s="262"/>
      <c r="I55" s="262"/>
      <c r="J55" s="262"/>
      <c r="K55" s="262"/>
      <c r="L55" s="262"/>
      <c r="M55" s="262"/>
      <c r="N55" s="262"/>
      <c r="O55" s="262"/>
      <c r="P55" s="262"/>
      <c r="Q55" s="262"/>
      <c r="R55" s="262"/>
      <c r="S55" s="262"/>
      <c r="T55" s="262"/>
      <c r="U55" s="262"/>
      <c r="V55" s="262"/>
      <c r="W55" s="262"/>
      <c r="X55" s="262"/>
      <c r="Y55" s="262"/>
      <c r="Z55" s="262"/>
      <c r="AA55" s="262"/>
      <c r="AB55" s="262"/>
      <c r="AC55" s="262"/>
      <c r="AD55" s="262"/>
      <c r="AE55" s="262"/>
      <c r="AF55" s="262"/>
      <c r="AG55" s="262"/>
      <c r="AH55" s="262"/>
      <c r="AI55" s="262"/>
      <c r="AJ55" s="262"/>
      <c r="AK55" s="262"/>
      <c r="AL55" s="262"/>
      <c r="AM55" s="262"/>
      <c r="AN55" s="262"/>
      <c r="AO55" s="262"/>
      <c r="AP55" s="262"/>
      <c r="AQ55" s="262"/>
      <c r="AR55" s="262"/>
      <c r="AS55" s="262"/>
      <c r="AT55" s="262"/>
      <c r="AU55" s="262"/>
      <c r="AV55" s="262"/>
      <c r="AW55" s="262"/>
      <c r="AX55" s="262"/>
      <c r="AY55" s="262"/>
      <c r="AZ55" s="262"/>
      <c r="BA55" s="262"/>
      <c r="BB55" s="262"/>
      <c r="BC55" s="262"/>
      <c r="BD55" s="263"/>
      <c r="BE55" s="490" t="str">
        <f t="shared" si="0"/>
        <v/>
      </c>
      <c r="BF55" s="490" t="str">
        <f t="shared" si="1"/>
        <v/>
      </c>
      <c r="BG55" s="490" t="str">
        <f t="shared" si="2"/>
        <v/>
      </c>
      <c r="BH55" s="491" t="str">
        <f t="shared" si="3"/>
        <v/>
      </c>
      <c r="BI55" s="492" t="str">
        <f t="shared" si="4"/>
        <v/>
      </c>
    </row>
    <row r="56" spans="2:64" x14ac:dyDescent="0.25">
      <c r="B56" s="82">
        <v>42</v>
      </c>
      <c r="C56" s="604">
        <f>'C. FILIACION'!C55</f>
        <v>0</v>
      </c>
      <c r="D56" s="604"/>
      <c r="E56" s="262"/>
      <c r="F56" s="262"/>
      <c r="G56" s="262"/>
      <c r="H56" s="262"/>
      <c r="I56" s="262"/>
      <c r="J56" s="262"/>
      <c r="K56" s="262"/>
      <c r="L56" s="262"/>
      <c r="M56" s="262"/>
      <c r="N56" s="262"/>
      <c r="O56" s="262"/>
      <c r="P56" s="262"/>
      <c r="Q56" s="262"/>
      <c r="R56" s="262"/>
      <c r="S56" s="262"/>
      <c r="T56" s="262"/>
      <c r="U56" s="262"/>
      <c r="V56" s="262"/>
      <c r="W56" s="262"/>
      <c r="X56" s="262"/>
      <c r="Y56" s="262"/>
      <c r="Z56" s="262"/>
      <c r="AA56" s="262"/>
      <c r="AB56" s="262"/>
      <c r="AC56" s="262"/>
      <c r="AD56" s="262"/>
      <c r="AE56" s="262"/>
      <c r="AF56" s="262"/>
      <c r="AG56" s="262"/>
      <c r="AH56" s="262"/>
      <c r="AI56" s="262"/>
      <c r="AJ56" s="262"/>
      <c r="AK56" s="262"/>
      <c r="AL56" s="262"/>
      <c r="AM56" s="262"/>
      <c r="AN56" s="262"/>
      <c r="AO56" s="262"/>
      <c r="AP56" s="262"/>
      <c r="AQ56" s="262"/>
      <c r="AR56" s="262"/>
      <c r="AS56" s="262"/>
      <c r="AT56" s="262"/>
      <c r="AU56" s="262"/>
      <c r="AV56" s="262"/>
      <c r="AW56" s="262"/>
      <c r="AX56" s="262"/>
      <c r="AY56" s="262"/>
      <c r="AZ56" s="262"/>
      <c r="BA56" s="262"/>
      <c r="BB56" s="262"/>
      <c r="BC56" s="262"/>
      <c r="BD56" s="263"/>
      <c r="BE56" s="490" t="str">
        <f t="shared" si="0"/>
        <v/>
      </c>
      <c r="BF56" s="490" t="str">
        <f t="shared" si="1"/>
        <v/>
      </c>
      <c r="BG56" s="490" t="str">
        <f t="shared" si="2"/>
        <v/>
      </c>
      <c r="BH56" s="491" t="str">
        <f t="shared" si="3"/>
        <v/>
      </c>
      <c r="BI56" s="492" t="str">
        <f t="shared" si="4"/>
        <v/>
      </c>
    </row>
    <row r="57" spans="2:64" x14ac:dyDescent="0.25">
      <c r="B57" s="82">
        <v>43</v>
      </c>
      <c r="C57" s="604">
        <f>'C. FILIACION'!C56</f>
        <v>0</v>
      </c>
      <c r="D57" s="604"/>
      <c r="E57" s="262"/>
      <c r="F57" s="262"/>
      <c r="G57" s="262"/>
      <c r="H57" s="262"/>
      <c r="I57" s="262"/>
      <c r="J57" s="262"/>
      <c r="K57" s="262"/>
      <c r="L57" s="262"/>
      <c r="M57" s="262"/>
      <c r="N57" s="262"/>
      <c r="O57" s="262"/>
      <c r="P57" s="262"/>
      <c r="Q57" s="262"/>
      <c r="R57" s="262"/>
      <c r="S57" s="262"/>
      <c r="T57" s="262"/>
      <c r="U57" s="262"/>
      <c r="V57" s="262"/>
      <c r="W57" s="262"/>
      <c r="X57" s="262"/>
      <c r="Y57" s="262"/>
      <c r="Z57" s="262"/>
      <c r="AA57" s="262"/>
      <c r="AB57" s="262"/>
      <c r="AC57" s="262"/>
      <c r="AD57" s="262"/>
      <c r="AE57" s="262"/>
      <c r="AF57" s="262"/>
      <c r="AG57" s="262"/>
      <c r="AH57" s="262"/>
      <c r="AI57" s="262"/>
      <c r="AJ57" s="262"/>
      <c r="AK57" s="262"/>
      <c r="AL57" s="262"/>
      <c r="AM57" s="262"/>
      <c r="AN57" s="262"/>
      <c r="AO57" s="262"/>
      <c r="AP57" s="262"/>
      <c r="AQ57" s="262"/>
      <c r="AR57" s="262"/>
      <c r="AS57" s="262"/>
      <c r="AT57" s="262"/>
      <c r="AU57" s="262"/>
      <c r="AV57" s="262"/>
      <c r="AW57" s="262"/>
      <c r="AX57" s="262"/>
      <c r="AY57" s="262"/>
      <c r="AZ57" s="262"/>
      <c r="BA57" s="262"/>
      <c r="BB57" s="262"/>
      <c r="BC57" s="262"/>
      <c r="BD57" s="263"/>
      <c r="BE57" s="490" t="str">
        <f t="shared" si="0"/>
        <v/>
      </c>
      <c r="BF57" s="490" t="str">
        <f t="shared" si="1"/>
        <v/>
      </c>
      <c r="BG57" s="490" t="str">
        <f t="shared" si="2"/>
        <v/>
      </c>
      <c r="BH57" s="491" t="str">
        <f t="shared" si="3"/>
        <v/>
      </c>
      <c r="BI57" s="492" t="str">
        <f t="shared" si="4"/>
        <v/>
      </c>
    </row>
    <row r="58" spans="2:64" x14ac:dyDescent="0.25">
      <c r="B58" s="82">
        <v>44</v>
      </c>
      <c r="C58" s="604">
        <f>'C. FILIACION'!C57</f>
        <v>0</v>
      </c>
      <c r="D58" s="604"/>
      <c r="E58" s="262"/>
      <c r="F58" s="262"/>
      <c r="G58" s="262"/>
      <c r="H58" s="262"/>
      <c r="I58" s="262"/>
      <c r="J58" s="262"/>
      <c r="K58" s="262"/>
      <c r="L58" s="262"/>
      <c r="M58" s="262"/>
      <c r="N58" s="262"/>
      <c r="O58" s="262"/>
      <c r="P58" s="262"/>
      <c r="Q58" s="262"/>
      <c r="R58" s="262"/>
      <c r="S58" s="262"/>
      <c r="T58" s="262"/>
      <c r="U58" s="262"/>
      <c r="V58" s="262"/>
      <c r="W58" s="262"/>
      <c r="X58" s="262"/>
      <c r="Y58" s="262"/>
      <c r="Z58" s="262"/>
      <c r="AA58" s="262"/>
      <c r="AB58" s="262"/>
      <c r="AC58" s="262"/>
      <c r="AD58" s="262"/>
      <c r="AE58" s="262"/>
      <c r="AF58" s="262"/>
      <c r="AG58" s="262"/>
      <c r="AH58" s="262"/>
      <c r="AI58" s="262"/>
      <c r="AJ58" s="262"/>
      <c r="AK58" s="262"/>
      <c r="AL58" s="262"/>
      <c r="AM58" s="262"/>
      <c r="AN58" s="262"/>
      <c r="AO58" s="262"/>
      <c r="AP58" s="262"/>
      <c r="AQ58" s="262"/>
      <c r="AR58" s="262"/>
      <c r="AS58" s="262"/>
      <c r="AT58" s="262"/>
      <c r="AU58" s="262"/>
      <c r="AV58" s="262"/>
      <c r="AW58" s="262"/>
      <c r="AX58" s="262"/>
      <c r="AY58" s="262"/>
      <c r="AZ58" s="262"/>
      <c r="BA58" s="262"/>
      <c r="BB58" s="262"/>
      <c r="BC58" s="262"/>
      <c r="BD58" s="263"/>
      <c r="BE58" s="490" t="str">
        <f t="shared" si="0"/>
        <v/>
      </c>
      <c r="BF58" s="490" t="str">
        <f t="shared" si="1"/>
        <v/>
      </c>
      <c r="BG58" s="490" t="str">
        <f t="shared" si="2"/>
        <v/>
      </c>
      <c r="BH58" s="491" t="str">
        <f t="shared" si="3"/>
        <v/>
      </c>
      <c r="BI58" s="492" t="str">
        <f t="shared" si="4"/>
        <v/>
      </c>
    </row>
    <row r="59" spans="2:64" x14ac:dyDescent="0.25">
      <c r="B59" s="82">
        <v>45</v>
      </c>
      <c r="C59" s="604">
        <f>'C. FILIACION'!C58</f>
        <v>0</v>
      </c>
      <c r="D59" s="604"/>
      <c r="E59" s="262"/>
      <c r="F59" s="262"/>
      <c r="G59" s="262"/>
      <c r="H59" s="262"/>
      <c r="I59" s="262"/>
      <c r="J59" s="262"/>
      <c r="K59" s="262"/>
      <c r="L59" s="262"/>
      <c r="M59" s="262"/>
      <c r="N59" s="262"/>
      <c r="O59" s="262"/>
      <c r="P59" s="262"/>
      <c r="Q59" s="262"/>
      <c r="R59" s="262"/>
      <c r="S59" s="262"/>
      <c r="T59" s="262"/>
      <c r="U59" s="262"/>
      <c r="V59" s="262"/>
      <c r="W59" s="262"/>
      <c r="X59" s="262"/>
      <c r="Y59" s="262"/>
      <c r="Z59" s="262"/>
      <c r="AA59" s="262"/>
      <c r="AB59" s="262"/>
      <c r="AC59" s="262"/>
      <c r="AD59" s="262"/>
      <c r="AE59" s="262"/>
      <c r="AF59" s="262"/>
      <c r="AG59" s="262"/>
      <c r="AH59" s="262"/>
      <c r="AI59" s="262"/>
      <c r="AJ59" s="262"/>
      <c r="AK59" s="262"/>
      <c r="AL59" s="262"/>
      <c r="AM59" s="262"/>
      <c r="AN59" s="262"/>
      <c r="AO59" s="262"/>
      <c r="AP59" s="262"/>
      <c r="AQ59" s="262"/>
      <c r="AR59" s="262"/>
      <c r="AS59" s="262"/>
      <c r="AT59" s="262"/>
      <c r="AU59" s="262"/>
      <c r="AV59" s="262"/>
      <c r="AW59" s="262"/>
      <c r="AX59" s="262"/>
      <c r="AY59" s="262"/>
      <c r="AZ59" s="262"/>
      <c r="BA59" s="262"/>
      <c r="BB59" s="262"/>
      <c r="BC59" s="262"/>
      <c r="BD59" s="263"/>
      <c r="BE59" s="490" t="str">
        <f t="shared" si="0"/>
        <v/>
      </c>
      <c r="BF59" s="490" t="str">
        <f t="shared" si="1"/>
        <v/>
      </c>
      <c r="BG59" s="490" t="str">
        <f t="shared" si="2"/>
        <v/>
      </c>
      <c r="BH59" s="491" t="str">
        <f t="shared" si="3"/>
        <v/>
      </c>
      <c r="BI59" s="492" t="str">
        <f t="shared" si="4"/>
        <v/>
      </c>
    </row>
    <row r="60" spans="2:64" x14ac:dyDescent="0.25">
      <c r="B60" s="83"/>
      <c r="C60" s="83"/>
      <c r="D60" s="83"/>
      <c r="E60" s="83"/>
      <c r="F60" s="83"/>
      <c r="G60" s="83"/>
      <c r="H60" s="83"/>
      <c r="I60" s="83"/>
      <c r="J60" s="83"/>
      <c r="K60" s="83"/>
      <c r="L60" s="83"/>
      <c r="M60" s="83"/>
      <c r="N60" s="83"/>
      <c r="O60" s="83"/>
      <c r="P60" s="83"/>
      <c r="Q60" s="83"/>
      <c r="R60" s="83"/>
      <c r="S60" s="83"/>
      <c r="T60" s="83"/>
      <c r="U60" s="83"/>
      <c r="V60" s="83"/>
      <c r="W60" s="83"/>
      <c r="X60" s="83"/>
      <c r="Y60" s="83"/>
      <c r="Z60" s="83"/>
      <c r="AA60" s="83"/>
      <c r="AB60" s="83"/>
      <c r="AC60" s="83"/>
      <c r="AD60" s="83"/>
      <c r="AE60" s="83"/>
      <c r="AF60" s="83"/>
      <c r="AG60" s="83"/>
      <c r="AH60" s="83"/>
      <c r="AI60" s="83"/>
      <c r="AJ60" s="83"/>
      <c r="AK60" s="83"/>
      <c r="AL60" s="83"/>
      <c r="AM60" s="83"/>
      <c r="AN60" s="83"/>
      <c r="AO60" s="83"/>
      <c r="AP60" s="83"/>
      <c r="AQ60" s="83"/>
      <c r="AR60" s="83"/>
      <c r="AS60" s="83"/>
      <c r="AT60" s="83"/>
      <c r="AU60" s="83"/>
      <c r="AV60" s="83"/>
      <c r="AW60" s="83"/>
      <c r="AX60" s="83"/>
      <c r="AY60" s="83"/>
      <c r="AZ60" s="83"/>
      <c r="BA60" s="83"/>
      <c r="BB60" s="83"/>
      <c r="BC60" s="83"/>
      <c r="BD60" s="83"/>
      <c r="BE60" s="83"/>
      <c r="BF60" s="83"/>
      <c r="BG60" s="83"/>
      <c r="BH60" s="83"/>
      <c r="BI60" s="83"/>
      <c r="BJ60" s="72"/>
      <c r="BK60" s="72"/>
      <c r="BL60" s="72"/>
    </row>
    <row r="61" spans="2:64" x14ac:dyDescent="0.25">
      <c r="B61" s="83"/>
      <c r="C61" s="83"/>
      <c r="D61" s="83"/>
      <c r="E61" s="83"/>
      <c r="F61" s="83"/>
      <c r="G61" s="83"/>
      <c r="H61" s="83"/>
      <c r="I61" s="83"/>
      <c r="J61" s="83"/>
      <c r="K61" s="83"/>
      <c r="L61" s="83"/>
      <c r="M61" s="83"/>
      <c r="N61" s="83"/>
      <c r="O61" s="83"/>
      <c r="P61" s="83"/>
      <c r="Q61" s="83"/>
      <c r="R61" s="83"/>
      <c r="S61" s="83"/>
      <c r="T61" s="83"/>
      <c r="U61" s="83"/>
      <c r="V61" s="83"/>
      <c r="W61" s="83"/>
      <c r="X61" s="83"/>
      <c r="Y61" s="83"/>
      <c r="Z61" s="83"/>
      <c r="AA61" s="83"/>
      <c r="AB61" s="83"/>
      <c r="AC61" s="83"/>
      <c r="AD61" s="83"/>
      <c r="AE61" s="83"/>
      <c r="AF61" s="83"/>
      <c r="AG61" s="83"/>
      <c r="AH61" s="83"/>
      <c r="AI61" s="83"/>
      <c r="AJ61" s="83"/>
      <c r="AK61" s="83"/>
      <c r="AL61" s="83"/>
      <c r="AM61" s="83"/>
      <c r="AN61" s="83"/>
      <c r="AO61" s="83"/>
      <c r="AP61" s="83"/>
      <c r="AQ61" s="83"/>
      <c r="AR61" s="83"/>
      <c r="AS61" s="83"/>
      <c r="AT61" s="83"/>
      <c r="AU61" s="83"/>
      <c r="AV61" s="83"/>
      <c r="AW61" s="83"/>
      <c r="AX61" s="83"/>
      <c r="AY61" s="83"/>
      <c r="AZ61" s="83"/>
      <c r="BA61" s="83"/>
      <c r="BB61" s="83"/>
      <c r="BC61" s="83"/>
      <c r="BD61" s="83"/>
      <c r="BE61" s="83"/>
      <c r="BF61" s="83"/>
      <c r="BG61" s="83"/>
      <c r="BH61" s="83"/>
      <c r="BI61" s="83"/>
      <c r="BJ61" s="72"/>
      <c r="BK61" s="72"/>
      <c r="BL61" s="72"/>
    </row>
    <row r="62" spans="2:64" ht="15.75" thickBot="1" x14ac:dyDescent="0.3">
      <c r="B62" s="83"/>
      <c r="C62" s="83"/>
      <c r="D62" s="83"/>
      <c r="E62" s="83"/>
      <c r="F62" s="83"/>
      <c r="G62" s="83"/>
      <c r="H62" s="83"/>
      <c r="I62" s="83"/>
      <c r="J62" s="83"/>
      <c r="K62" s="83"/>
      <c r="L62" s="83"/>
      <c r="M62" s="83"/>
      <c r="N62" s="83"/>
      <c r="O62" s="83"/>
      <c r="P62" s="83"/>
      <c r="Q62" s="83"/>
      <c r="R62" s="83"/>
      <c r="S62" s="83"/>
      <c r="T62" s="83"/>
      <c r="U62" s="83"/>
      <c r="V62" s="83"/>
      <c r="W62" s="83"/>
      <c r="X62" s="83"/>
      <c r="Y62" s="83"/>
      <c r="Z62" s="83"/>
      <c r="AA62" s="83"/>
      <c r="AB62" s="83"/>
      <c r="AC62" s="83"/>
      <c r="AD62" s="83"/>
      <c r="AE62" s="83"/>
      <c r="AF62" s="83"/>
      <c r="AG62" s="83"/>
      <c r="AH62" s="83"/>
      <c r="AI62" s="83"/>
      <c r="AJ62" s="83"/>
      <c r="AK62" s="83"/>
      <c r="AL62" s="83"/>
      <c r="AM62" s="83"/>
      <c r="AN62" s="83"/>
      <c r="AO62" s="83"/>
      <c r="AP62" s="83"/>
      <c r="AQ62" s="83"/>
      <c r="AR62" s="83"/>
      <c r="AS62" s="83"/>
      <c r="AT62" s="83"/>
      <c r="AU62" s="83"/>
      <c r="AV62" s="83"/>
      <c r="AW62" s="83"/>
      <c r="AX62" s="83"/>
      <c r="AY62" s="83"/>
      <c r="AZ62" s="83"/>
      <c r="BA62" s="83"/>
      <c r="BB62" s="83"/>
      <c r="BC62" s="83"/>
      <c r="BD62" s="83"/>
      <c r="BE62" s="83"/>
      <c r="BF62" s="83"/>
      <c r="BG62" s="83"/>
      <c r="BH62" s="83"/>
      <c r="BI62" s="83"/>
      <c r="BJ62" s="72"/>
      <c r="BK62" s="72"/>
      <c r="BL62" s="72"/>
    </row>
    <row r="63" spans="2:64" ht="25.5" customHeight="1" thickTop="1" x14ac:dyDescent="0.25">
      <c r="B63" s="83"/>
      <c r="C63" s="83"/>
      <c r="D63" s="83"/>
      <c r="E63" s="607">
        <f>CARATULA!G22</f>
        <v>0</v>
      </c>
      <c r="F63" s="607"/>
      <c r="G63" s="607"/>
      <c r="H63" s="607"/>
      <c r="I63" s="607"/>
      <c r="J63" s="607"/>
      <c r="K63" s="607"/>
      <c r="L63" s="607"/>
      <c r="M63" s="607"/>
      <c r="N63" s="607"/>
      <c r="O63" s="607"/>
      <c r="P63" s="84"/>
      <c r="Q63" s="84"/>
      <c r="R63" s="84"/>
      <c r="S63" s="84"/>
      <c r="T63" s="84"/>
      <c r="U63" s="84"/>
      <c r="V63" s="84"/>
      <c r="W63" s="84"/>
      <c r="X63" s="84"/>
      <c r="Y63" s="84"/>
      <c r="Z63" s="84"/>
      <c r="AA63" s="84"/>
      <c r="AB63" s="84"/>
      <c r="AC63" s="84"/>
      <c r="AD63" s="84"/>
      <c r="AE63" s="84"/>
      <c r="AF63" s="84"/>
      <c r="AG63" s="84"/>
      <c r="AH63" s="84"/>
      <c r="AI63" s="84"/>
      <c r="AJ63" s="84"/>
      <c r="AK63" s="84"/>
      <c r="AL63" s="84"/>
      <c r="AM63" s="84"/>
      <c r="AN63" s="84"/>
      <c r="AO63" s="84"/>
      <c r="AP63" s="84"/>
      <c r="AQ63" s="84"/>
      <c r="AR63" s="84"/>
      <c r="AS63" s="84"/>
      <c r="AT63" s="84"/>
      <c r="AU63" s="84"/>
      <c r="AV63" s="607">
        <f>CARATULA!G24</f>
        <v>0</v>
      </c>
      <c r="AW63" s="607"/>
      <c r="AX63" s="607"/>
      <c r="AY63" s="607"/>
      <c r="AZ63" s="607"/>
      <c r="BA63" s="607"/>
      <c r="BB63" s="607"/>
      <c r="BC63" s="607"/>
      <c r="BD63" s="607"/>
      <c r="BE63" s="607"/>
      <c r="BF63" s="83"/>
      <c r="BG63" s="83"/>
      <c r="BH63" s="83"/>
      <c r="BI63" s="83"/>
      <c r="BJ63" s="72"/>
      <c r="BK63" s="72"/>
      <c r="BL63" s="72"/>
    </row>
    <row r="64" spans="2:64" ht="15" customHeight="1" x14ac:dyDescent="0.25">
      <c r="B64" s="83"/>
      <c r="C64" s="83"/>
      <c r="D64" s="83"/>
      <c r="E64" s="85"/>
      <c r="F64" s="85"/>
      <c r="G64" s="85"/>
      <c r="H64" s="85"/>
      <c r="I64" s="85"/>
      <c r="J64" s="85"/>
      <c r="K64" s="85"/>
      <c r="L64" s="85"/>
      <c r="M64" s="85"/>
      <c r="N64" s="85"/>
      <c r="O64" s="85"/>
      <c r="P64" s="84"/>
      <c r="Q64" s="84"/>
      <c r="R64" s="84"/>
      <c r="S64" s="84"/>
      <c r="T64" s="84"/>
      <c r="U64" s="84"/>
      <c r="V64" s="84"/>
      <c r="W64" s="84"/>
      <c r="X64" s="84"/>
      <c r="Y64" s="84"/>
      <c r="Z64" s="84"/>
      <c r="AA64" s="84"/>
      <c r="AB64" s="84"/>
      <c r="AC64" s="84"/>
      <c r="AD64" s="84"/>
      <c r="AE64" s="84"/>
      <c r="AF64" s="84"/>
      <c r="AG64" s="84"/>
      <c r="AH64" s="84"/>
      <c r="AI64" s="84"/>
      <c r="AJ64" s="84"/>
      <c r="AK64" s="84"/>
      <c r="AL64" s="84"/>
      <c r="AM64" s="84"/>
      <c r="AN64" s="84"/>
      <c r="AO64" s="84"/>
      <c r="AP64" s="84"/>
      <c r="AQ64" s="84"/>
      <c r="AR64" s="84"/>
      <c r="AS64" s="84"/>
      <c r="AT64" s="84"/>
      <c r="AU64" s="84"/>
      <c r="AV64" s="86"/>
      <c r="AW64" s="86"/>
      <c r="AX64" s="86"/>
      <c r="AY64" s="86"/>
      <c r="AZ64" s="86"/>
      <c r="BA64" s="86"/>
      <c r="BB64" s="86"/>
      <c r="BC64" s="86"/>
      <c r="BD64" s="86"/>
      <c r="BE64" s="86"/>
      <c r="BF64" s="83"/>
      <c r="BG64" s="83"/>
      <c r="BH64" s="83"/>
      <c r="BI64" s="83"/>
      <c r="BJ64" s="72"/>
      <c r="BK64" s="72"/>
      <c r="BL64" s="72"/>
    </row>
    <row r="65" spans="1:64" x14ac:dyDescent="0.25">
      <c r="B65" s="72"/>
      <c r="C65" s="72"/>
      <c r="D65" s="72"/>
      <c r="E65" s="72"/>
      <c r="F65" s="72"/>
      <c r="G65" s="72"/>
      <c r="H65" s="72"/>
      <c r="I65" s="72"/>
      <c r="J65" s="72"/>
      <c r="K65" s="72"/>
      <c r="L65" s="72"/>
      <c r="M65" s="72"/>
      <c r="N65" s="72"/>
      <c r="O65" s="72"/>
      <c r="P65" s="72"/>
      <c r="Q65" s="72"/>
      <c r="R65" s="72"/>
      <c r="S65" s="72"/>
      <c r="T65" s="72"/>
      <c r="U65" s="72"/>
      <c r="V65" s="72"/>
      <c r="W65" s="72"/>
      <c r="X65" s="72"/>
      <c r="Y65" s="72"/>
      <c r="Z65" s="72"/>
      <c r="AA65" s="72"/>
      <c r="AB65" s="72"/>
      <c r="AC65" s="72"/>
      <c r="AD65" s="72"/>
      <c r="AE65" s="72"/>
      <c r="AF65" s="72"/>
      <c r="AG65" s="72"/>
      <c r="AH65" s="72"/>
      <c r="AI65" s="72"/>
      <c r="AJ65" s="72"/>
      <c r="AK65" s="72"/>
      <c r="AL65" s="72"/>
      <c r="AM65" s="72"/>
      <c r="AN65" s="72"/>
      <c r="AO65" s="72"/>
      <c r="AP65" s="72"/>
      <c r="AQ65" s="72"/>
      <c r="AR65" s="72"/>
      <c r="AS65" s="72"/>
      <c r="AT65" s="72"/>
      <c r="AU65" s="72"/>
      <c r="AV65" s="72"/>
      <c r="AW65" s="72"/>
      <c r="AX65" s="72"/>
      <c r="AY65" s="72"/>
      <c r="AZ65" s="72"/>
      <c r="BA65" s="72"/>
      <c r="BB65" s="72"/>
      <c r="BC65" s="72"/>
      <c r="BD65" s="72"/>
      <c r="BE65" s="72"/>
      <c r="BF65" s="72"/>
      <c r="BG65" s="72"/>
      <c r="BH65" s="72"/>
      <c r="BI65" s="72"/>
      <c r="BJ65" s="72"/>
      <c r="BK65" s="72"/>
      <c r="BL65" s="72"/>
    </row>
    <row r="66" spans="1:64" x14ac:dyDescent="0.25">
      <c r="B66" s="72"/>
      <c r="C66" s="72"/>
      <c r="D66" s="72"/>
      <c r="E66" s="72"/>
      <c r="F66" s="72"/>
      <c r="G66" s="72"/>
      <c r="H66" s="72"/>
      <c r="I66" s="72"/>
      <c r="J66" s="72"/>
      <c r="K66" s="72"/>
      <c r="L66" s="72"/>
      <c r="M66" s="72"/>
      <c r="N66" s="72"/>
      <c r="O66" s="72"/>
      <c r="P66" s="72"/>
      <c r="Q66" s="72"/>
      <c r="R66" s="72"/>
      <c r="S66" s="72"/>
      <c r="T66" s="72"/>
      <c r="U66" s="72"/>
      <c r="V66" s="72"/>
      <c r="W66" s="72"/>
      <c r="X66" s="72"/>
      <c r="Y66" s="72"/>
      <c r="Z66" s="72"/>
      <c r="AA66" s="72"/>
      <c r="AB66" s="72"/>
      <c r="AC66" s="72"/>
      <c r="AD66" s="72"/>
      <c r="AE66" s="72"/>
      <c r="AF66" s="72"/>
      <c r="AG66" s="72"/>
      <c r="AH66" s="72"/>
      <c r="AI66" s="72"/>
      <c r="AJ66" s="72"/>
      <c r="AK66" s="72"/>
      <c r="AL66" s="72"/>
      <c r="AM66" s="72"/>
      <c r="AN66" s="72"/>
      <c r="AO66" s="72"/>
      <c r="AP66" s="72"/>
      <c r="AQ66" s="72"/>
      <c r="AR66" s="72"/>
      <c r="AS66" s="72"/>
      <c r="AT66" s="72"/>
      <c r="AU66" s="72"/>
      <c r="AV66" s="72"/>
      <c r="AW66" s="72"/>
      <c r="AX66" s="72"/>
      <c r="AY66" s="72"/>
      <c r="AZ66" s="72"/>
      <c r="BA66" s="72"/>
      <c r="BB66" s="72"/>
      <c r="BC66" s="72"/>
      <c r="BD66" s="72"/>
      <c r="BE66" s="72"/>
      <c r="BF66" s="72"/>
      <c r="BG66" s="72"/>
      <c r="BH66" s="72"/>
      <c r="BI66" s="72"/>
      <c r="BJ66" s="72"/>
      <c r="BK66" s="72"/>
      <c r="BL66" s="72"/>
    </row>
    <row r="67" spans="1:64" x14ac:dyDescent="0.25">
      <c r="A67" s="71"/>
      <c r="B67" s="87"/>
      <c r="C67" s="87"/>
      <c r="D67" s="72"/>
      <c r="E67" s="72"/>
      <c r="F67" s="72"/>
      <c r="G67" s="72"/>
      <c r="H67" s="72"/>
      <c r="I67" s="72"/>
      <c r="J67" s="72"/>
      <c r="K67" s="72"/>
      <c r="L67" s="72"/>
      <c r="M67" s="72"/>
      <c r="N67" s="72"/>
      <c r="O67" s="72"/>
      <c r="P67" s="72"/>
      <c r="Q67" s="72"/>
      <c r="R67" s="72"/>
      <c r="S67" s="72"/>
      <c r="T67" s="72"/>
      <c r="U67" s="72"/>
      <c r="V67" s="72"/>
      <c r="W67" s="72"/>
      <c r="X67" s="72"/>
      <c r="Y67" s="72"/>
      <c r="Z67" s="72"/>
      <c r="AA67" s="72"/>
      <c r="AB67" s="72"/>
      <c r="AC67" s="72"/>
      <c r="AD67" s="72"/>
      <c r="AE67" s="72"/>
      <c r="AF67" s="72"/>
      <c r="AG67" s="72"/>
      <c r="AH67" s="72"/>
      <c r="AI67" s="72"/>
      <c r="AJ67" s="72"/>
      <c r="AK67" s="72"/>
      <c r="AL67" s="72"/>
      <c r="AM67" s="72"/>
      <c r="AN67" s="72"/>
      <c r="AO67" s="72"/>
      <c r="AP67" s="72"/>
      <c r="AQ67" s="72"/>
      <c r="AR67" s="72"/>
      <c r="AS67" s="72"/>
      <c r="AT67" s="72"/>
      <c r="AU67" s="72"/>
      <c r="AV67" s="72"/>
      <c r="AW67" s="72"/>
      <c r="AX67" s="72"/>
      <c r="AY67" s="72"/>
      <c r="AZ67" s="72"/>
      <c r="BA67" s="72"/>
      <c r="BB67" s="72"/>
      <c r="BC67" s="72"/>
      <c r="BD67" s="72"/>
      <c r="BE67" s="72"/>
      <c r="BF67" s="72"/>
      <c r="BG67" s="72"/>
      <c r="BH67" s="72"/>
      <c r="BI67" s="72"/>
      <c r="BJ67" s="72"/>
      <c r="BK67" s="72"/>
      <c r="BL67" s="72"/>
    </row>
    <row r="68" spans="1:64" x14ac:dyDescent="0.25">
      <c r="A68" s="71"/>
      <c r="B68" s="87"/>
      <c r="C68" s="87"/>
      <c r="D68" s="72"/>
      <c r="E68" s="72"/>
      <c r="F68" s="72"/>
      <c r="G68" s="72"/>
      <c r="H68" s="72"/>
      <c r="I68" s="72"/>
      <c r="J68" s="72"/>
      <c r="K68" s="72"/>
      <c r="L68" s="72"/>
      <c r="M68" s="72"/>
      <c r="N68" s="72"/>
      <c r="O68" s="72"/>
      <c r="P68" s="72"/>
      <c r="Q68" s="72"/>
      <c r="R68" s="72"/>
      <c r="S68" s="72"/>
      <c r="T68" s="72"/>
      <c r="U68" s="72"/>
      <c r="V68" s="72"/>
      <c r="W68" s="72"/>
      <c r="X68" s="72"/>
      <c r="Y68" s="72"/>
      <c r="Z68" s="72"/>
      <c r="AA68" s="72"/>
      <c r="AB68" s="72"/>
      <c r="AC68" s="72"/>
      <c r="AD68" s="72"/>
      <c r="AE68" s="72"/>
      <c r="AF68" s="72"/>
      <c r="AG68" s="72"/>
      <c r="AH68" s="72"/>
      <c r="AI68" s="72"/>
      <c r="AJ68" s="72"/>
      <c r="AK68" s="72"/>
      <c r="AL68" s="72"/>
      <c r="AM68" s="72"/>
      <c r="AN68" s="72"/>
      <c r="AO68" s="72"/>
      <c r="AP68" s="72"/>
      <c r="AQ68" s="72"/>
      <c r="AR68" s="72"/>
      <c r="AS68" s="72"/>
      <c r="AT68" s="72"/>
      <c r="AU68" s="72"/>
      <c r="AV68" s="72"/>
      <c r="AW68" s="72"/>
      <c r="AX68" s="72"/>
      <c r="AY68" s="72"/>
      <c r="AZ68" s="72"/>
      <c r="BA68" s="72"/>
      <c r="BB68" s="72"/>
      <c r="BC68" s="72"/>
      <c r="BD68" s="72"/>
      <c r="BE68" s="72"/>
      <c r="BF68" s="72"/>
      <c r="BG68" s="72"/>
      <c r="BH68" s="72"/>
      <c r="BI68" s="72"/>
      <c r="BJ68" s="72"/>
      <c r="BK68" s="72"/>
      <c r="BL68" s="72"/>
    </row>
    <row r="69" spans="1:64" x14ac:dyDescent="0.25">
      <c r="A69" s="71"/>
      <c r="B69" s="87"/>
      <c r="C69" s="87"/>
      <c r="D69" s="72"/>
      <c r="E69" s="72"/>
      <c r="F69" s="72"/>
      <c r="G69" s="72"/>
      <c r="H69" s="72"/>
      <c r="I69" s="72"/>
      <c r="J69" s="72"/>
      <c r="K69" s="72"/>
      <c r="L69" s="72"/>
      <c r="M69" s="72"/>
      <c r="N69" s="72"/>
      <c r="O69" s="72"/>
      <c r="P69" s="72"/>
      <c r="Q69" s="72"/>
      <c r="R69" s="72"/>
      <c r="S69" s="72"/>
      <c r="T69" s="72"/>
      <c r="U69" s="72"/>
      <c r="V69" s="72"/>
      <c r="W69" s="72"/>
      <c r="X69" s="72"/>
      <c r="Y69" s="72"/>
      <c r="Z69" s="72"/>
      <c r="AA69" s="72"/>
      <c r="AB69" s="72"/>
      <c r="AC69" s="72"/>
      <c r="AD69" s="72"/>
      <c r="AE69" s="72"/>
      <c r="AF69" s="72"/>
      <c r="AG69" s="72"/>
      <c r="AH69" s="72"/>
      <c r="AI69" s="72"/>
      <c r="AJ69" s="72"/>
      <c r="AK69" s="72"/>
      <c r="AL69" s="72"/>
      <c r="AM69" s="72"/>
      <c r="AN69" s="72"/>
      <c r="AO69" s="72"/>
      <c r="AP69" s="72"/>
      <c r="AQ69" s="72"/>
      <c r="AR69" s="72"/>
      <c r="AS69" s="72"/>
      <c r="AT69" s="72"/>
      <c r="AU69" s="72"/>
      <c r="AV69" s="72"/>
      <c r="AW69" s="72"/>
      <c r="AX69" s="72"/>
      <c r="AY69" s="72"/>
      <c r="AZ69" s="72"/>
      <c r="BA69" s="72"/>
      <c r="BB69" s="72"/>
      <c r="BC69" s="72"/>
      <c r="BD69" s="72"/>
      <c r="BE69" s="72"/>
      <c r="BF69" s="72"/>
      <c r="BG69" s="72"/>
      <c r="BH69" s="72"/>
      <c r="BI69" s="72"/>
      <c r="BJ69" s="72"/>
      <c r="BK69" s="72"/>
      <c r="BL69" s="72"/>
    </row>
    <row r="70" spans="1:64" x14ac:dyDescent="0.25">
      <c r="A70" s="71"/>
      <c r="B70" s="87"/>
      <c r="C70" s="87"/>
      <c r="D70" s="72"/>
      <c r="E70" s="72"/>
      <c r="F70" s="72"/>
      <c r="G70" s="72"/>
      <c r="H70" s="72"/>
      <c r="I70" s="72"/>
      <c r="J70" s="72"/>
      <c r="K70" s="72"/>
      <c r="L70" s="72"/>
      <c r="M70" s="72"/>
      <c r="N70" s="72"/>
      <c r="O70" s="72"/>
      <c r="P70" s="72"/>
      <c r="Q70" s="72"/>
      <c r="R70" s="72"/>
      <c r="S70" s="72"/>
      <c r="T70" s="72"/>
      <c r="U70" s="72"/>
      <c r="V70" s="72"/>
      <c r="W70" s="72"/>
      <c r="X70" s="72"/>
      <c r="Y70" s="72"/>
      <c r="Z70" s="72"/>
      <c r="AA70" s="72"/>
      <c r="AB70" s="72"/>
      <c r="AC70" s="72"/>
      <c r="AD70" s="72"/>
      <c r="AE70" s="72"/>
      <c r="AF70" s="72"/>
      <c r="AG70" s="72"/>
      <c r="AH70" s="72"/>
      <c r="AI70" s="72"/>
      <c r="AJ70" s="72"/>
      <c r="AK70" s="72"/>
      <c r="AL70" s="72"/>
      <c r="AM70" s="72"/>
      <c r="AN70" s="72"/>
      <c r="AO70" s="72"/>
      <c r="AP70" s="72"/>
      <c r="AQ70" s="72"/>
      <c r="AR70" s="72"/>
      <c r="AS70" s="72"/>
      <c r="AT70" s="72"/>
      <c r="AU70" s="72"/>
      <c r="AV70" s="72"/>
      <c r="AW70" s="72"/>
      <c r="AX70" s="72"/>
      <c r="AY70" s="72"/>
      <c r="AZ70" s="72"/>
      <c r="BA70" s="72"/>
      <c r="BB70" s="72"/>
      <c r="BC70" s="72"/>
      <c r="BD70" s="72"/>
      <c r="BE70" s="72"/>
      <c r="BF70" s="72"/>
      <c r="BG70" s="72"/>
      <c r="BH70" s="72"/>
      <c r="BI70" s="72"/>
      <c r="BJ70" s="72"/>
      <c r="BK70" s="72"/>
      <c r="BL70" s="72"/>
    </row>
    <row r="71" spans="1:64" x14ac:dyDescent="0.25">
      <c r="A71" s="71"/>
      <c r="B71" s="87"/>
      <c r="C71" s="87"/>
      <c r="D71" s="72"/>
      <c r="E71" s="72"/>
      <c r="F71" s="72"/>
      <c r="G71" s="72"/>
      <c r="H71" s="72"/>
      <c r="I71" s="72"/>
      <c r="J71" s="72"/>
      <c r="K71" s="72"/>
      <c r="L71" s="72"/>
      <c r="M71" s="72"/>
      <c r="N71" s="72"/>
      <c r="O71" s="72"/>
      <c r="P71" s="72"/>
      <c r="Q71" s="72"/>
      <c r="R71" s="72"/>
      <c r="S71" s="72"/>
      <c r="T71" s="72"/>
      <c r="U71" s="72"/>
      <c r="V71" s="72"/>
      <c r="W71" s="72"/>
      <c r="X71" s="72"/>
      <c r="Y71" s="72"/>
      <c r="Z71" s="72"/>
      <c r="AA71" s="72"/>
      <c r="AB71" s="72"/>
      <c r="AC71" s="72"/>
      <c r="AD71" s="72"/>
      <c r="AE71" s="72"/>
      <c r="AF71" s="72"/>
      <c r="AG71" s="72"/>
      <c r="AH71" s="72"/>
      <c r="AI71" s="72"/>
      <c r="AJ71" s="72"/>
      <c r="AK71" s="72"/>
      <c r="AL71" s="72"/>
      <c r="AM71" s="72"/>
      <c r="AN71" s="72"/>
      <c r="AO71" s="72"/>
      <c r="AP71" s="72"/>
      <c r="AQ71" s="72"/>
      <c r="AR71" s="72"/>
      <c r="AS71" s="72"/>
      <c r="AT71" s="72"/>
      <c r="AU71" s="72"/>
      <c r="AV71" s="72"/>
      <c r="AW71" s="72"/>
      <c r="AX71" s="72"/>
      <c r="AY71" s="72"/>
      <c r="AZ71" s="72"/>
      <c r="BA71" s="72"/>
      <c r="BB71" s="72"/>
      <c r="BC71" s="72"/>
      <c r="BD71" s="72"/>
      <c r="BE71" s="72"/>
      <c r="BF71" s="72"/>
      <c r="BG71" s="72"/>
      <c r="BH71" s="72"/>
      <c r="BI71" s="72"/>
      <c r="BJ71" s="72"/>
      <c r="BK71" s="72"/>
      <c r="BL71" s="72"/>
    </row>
    <row r="72" spans="1:64" x14ac:dyDescent="0.25">
      <c r="A72" s="71"/>
      <c r="B72" s="87"/>
      <c r="C72" s="87"/>
      <c r="D72" s="72"/>
      <c r="E72" s="72"/>
      <c r="F72" s="72"/>
      <c r="G72" s="72"/>
      <c r="H72" s="72"/>
      <c r="I72" s="72"/>
      <c r="J72" s="72"/>
      <c r="K72" s="72"/>
      <c r="L72" s="72"/>
      <c r="M72" s="72"/>
      <c r="N72" s="72"/>
      <c r="O72" s="72"/>
      <c r="P72" s="72"/>
      <c r="Q72" s="72"/>
      <c r="R72" s="72"/>
      <c r="S72" s="72"/>
      <c r="T72" s="72"/>
      <c r="U72" s="72"/>
      <c r="V72" s="72"/>
      <c r="W72" s="72"/>
      <c r="X72" s="72"/>
      <c r="Y72" s="72"/>
      <c r="Z72" s="72"/>
      <c r="AA72" s="72"/>
      <c r="AB72" s="72"/>
      <c r="AC72" s="72"/>
      <c r="AD72" s="72"/>
      <c r="AE72" s="72"/>
      <c r="AF72" s="72"/>
      <c r="AG72" s="72"/>
      <c r="AH72" s="72"/>
      <c r="AI72" s="72"/>
      <c r="AJ72" s="72"/>
      <c r="AK72" s="72"/>
      <c r="AL72" s="72"/>
      <c r="AM72" s="72"/>
      <c r="AN72" s="72"/>
      <c r="AO72" s="72"/>
      <c r="AP72" s="72"/>
      <c r="AQ72" s="72"/>
      <c r="AR72" s="72"/>
      <c r="AS72" s="72"/>
      <c r="AT72" s="72"/>
      <c r="AU72" s="72"/>
      <c r="AV72" s="72"/>
      <c r="AW72" s="72"/>
      <c r="AX72" s="72"/>
      <c r="AY72" s="72"/>
      <c r="AZ72" s="72"/>
      <c r="BA72" s="72"/>
      <c r="BB72" s="72"/>
      <c r="BC72" s="72"/>
      <c r="BD72" s="72"/>
      <c r="BE72" s="72"/>
      <c r="BF72" s="72"/>
      <c r="BG72" s="72"/>
      <c r="BH72" s="72"/>
      <c r="BI72" s="72"/>
      <c r="BJ72" s="72"/>
      <c r="BK72" s="72"/>
      <c r="BL72" s="72"/>
    </row>
    <row r="73" spans="1:64" x14ac:dyDescent="0.25">
      <c r="A73" s="71"/>
      <c r="B73" s="87"/>
      <c r="C73" s="87"/>
      <c r="D73" s="72"/>
      <c r="E73" s="72"/>
      <c r="F73" s="72"/>
      <c r="G73" s="72"/>
      <c r="H73" s="72"/>
      <c r="I73" s="72"/>
      <c r="J73" s="72"/>
      <c r="K73" s="72"/>
      <c r="L73" s="72"/>
      <c r="M73" s="72"/>
      <c r="N73" s="72"/>
      <c r="O73" s="72"/>
      <c r="P73" s="72"/>
      <c r="Q73" s="72"/>
      <c r="R73" s="72"/>
      <c r="S73" s="72"/>
      <c r="T73" s="72"/>
      <c r="U73" s="72"/>
      <c r="V73" s="72"/>
      <c r="W73" s="72"/>
      <c r="X73" s="72"/>
      <c r="Y73" s="72"/>
      <c r="Z73" s="72"/>
      <c r="AA73" s="72"/>
      <c r="AB73" s="72"/>
      <c r="AC73" s="72"/>
      <c r="AD73" s="72"/>
      <c r="AE73" s="72"/>
      <c r="AF73" s="72"/>
      <c r="AG73" s="72"/>
      <c r="AH73" s="72"/>
      <c r="AI73" s="72"/>
      <c r="AJ73" s="72"/>
      <c r="AK73" s="72"/>
      <c r="AL73" s="72"/>
      <c r="AM73" s="72"/>
      <c r="AN73" s="72"/>
      <c r="AO73" s="72"/>
      <c r="AP73" s="72"/>
      <c r="AQ73" s="72"/>
      <c r="AR73" s="72"/>
      <c r="AS73" s="72"/>
      <c r="AT73" s="72"/>
      <c r="AU73" s="72"/>
      <c r="AV73" s="72"/>
      <c r="AW73" s="72"/>
      <c r="AX73" s="72"/>
      <c r="AY73" s="72"/>
      <c r="AZ73" s="72"/>
      <c r="BA73" s="72"/>
      <c r="BB73" s="72"/>
      <c r="BC73" s="72"/>
      <c r="BD73" s="72"/>
      <c r="BE73" s="72"/>
      <c r="BF73" s="72"/>
      <c r="BG73" s="72"/>
      <c r="BH73" s="72"/>
      <c r="BI73" s="72"/>
      <c r="BJ73" s="72"/>
      <c r="BK73" s="72"/>
      <c r="BL73" s="72"/>
    </row>
    <row r="74" spans="1:64" x14ac:dyDescent="0.25">
      <c r="B74" s="72"/>
      <c r="C74" s="72"/>
      <c r="D74" s="72"/>
      <c r="E74" s="72"/>
      <c r="F74" s="72"/>
      <c r="G74" s="72"/>
      <c r="H74" s="72"/>
      <c r="I74" s="72"/>
      <c r="J74" s="72"/>
      <c r="K74" s="72"/>
      <c r="L74" s="72"/>
      <c r="M74" s="72"/>
      <c r="N74" s="72"/>
      <c r="O74" s="72"/>
      <c r="P74" s="72"/>
      <c r="Q74" s="72"/>
      <c r="R74" s="72"/>
      <c r="S74" s="72"/>
      <c r="T74" s="72"/>
      <c r="U74" s="72"/>
      <c r="V74" s="72"/>
      <c r="W74" s="72"/>
      <c r="X74" s="72"/>
      <c r="Y74" s="72"/>
      <c r="Z74" s="72"/>
      <c r="AA74" s="72"/>
      <c r="AB74" s="72"/>
      <c r="AC74" s="72"/>
      <c r="AD74" s="72"/>
      <c r="AE74" s="72"/>
      <c r="AF74" s="72"/>
      <c r="AG74" s="72"/>
      <c r="AH74" s="72"/>
      <c r="AI74" s="72"/>
      <c r="AJ74" s="72"/>
      <c r="AK74" s="72"/>
      <c r="AL74" s="72"/>
      <c r="AM74" s="72"/>
      <c r="AN74" s="72"/>
      <c r="AO74" s="72"/>
      <c r="AP74" s="72"/>
      <c r="AQ74" s="72"/>
      <c r="AR74" s="72"/>
      <c r="AS74" s="72"/>
      <c r="AT74" s="72"/>
      <c r="AU74" s="72"/>
      <c r="AV74" s="72"/>
      <c r="AW74" s="72"/>
      <c r="AX74" s="72"/>
      <c r="AY74" s="72"/>
      <c r="AZ74" s="72"/>
      <c r="BA74" s="72"/>
      <c r="BB74" s="72"/>
      <c r="BC74" s="72"/>
      <c r="BD74" s="72"/>
      <c r="BE74" s="72"/>
      <c r="BF74" s="72"/>
      <c r="BG74" s="72"/>
      <c r="BH74" s="72"/>
      <c r="BI74" s="72"/>
      <c r="BJ74" s="72"/>
      <c r="BK74" s="72"/>
      <c r="BL74" s="72"/>
    </row>
    <row r="75" spans="1:64" x14ac:dyDescent="0.25">
      <c r="B75" s="72"/>
      <c r="C75" s="72"/>
      <c r="D75" s="72"/>
      <c r="E75" s="72"/>
      <c r="F75" s="72"/>
      <c r="G75" s="72"/>
      <c r="H75" s="72"/>
      <c r="I75" s="72"/>
      <c r="J75" s="72"/>
      <c r="K75" s="72"/>
      <c r="L75" s="72"/>
      <c r="M75" s="72"/>
      <c r="N75" s="72"/>
      <c r="O75" s="72"/>
      <c r="P75" s="72"/>
      <c r="Q75" s="72"/>
      <c r="R75" s="72"/>
      <c r="S75" s="72"/>
      <c r="T75" s="72"/>
      <c r="U75" s="72"/>
      <c r="V75" s="72"/>
      <c r="W75" s="72"/>
      <c r="X75" s="72"/>
      <c r="Y75" s="72"/>
      <c r="Z75" s="72"/>
      <c r="AA75" s="72"/>
      <c r="AB75" s="72"/>
      <c r="AC75" s="72"/>
      <c r="AD75" s="72"/>
      <c r="AE75" s="72"/>
      <c r="AF75" s="72"/>
      <c r="AG75" s="72"/>
      <c r="AH75" s="72"/>
      <c r="AI75" s="72"/>
      <c r="AJ75" s="72"/>
      <c r="AK75" s="72"/>
      <c r="AL75" s="72"/>
      <c r="AM75" s="72"/>
      <c r="AN75" s="72"/>
      <c r="AO75" s="72"/>
      <c r="AP75" s="72"/>
      <c r="AQ75" s="72"/>
      <c r="AR75" s="72"/>
      <c r="AS75" s="72"/>
      <c r="AT75" s="72"/>
      <c r="AU75" s="72"/>
      <c r="AV75" s="72"/>
      <c r="AW75" s="72"/>
      <c r="AX75" s="72"/>
      <c r="AY75" s="72"/>
      <c r="AZ75" s="72"/>
      <c r="BA75" s="72"/>
      <c r="BB75" s="72"/>
      <c r="BC75" s="72"/>
      <c r="BD75" s="72"/>
      <c r="BE75" s="72"/>
      <c r="BF75" s="72"/>
      <c r="BG75" s="72"/>
      <c r="BH75" s="72"/>
      <c r="BI75" s="72"/>
      <c r="BJ75" s="72"/>
      <c r="BK75" s="72"/>
      <c r="BL75" s="72"/>
    </row>
  </sheetData>
  <sheetProtection password="D989" sheet="1" objects="1" scenarios="1"/>
  <mergeCells count="60">
    <mergeCell ref="C58:D58"/>
    <mergeCell ref="C59:D59"/>
    <mergeCell ref="C50:D50"/>
    <mergeCell ref="C51:D51"/>
    <mergeCell ref="C52:D52"/>
    <mergeCell ref="C53:D53"/>
    <mergeCell ref="C54:D54"/>
    <mergeCell ref="C55:D55"/>
    <mergeCell ref="C36:D36"/>
    <mergeCell ref="C46:D46"/>
    <mergeCell ref="C47:D47"/>
    <mergeCell ref="C56:D56"/>
    <mergeCell ref="C57:D57"/>
    <mergeCell ref="C48:D48"/>
    <mergeCell ref="C49:D49"/>
    <mergeCell ref="C38:D38"/>
    <mergeCell ref="C39:D39"/>
    <mergeCell ref="C40:D40"/>
    <mergeCell ref="C41:D41"/>
    <mergeCell ref="C42:D42"/>
    <mergeCell ref="C43:D43"/>
    <mergeCell ref="C44:D44"/>
    <mergeCell ref="C45:D45"/>
    <mergeCell ref="C31:D31"/>
    <mergeCell ref="C32:D32"/>
    <mergeCell ref="C33:D33"/>
    <mergeCell ref="C34:D34"/>
    <mergeCell ref="C35:D35"/>
    <mergeCell ref="C26:D26"/>
    <mergeCell ref="C27:D27"/>
    <mergeCell ref="C28:D28"/>
    <mergeCell ref="C29:D29"/>
    <mergeCell ref="C30:D30"/>
    <mergeCell ref="C25:D25"/>
    <mergeCell ref="BI13:BI14"/>
    <mergeCell ref="E63:O63"/>
    <mergeCell ref="AV63:BE63"/>
    <mergeCell ref="C13:D14"/>
    <mergeCell ref="C15:D15"/>
    <mergeCell ref="C16:D16"/>
    <mergeCell ref="C17:D17"/>
    <mergeCell ref="C18:D18"/>
    <mergeCell ref="C19:D19"/>
    <mergeCell ref="C20:D20"/>
    <mergeCell ref="C21:D21"/>
    <mergeCell ref="C22:D22"/>
    <mergeCell ref="C23:D23"/>
    <mergeCell ref="C24:D24"/>
    <mergeCell ref="C37:D37"/>
    <mergeCell ref="B13:B14"/>
    <mergeCell ref="E13:BD13"/>
    <mergeCell ref="BE13:BH13"/>
    <mergeCell ref="AZ9:BE9"/>
    <mergeCell ref="BF9:BH9"/>
    <mergeCell ref="B2:BI3"/>
    <mergeCell ref="AZ5:BE5"/>
    <mergeCell ref="AZ7:BE7"/>
    <mergeCell ref="BF5:BH5"/>
    <mergeCell ref="BF7:BH7"/>
    <mergeCell ref="B4:BI4"/>
  </mergeCells>
  <conditionalFormatting sqref="BI15:BI59">
    <cfRule type="containsErrors" priority="3">
      <formula>ISERROR(BI15)</formula>
    </cfRule>
  </conditionalFormatting>
  <conditionalFormatting sqref="BI15:BI59">
    <cfRule type="containsText" dxfId="90" priority="2" operator="containsText" text="#¡VALOR!">
      <formula>NOT(ISERROR(SEARCH("#¡VALOR!",BI15)))</formula>
    </cfRule>
  </conditionalFormatting>
  <pageMargins left="0.25" right="0.25" top="0.75" bottom="0.75" header="0.3" footer="0.3"/>
  <pageSetup scale="48" orientation="portrait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8E5CA360-8224-4A08-B07A-6CFD6E1F518D}">
            <xm:f>+'C. FILIACION'!$R$14="RETIRO O ABANDONO"</xm:f>
            <x14:dxf>
              <fill>
                <patternFill>
                  <bgColor rgb="FFFF0000"/>
                </patternFill>
              </fill>
            </x14:dxf>
          </x14:cfRule>
          <xm:sqref>C15:D15 BE15:BI15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>
    <tabColor rgb="FF00B050"/>
    <pageSetUpPr fitToPage="1"/>
  </sheetPr>
  <dimension ref="A1:BE83"/>
  <sheetViews>
    <sheetView showZeros="0" zoomScale="80" zoomScaleNormal="80" workbookViewId="0">
      <pane ySplit="18" topLeftCell="A49" activePane="bottomLeft" state="frozen"/>
      <selection pane="bottomLeft" activeCell="P49" sqref="P48:P49"/>
    </sheetView>
  </sheetViews>
  <sheetFormatPr baseColWidth="10" defaultColWidth="11.42578125" defaultRowHeight="15" x14ac:dyDescent="0.25"/>
  <cols>
    <col min="1" max="1" width="1" style="72" customWidth="1"/>
    <col min="2" max="2" width="3.5703125" style="72" customWidth="1"/>
    <col min="3" max="3" width="28.5703125" style="72" customWidth="1"/>
    <col min="4" max="4" width="4" style="72" customWidth="1"/>
    <col min="5" max="9" width="2.7109375" style="72" customWidth="1"/>
    <col min="10" max="10" width="5.7109375" style="72" customWidth="1"/>
    <col min="11" max="25" width="2.7109375" style="72" customWidth="1"/>
    <col min="26" max="26" width="5.7109375" style="72" customWidth="1"/>
    <col min="27" max="41" width="2.7109375" style="72" customWidth="1"/>
    <col min="42" max="42" width="5.7109375" style="72" customWidth="1"/>
    <col min="43" max="47" width="2.7109375" style="72" customWidth="1"/>
    <col min="48" max="48" width="5.7109375" style="72" customWidth="1"/>
    <col min="49" max="49" width="8.7109375" style="72" customWidth="1"/>
    <col min="50" max="50" width="9.42578125" style="72" customWidth="1"/>
    <col min="51" max="51" width="9.7109375" style="72" customWidth="1"/>
    <col min="52" max="52" width="13.7109375" style="72" customWidth="1"/>
    <col min="53" max="53" width="10.42578125" style="72" customWidth="1"/>
    <col min="54" max="54" width="6.5703125" style="72" customWidth="1"/>
    <col min="55" max="55" width="48.85546875" style="72" customWidth="1"/>
    <col min="56" max="56" width="21.140625" style="72" customWidth="1"/>
    <col min="57" max="16384" width="11.42578125" style="72"/>
  </cols>
  <sheetData>
    <row r="1" spans="1:57" ht="6" customHeight="1" x14ac:dyDescent="0.25">
      <c r="A1" s="102"/>
    </row>
    <row r="2" spans="1:57" ht="6.75" customHeight="1" x14ac:dyDescent="0.25">
      <c r="A2" s="102"/>
    </row>
    <row r="3" spans="1:57" ht="9.9499999999999993" customHeight="1" x14ac:dyDescent="0.25">
      <c r="A3" s="102"/>
      <c r="B3" s="639" t="s">
        <v>261</v>
      </c>
      <c r="C3" s="640"/>
      <c r="D3" s="640"/>
      <c r="E3" s="640"/>
      <c r="F3" s="640"/>
      <c r="G3" s="640"/>
      <c r="H3" s="640"/>
      <c r="I3" s="640"/>
      <c r="J3" s="640"/>
      <c r="K3" s="640"/>
      <c r="L3" s="640"/>
      <c r="M3" s="640"/>
      <c r="N3" s="640"/>
      <c r="O3" s="640"/>
      <c r="P3" s="640"/>
      <c r="Q3" s="640"/>
      <c r="R3" s="640"/>
      <c r="S3" s="640"/>
      <c r="T3" s="640"/>
      <c r="U3" s="640"/>
      <c r="V3" s="640"/>
      <c r="W3" s="640"/>
      <c r="X3" s="640"/>
      <c r="Y3" s="640"/>
      <c r="Z3" s="640"/>
      <c r="AA3" s="640"/>
      <c r="AB3" s="640"/>
      <c r="AC3" s="640"/>
      <c r="AD3" s="640"/>
      <c r="AE3" s="640"/>
      <c r="AF3" s="640"/>
      <c r="AG3" s="640"/>
      <c r="AH3" s="640"/>
      <c r="AI3" s="640"/>
      <c r="AJ3" s="640"/>
      <c r="AK3" s="640"/>
      <c r="AL3" s="640"/>
      <c r="AM3" s="640"/>
      <c r="AN3" s="640"/>
      <c r="AO3" s="640"/>
      <c r="AP3" s="640"/>
      <c r="AQ3" s="640"/>
      <c r="AR3" s="640"/>
      <c r="AS3" s="640"/>
      <c r="AT3" s="640"/>
      <c r="AU3" s="640"/>
      <c r="AV3" s="640"/>
      <c r="AW3" s="640"/>
      <c r="AX3" s="640"/>
      <c r="AY3" s="640"/>
      <c r="AZ3" s="640"/>
    </row>
    <row r="4" spans="1:57" ht="7.5" customHeight="1" x14ac:dyDescent="0.25">
      <c r="A4" s="102"/>
      <c r="B4" s="639"/>
      <c r="C4" s="640"/>
      <c r="D4" s="640"/>
      <c r="E4" s="640"/>
      <c r="F4" s="640"/>
      <c r="G4" s="640"/>
      <c r="H4" s="640"/>
      <c r="I4" s="640"/>
      <c r="J4" s="640"/>
      <c r="K4" s="640"/>
      <c r="L4" s="640"/>
      <c r="M4" s="640"/>
      <c r="N4" s="640"/>
      <c r="O4" s="640"/>
      <c r="P4" s="640"/>
      <c r="Q4" s="640"/>
      <c r="R4" s="640"/>
      <c r="S4" s="640"/>
      <c r="T4" s="640"/>
      <c r="U4" s="640"/>
      <c r="V4" s="640"/>
      <c r="W4" s="640"/>
      <c r="X4" s="640"/>
      <c r="Y4" s="640"/>
      <c r="Z4" s="640"/>
      <c r="AA4" s="640"/>
      <c r="AB4" s="640"/>
      <c r="AC4" s="640"/>
      <c r="AD4" s="640"/>
      <c r="AE4" s="640"/>
      <c r="AF4" s="640"/>
      <c r="AG4" s="640"/>
      <c r="AH4" s="640"/>
      <c r="AI4" s="640"/>
      <c r="AJ4" s="640"/>
      <c r="AK4" s="640"/>
      <c r="AL4" s="640"/>
      <c r="AM4" s="640"/>
      <c r="AN4" s="640"/>
      <c r="AO4" s="640"/>
      <c r="AP4" s="640"/>
      <c r="AQ4" s="640"/>
      <c r="AR4" s="640"/>
      <c r="AS4" s="640"/>
      <c r="AT4" s="640"/>
      <c r="AU4" s="640"/>
      <c r="AV4" s="640"/>
      <c r="AW4" s="640"/>
      <c r="AX4" s="640"/>
      <c r="AY4" s="640"/>
      <c r="AZ4" s="640"/>
    </row>
    <row r="5" spans="1:57" ht="3" customHeight="1" x14ac:dyDescent="0.25">
      <c r="A5" s="102"/>
      <c r="B5" s="115"/>
      <c r="C5" s="115"/>
      <c r="D5" s="115"/>
      <c r="E5" s="115"/>
      <c r="F5" s="115"/>
      <c r="G5" s="115"/>
      <c r="H5" s="115"/>
      <c r="I5" s="115"/>
      <c r="J5" s="115"/>
      <c r="K5" s="115"/>
      <c r="L5" s="115"/>
      <c r="M5" s="115"/>
      <c r="N5" s="115"/>
      <c r="O5" s="115"/>
      <c r="P5" s="115"/>
      <c r="Q5" s="115"/>
      <c r="R5" s="115"/>
      <c r="S5" s="115"/>
      <c r="T5" s="115"/>
      <c r="U5" s="115"/>
      <c r="V5" s="115"/>
      <c r="W5" s="115"/>
      <c r="X5" s="115"/>
      <c r="Y5" s="115"/>
      <c r="Z5" s="115"/>
      <c r="AA5" s="115"/>
      <c r="AB5" s="115"/>
      <c r="AC5" s="115"/>
      <c r="AD5" s="115"/>
      <c r="AE5" s="116"/>
    </row>
    <row r="6" spans="1:57" ht="19.5" customHeight="1" x14ac:dyDescent="0.25">
      <c r="A6" s="102"/>
      <c r="B6" s="117"/>
      <c r="C6" s="118" t="s">
        <v>1</v>
      </c>
      <c r="D6" s="119" t="s">
        <v>6</v>
      </c>
      <c r="E6" s="385"/>
      <c r="F6" s="495">
        <f>CARATULA!G20</f>
        <v>0</v>
      </c>
      <c r="G6" s="387"/>
      <c r="H6" s="387"/>
      <c r="I6" s="120"/>
      <c r="J6" s="120"/>
      <c r="K6" s="120"/>
      <c r="L6" s="120"/>
      <c r="M6" s="120"/>
      <c r="N6" s="120"/>
      <c r="O6" s="120"/>
      <c r="P6" s="120"/>
      <c r="Q6" s="120"/>
      <c r="R6" s="120"/>
      <c r="S6" s="120"/>
      <c r="T6" s="120"/>
      <c r="U6" s="120"/>
      <c r="V6" s="120" t="s">
        <v>44</v>
      </c>
      <c r="W6" s="120"/>
      <c r="X6" s="120"/>
      <c r="Y6" s="125"/>
      <c r="Z6" s="277"/>
      <c r="AA6" s="277"/>
      <c r="AB6" s="277"/>
      <c r="AC6" s="303" t="s">
        <v>6</v>
      </c>
      <c r="AD6" s="641">
        <f>CARATULA!P8</f>
        <v>43503</v>
      </c>
      <c r="AE6" s="641"/>
      <c r="AF6" s="641"/>
      <c r="AG6" s="641"/>
      <c r="AH6" s="641"/>
      <c r="AI6" s="121"/>
      <c r="AJ6" s="647"/>
      <c r="AK6" s="647"/>
      <c r="AL6" s="647"/>
      <c r="AM6" s="647"/>
      <c r="AN6" s="647"/>
      <c r="AO6" s="647"/>
      <c r="AP6" s="647"/>
      <c r="AQ6" s="649"/>
      <c r="AR6" s="649"/>
      <c r="AS6" s="668"/>
      <c r="AT6" s="669"/>
      <c r="AU6" s="669"/>
      <c r="AV6" s="669"/>
      <c r="AW6" s="669"/>
      <c r="AX6" s="670"/>
      <c r="AY6" s="643" t="s">
        <v>68</v>
      </c>
      <c r="AZ6" s="644"/>
    </row>
    <row r="7" spans="1:57" ht="12.95" customHeight="1" x14ac:dyDescent="0.25">
      <c r="A7" s="102"/>
      <c r="B7" s="117"/>
      <c r="C7" s="118" t="s">
        <v>2</v>
      </c>
      <c r="D7" s="119" t="s">
        <v>6</v>
      </c>
      <c r="E7" s="385"/>
      <c r="F7" s="495">
        <f>CARATULA!G26</f>
        <v>0</v>
      </c>
      <c r="G7" s="386"/>
      <c r="H7" s="386"/>
      <c r="I7" s="412"/>
      <c r="J7" s="412"/>
      <c r="K7" s="412"/>
      <c r="L7" s="412"/>
      <c r="M7" s="412"/>
      <c r="N7" s="412"/>
      <c r="O7" s="412"/>
      <c r="P7" s="412"/>
      <c r="Q7" s="412"/>
      <c r="R7" s="412"/>
      <c r="S7" s="412"/>
      <c r="T7" s="412"/>
      <c r="U7" s="412"/>
      <c r="V7" s="412"/>
      <c r="W7" s="412"/>
      <c r="X7" s="412"/>
      <c r="Y7" s="124"/>
      <c r="Z7" s="124"/>
      <c r="AA7" s="124"/>
      <c r="AB7" s="124"/>
      <c r="AC7" s="304"/>
      <c r="AD7" s="388"/>
      <c r="AE7" s="388"/>
      <c r="AF7" s="302"/>
      <c r="AG7" s="302"/>
      <c r="AH7" s="302"/>
      <c r="AI7" s="78"/>
      <c r="AJ7" s="651" t="s">
        <v>228</v>
      </c>
      <c r="AK7" s="651"/>
      <c r="AL7" s="651"/>
      <c r="AM7" s="651"/>
      <c r="AN7" s="651"/>
      <c r="AO7" s="651"/>
      <c r="AP7" s="651"/>
      <c r="AQ7" s="652">
        <f>COUNTIF(AY19:AY63,"&gt;=50,500")</f>
        <v>0</v>
      </c>
      <c r="AR7" s="652"/>
      <c r="AS7" s="671"/>
      <c r="AT7" s="649"/>
      <c r="AU7" s="649"/>
      <c r="AV7" s="649"/>
      <c r="AW7" s="649"/>
      <c r="AX7" s="672"/>
      <c r="AY7" s="643"/>
      <c r="AZ7" s="644"/>
    </row>
    <row r="8" spans="1:57" ht="12.95" customHeight="1" x14ac:dyDescent="0.25">
      <c r="A8" s="102"/>
      <c r="B8" s="117"/>
      <c r="C8" s="118" t="s">
        <v>99</v>
      </c>
      <c r="D8" s="119" t="s">
        <v>6</v>
      </c>
      <c r="E8" s="385"/>
      <c r="F8" s="495" t="str">
        <f>CONCATENATE(CARATULA!G28," ",CARATULA!H28)</f>
        <v xml:space="preserve"> </v>
      </c>
      <c r="G8" s="387"/>
      <c r="H8" s="387"/>
      <c r="I8" s="120"/>
      <c r="J8" s="120"/>
      <c r="K8" s="120"/>
      <c r="L8" s="120"/>
      <c r="M8" s="120"/>
      <c r="N8" s="120"/>
      <c r="O8" s="120"/>
      <c r="P8" s="120"/>
      <c r="Q8" s="120"/>
      <c r="R8" s="120"/>
      <c r="S8" s="120"/>
      <c r="T8" s="125"/>
      <c r="U8" s="120"/>
      <c r="V8" s="125" t="s">
        <v>45</v>
      </c>
      <c r="W8" s="125"/>
      <c r="X8" s="125"/>
      <c r="Y8" s="125"/>
      <c r="Z8" s="125"/>
      <c r="AA8" s="125"/>
      <c r="AB8" s="125"/>
      <c r="AC8" s="303" t="s">
        <v>6</v>
      </c>
      <c r="AD8" s="642">
        <f>CARATULA!R8</f>
        <v>43575</v>
      </c>
      <c r="AE8" s="642"/>
      <c r="AF8" s="642"/>
      <c r="AG8" s="642"/>
      <c r="AH8" s="642"/>
      <c r="AI8" s="121"/>
      <c r="AJ8" s="648" t="s">
        <v>229</v>
      </c>
      <c r="AK8" s="648"/>
      <c r="AL8" s="648"/>
      <c r="AM8" s="648"/>
      <c r="AN8" s="648"/>
      <c r="AO8" s="648"/>
      <c r="AP8" s="648"/>
      <c r="AQ8" s="650">
        <f>COUNTIFS(AY19:AY63,"&gt;=1",AY19:AY63,"&lt;=50,499")</f>
        <v>0</v>
      </c>
      <c r="AR8" s="650"/>
      <c r="AS8" s="671"/>
      <c r="AT8" s="649"/>
      <c r="AU8" s="649"/>
      <c r="AV8" s="649"/>
      <c r="AW8" s="649"/>
      <c r="AX8" s="672"/>
      <c r="AY8" s="645">
        <f ca="1">AD8-AD10</f>
        <v>65</v>
      </c>
      <c r="AZ8" s="646"/>
      <c r="BB8" s="424" t="s">
        <v>307</v>
      </c>
      <c r="BC8" s="424" t="s">
        <v>74</v>
      </c>
      <c r="BD8" s="442"/>
      <c r="BE8" s="443"/>
    </row>
    <row r="9" spans="1:57" ht="12.95" customHeight="1" x14ac:dyDescent="0.3">
      <c r="A9" s="102"/>
      <c r="B9" s="117"/>
      <c r="C9" s="118" t="s">
        <v>382</v>
      </c>
      <c r="D9" s="119" t="s">
        <v>6</v>
      </c>
      <c r="E9" s="385"/>
      <c r="F9" s="495">
        <f>CARATULA!G22</f>
        <v>0</v>
      </c>
      <c r="G9" s="387"/>
      <c r="H9" s="387"/>
      <c r="I9" s="120"/>
      <c r="J9" s="120"/>
      <c r="K9" s="120"/>
      <c r="L9" s="120"/>
      <c r="M9" s="120"/>
      <c r="N9" s="120"/>
      <c r="O9" s="120"/>
      <c r="P9" s="120"/>
      <c r="Q9" s="120"/>
      <c r="R9" s="120"/>
      <c r="S9" s="120"/>
      <c r="T9" s="120"/>
      <c r="U9" s="120"/>
      <c r="V9" s="412"/>
      <c r="W9" s="412"/>
      <c r="X9" s="412"/>
      <c r="Y9" s="124"/>
      <c r="Z9" s="124"/>
      <c r="AA9" s="124"/>
      <c r="AB9" s="124"/>
      <c r="AC9" s="304"/>
      <c r="AD9" s="388"/>
      <c r="AE9" s="388"/>
      <c r="AF9" s="389"/>
      <c r="AG9" s="389"/>
      <c r="AH9" s="389"/>
      <c r="AI9" s="76"/>
      <c r="AJ9" s="76"/>
      <c r="AK9" s="76"/>
      <c r="AL9" s="76"/>
      <c r="AM9" s="76"/>
      <c r="AN9" s="76"/>
      <c r="AO9" s="76"/>
      <c r="AP9" s="76"/>
      <c r="AQ9" s="76"/>
      <c r="AR9" s="76"/>
      <c r="AS9" s="671"/>
      <c r="AT9" s="649"/>
      <c r="AU9" s="649"/>
      <c r="AV9" s="649"/>
      <c r="AW9" s="649"/>
      <c r="AX9" s="672"/>
      <c r="AY9" s="645"/>
      <c r="AZ9" s="646"/>
      <c r="BB9" s="415"/>
      <c r="BC9" s="415"/>
    </row>
    <row r="10" spans="1:57" ht="12.95" customHeight="1" x14ac:dyDescent="0.25">
      <c r="A10" s="102"/>
      <c r="B10" s="117"/>
      <c r="C10" s="118" t="s">
        <v>383</v>
      </c>
      <c r="D10" s="119" t="s">
        <v>6</v>
      </c>
      <c r="E10" s="385"/>
      <c r="F10" s="495">
        <f>CARATULA!G24</f>
        <v>0</v>
      </c>
      <c r="G10" s="387"/>
      <c r="H10" s="387"/>
      <c r="I10" s="120"/>
      <c r="J10" s="120"/>
      <c r="K10" s="120"/>
      <c r="L10" s="120"/>
      <c r="M10" s="120"/>
      <c r="N10" s="120"/>
      <c r="O10" s="120"/>
      <c r="P10" s="120"/>
      <c r="Q10" s="120"/>
      <c r="R10" s="120"/>
      <c r="S10" s="120"/>
      <c r="T10" s="120"/>
      <c r="U10" s="120"/>
      <c r="V10" s="676" t="s">
        <v>66</v>
      </c>
      <c r="W10" s="676"/>
      <c r="X10" s="676"/>
      <c r="Y10" s="676"/>
      <c r="Z10" s="676"/>
      <c r="AA10" s="676"/>
      <c r="AB10" s="676"/>
      <c r="AC10" s="304" t="s">
        <v>6</v>
      </c>
      <c r="AD10" s="641">
        <f ca="1">TODAY()</f>
        <v>43510</v>
      </c>
      <c r="AE10" s="660"/>
      <c r="AF10" s="660"/>
      <c r="AG10" s="660"/>
      <c r="AH10" s="660"/>
      <c r="AI10" s="76"/>
      <c r="AJ10" s="76"/>
      <c r="AK10" s="76"/>
      <c r="AL10" s="76"/>
      <c r="AM10" s="76"/>
      <c r="AN10" s="76"/>
      <c r="AO10" s="76"/>
      <c r="AP10" s="76"/>
      <c r="AQ10" s="76"/>
      <c r="AR10" s="76"/>
      <c r="AS10" s="671"/>
      <c r="AT10" s="649"/>
      <c r="AU10" s="649"/>
      <c r="AV10" s="649"/>
      <c r="AW10" s="649"/>
      <c r="AX10" s="672"/>
      <c r="AY10" s="645"/>
      <c r="AZ10" s="646"/>
      <c r="BB10" s="417">
        <v>1</v>
      </c>
      <c r="BC10" s="493" t="str">
        <f>VLOOKUP(BB10,'C. FILIACION'!B14:C58, 2,FALSE)</f>
        <v>SUAREZ EVELIN ISELA</v>
      </c>
      <c r="BD10" s="444"/>
    </row>
    <row r="11" spans="1:57" ht="12.95" customHeight="1" x14ac:dyDescent="0.3">
      <c r="A11" s="494">
        <f>COUNTIF(AY19:AY63,¨&gt;=50)</f>
        <v>0</v>
      </c>
      <c r="B11" s="117"/>
      <c r="C11" s="118" t="s">
        <v>3</v>
      </c>
      <c r="D11" s="119" t="s">
        <v>6</v>
      </c>
      <c r="E11" s="385"/>
      <c r="F11" s="495">
        <f>CARATULA!G30</f>
        <v>0</v>
      </c>
      <c r="G11" s="387"/>
      <c r="H11" s="387"/>
      <c r="I11" s="120"/>
      <c r="J11" s="120"/>
      <c r="K11" s="120"/>
      <c r="L11" s="120"/>
      <c r="M11" s="120"/>
      <c r="N11" s="120"/>
      <c r="O11" s="120"/>
      <c r="P11" s="120"/>
      <c r="Q11" s="120"/>
      <c r="R11" s="120"/>
      <c r="S11" s="120"/>
      <c r="T11" s="120"/>
      <c r="U11" s="120"/>
      <c r="V11" s="412"/>
      <c r="W11" s="412"/>
      <c r="X11" s="412"/>
      <c r="Y11" s="124"/>
      <c r="Z11" s="124"/>
      <c r="AA11" s="124"/>
      <c r="AB11" s="124"/>
      <c r="AC11" s="124"/>
      <c r="AD11" s="390"/>
      <c r="AE11" s="390"/>
      <c r="AF11" s="391"/>
      <c r="AG11" s="391"/>
      <c r="AH11" s="391"/>
      <c r="AI11" s="76"/>
      <c r="AJ11" s="76"/>
      <c r="AK11" s="76"/>
      <c r="AL11" s="76"/>
      <c r="AM11" s="76"/>
      <c r="AN11" s="76"/>
      <c r="AO11" s="76"/>
      <c r="AP11" s="76"/>
      <c r="AQ11" s="76"/>
      <c r="AR11" s="76"/>
      <c r="AS11" s="671"/>
      <c r="AT11" s="649"/>
      <c r="AU11" s="649"/>
      <c r="AV11" s="649"/>
      <c r="AW11" s="649"/>
      <c r="AX11" s="672"/>
      <c r="AY11" s="645"/>
      <c r="AZ11" s="646"/>
      <c r="BB11" s="415"/>
      <c r="BC11" s="445"/>
      <c r="BD11" s="446"/>
    </row>
    <row r="12" spans="1:57" ht="12.95" customHeight="1" x14ac:dyDescent="0.25">
      <c r="A12" s="102"/>
      <c r="B12" s="117"/>
      <c r="C12" s="118" t="s">
        <v>21</v>
      </c>
      <c r="D12" s="119" t="s">
        <v>6</v>
      </c>
      <c r="E12" s="385"/>
      <c r="F12" s="495">
        <f>CARATULA!G32</f>
        <v>0</v>
      </c>
      <c r="G12" s="387"/>
      <c r="H12" s="387"/>
      <c r="I12" s="120"/>
      <c r="J12" s="120"/>
      <c r="K12" s="120"/>
      <c r="L12" s="120"/>
      <c r="M12" s="120"/>
      <c r="N12" s="120"/>
      <c r="O12" s="120"/>
      <c r="P12" s="120"/>
      <c r="Q12" s="120"/>
      <c r="R12" s="120"/>
      <c r="S12" s="120"/>
      <c r="T12" s="412"/>
      <c r="U12" s="412"/>
      <c r="V12" s="412"/>
      <c r="W12" s="412"/>
      <c r="X12" s="412"/>
      <c r="Y12" s="124"/>
      <c r="Z12" s="124"/>
      <c r="AA12" s="124"/>
      <c r="AB12" s="124"/>
      <c r="AC12" s="124"/>
      <c r="AD12" s="124"/>
      <c r="AE12" s="124"/>
      <c r="AF12" s="76"/>
      <c r="AG12" s="76"/>
      <c r="AH12" s="76"/>
      <c r="AI12" s="76"/>
      <c r="AJ12" s="76"/>
      <c r="AK12" s="76"/>
      <c r="AL12" s="76"/>
      <c r="AM12" s="76"/>
      <c r="AN12" s="76"/>
      <c r="AO12" s="76"/>
      <c r="AP12" s="76"/>
      <c r="AQ12" s="76"/>
      <c r="AR12" s="76"/>
      <c r="AS12" s="673"/>
      <c r="AT12" s="674"/>
      <c r="AU12" s="674"/>
      <c r="AV12" s="674"/>
      <c r="AW12" s="674"/>
      <c r="AX12" s="675"/>
      <c r="AY12" s="645"/>
      <c r="AZ12" s="646"/>
      <c r="BB12" s="447"/>
      <c r="BC12" s="424" t="s">
        <v>308</v>
      </c>
      <c r="BD12" s="448"/>
    </row>
    <row r="13" spans="1:57" ht="2.25" customHeight="1" x14ac:dyDescent="0.3">
      <c r="A13" s="102"/>
      <c r="B13" s="446"/>
      <c r="C13" s="446"/>
      <c r="D13" s="449"/>
      <c r="E13" s="450"/>
      <c r="F13" s="451"/>
      <c r="G13" s="451"/>
      <c r="H13" s="451"/>
      <c r="I13" s="451"/>
      <c r="J13" s="451"/>
      <c r="K13" s="451"/>
      <c r="L13" s="451"/>
      <c r="M13" s="451"/>
      <c r="N13" s="451"/>
      <c r="O13" s="451"/>
      <c r="P13" s="452"/>
      <c r="Q13" s="452"/>
      <c r="R13" s="451"/>
      <c r="S13" s="451"/>
      <c r="T13" s="451"/>
      <c r="U13" s="451"/>
      <c r="V13" s="451"/>
      <c r="W13" s="451"/>
      <c r="X13" s="451"/>
      <c r="Y13" s="446"/>
      <c r="Z13" s="446"/>
      <c r="AA13" s="446"/>
      <c r="AB13" s="446"/>
      <c r="AC13" s="446"/>
      <c r="AD13" s="446"/>
      <c r="AE13" s="446"/>
      <c r="AF13" s="446"/>
      <c r="AG13" s="446"/>
      <c r="AH13" s="446"/>
      <c r="AI13" s="446"/>
      <c r="AJ13" s="446"/>
      <c r="AZ13" s="453"/>
      <c r="BB13" s="415"/>
      <c r="BC13" s="415"/>
    </row>
    <row r="14" spans="1:57" ht="24" customHeight="1" x14ac:dyDescent="0.25">
      <c r="A14" s="102"/>
      <c r="B14" s="623"/>
      <c r="C14" s="623"/>
      <c r="D14" s="661" t="s">
        <v>240</v>
      </c>
      <c r="E14" s="662"/>
      <c r="F14" s="662"/>
      <c r="G14" s="662"/>
      <c r="H14" s="662"/>
      <c r="I14" s="662"/>
      <c r="J14" s="662"/>
      <c r="K14" s="662"/>
      <c r="L14" s="662"/>
      <c r="M14" s="662"/>
      <c r="N14" s="662"/>
      <c r="O14" s="662"/>
      <c r="P14" s="662"/>
      <c r="Q14" s="662"/>
      <c r="R14" s="662"/>
      <c r="S14" s="662"/>
      <c r="T14" s="662"/>
      <c r="U14" s="662"/>
      <c r="V14" s="662"/>
      <c r="W14" s="662"/>
      <c r="X14" s="662"/>
      <c r="Y14" s="662"/>
      <c r="Z14" s="662"/>
      <c r="AA14" s="662"/>
      <c r="AB14" s="662"/>
      <c r="AC14" s="662"/>
      <c r="AD14" s="662"/>
      <c r="AE14" s="662"/>
      <c r="AF14" s="662"/>
      <c r="AG14" s="662"/>
      <c r="AH14" s="662"/>
      <c r="AI14" s="662"/>
      <c r="AJ14" s="662"/>
      <c r="AK14" s="662"/>
      <c r="AL14" s="662"/>
      <c r="AM14" s="662"/>
      <c r="AN14" s="662"/>
      <c r="AO14" s="662"/>
      <c r="AP14" s="662"/>
      <c r="AQ14" s="662"/>
      <c r="AR14" s="662"/>
      <c r="AS14" s="662"/>
      <c r="AT14" s="662"/>
      <c r="AU14" s="662"/>
      <c r="AV14" s="663"/>
      <c r="AW14" s="626" t="s">
        <v>238</v>
      </c>
      <c r="AX14" s="627"/>
      <c r="AY14" s="656" t="s">
        <v>206</v>
      </c>
      <c r="AZ14" s="653" t="s">
        <v>67</v>
      </c>
      <c r="BB14" s="454"/>
      <c r="BC14" s="496">
        <f ca="1">NOW()</f>
        <v>43510.382920717595</v>
      </c>
      <c r="BD14" s="455"/>
    </row>
    <row r="15" spans="1:57" ht="15" customHeight="1" x14ac:dyDescent="0.25">
      <c r="B15" s="624"/>
      <c r="C15" s="624"/>
      <c r="D15" s="664" t="s">
        <v>55</v>
      </c>
      <c r="E15" s="665"/>
      <c r="F15" s="665"/>
      <c r="G15" s="665"/>
      <c r="H15" s="665"/>
      <c r="I15" s="665"/>
      <c r="J15" s="665"/>
      <c r="K15" s="665"/>
      <c r="L15" s="665"/>
      <c r="M15" s="665"/>
      <c r="N15" s="665"/>
      <c r="O15" s="665"/>
      <c r="P15" s="665"/>
      <c r="Q15" s="665"/>
      <c r="R15" s="665"/>
      <c r="S15" s="665"/>
      <c r="T15" s="665"/>
      <c r="U15" s="665"/>
      <c r="V15" s="665"/>
      <c r="W15" s="665"/>
      <c r="X15" s="665"/>
      <c r="Y15" s="665"/>
      <c r="Z15" s="665"/>
      <c r="AA15" s="665"/>
      <c r="AB15" s="665"/>
      <c r="AC15" s="665"/>
      <c r="AD15" s="665"/>
      <c r="AE15" s="665"/>
      <c r="AF15" s="665"/>
      <c r="AG15" s="665"/>
      <c r="AH15" s="665"/>
      <c r="AI15" s="665"/>
      <c r="AJ15" s="665"/>
      <c r="AK15" s="665"/>
      <c r="AL15" s="665"/>
      <c r="AM15" s="665"/>
      <c r="AN15" s="665"/>
      <c r="AO15" s="665"/>
      <c r="AP15" s="665"/>
      <c r="AQ15" s="665"/>
      <c r="AR15" s="665"/>
      <c r="AS15" s="665"/>
      <c r="AT15" s="665"/>
      <c r="AU15" s="665"/>
      <c r="AV15" s="666"/>
      <c r="AW15" s="628" t="s">
        <v>55</v>
      </c>
      <c r="AX15" s="629"/>
      <c r="AY15" s="657"/>
      <c r="AZ15" s="654"/>
      <c r="BB15" s="454"/>
      <c r="BC15" s="454"/>
      <c r="BD15" s="455"/>
    </row>
    <row r="16" spans="1:57" ht="15" customHeight="1" x14ac:dyDescent="0.25">
      <c r="B16" s="624"/>
      <c r="C16" s="624"/>
      <c r="D16" s="667" t="s">
        <v>59</v>
      </c>
      <c r="E16" s="667"/>
      <c r="F16" s="667"/>
      <c r="G16" s="667"/>
      <c r="H16" s="667"/>
      <c r="I16" s="667"/>
      <c r="J16" s="667"/>
      <c r="K16" s="634" t="s">
        <v>58</v>
      </c>
      <c r="L16" s="634"/>
      <c r="M16" s="634"/>
      <c r="N16" s="634"/>
      <c r="O16" s="634"/>
      <c r="P16" s="634"/>
      <c r="Q16" s="634"/>
      <c r="R16" s="634"/>
      <c r="S16" s="634"/>
      <c r="T16" s="634"/>
      <c r="U16" s="634"/>
      <c r="V16" s="634"/>
      <c r="W16" s="634"/>
      <c r="X16" s="634"/>
      <c r="Y16" s="634"/>
      <c r="Z16" s="634"/>
      <c r="AA16" s="635" t="s">
        <v>61</v>
      </c>
      <c r="AB16" s="635"/>
      <c r="AC16" s="635"/>
      <c r="AD16" s="635"/>
      <c r="AE16" s="635"/>
      <c r="AF16" s="635"/>
      <c r="AG16" s="635"/>
      <c r="AH16" s="635"/>
      <c r="AI16" s="635"/>
      <c r="AJ16" s="635"/>
      <c r="AK16" s="635"/>
      <c r="AL16" s="635"/>
      <c r="AM16" s="635"/>
      <c r="AN16" s="635"/>
      <c r="AO16" s="635"/>
      <c r="AP16" s="635"/>
      <c r="AQ16" s="638" t="s">
        <v>60</v>
      </c>
      <c r="AR16" s="638"/>
      <c r="AS16" s="638"/>
      <c r="AT16" s="638"/>
      <c r="AU16" s="638"/>
      <c r="AV16" s="638"/>
      <c r="AW16" s="337" t="s">
        <v>62</v>
      </c>
      <c r="AX16" s="338" t="s">
        <v>63</v>
      </c>
      <c r="AY16" s="657"/>
      <c r="AZ16" s="654"/>
      <c r="BB16" s="454"/>
      <c r="BC16" s="456" t="s">
        <v>309</v>
      </c>
      <c r="BD16" s="455"/>
      <c r="BE16" s="446"/>
    </row>
    <row r="17" spans="2:56" ht="107.25" customHeight="1" x14ac:dyDescent="0.25">
      <c r="B17" s="625"/>
      <c r="C17" s="625"/>
      <c r="D17" s="457" t="s">
        <v>217</v>
      </c>
      <c r="E17" s="613"/>
      <c r="F17" s="613"/>
      <c r="G17" s="613"/>
      <c r="H17" s="613"/>
      <c r="I17" s="614"/>
      <c r="J17" s="617" t="s">
        <v>56</v>
      </c>
      <c r="K17" s="615"/>
      <c r="L17" s="613"/>
      <c r="M17" s="613"/>
      <c r="N17" s="613"/>
      <c r="O17" s="616"/>
      <c r="P17" s="613"/>
      <c r="Q17" s="613"/>
      <c r="R17" s="613"/>
      <c r="S17" s="613"/>
      <c r="T17" s="616"/>
      <c r="U17" s="613"/>
      <c r="V17" s="613"/>
      <c r="W17" s="613"/>
      <c r="X17" s="613"/>
      <c r="Y17" s="614"/>
      <c r="Z17" s="619" t="s">
        <v>57</v>
      </c>
      <c r="AA17" s="615"/>
      <c r="AB17" s="613"/>
      <c r="AC17" s="613"/>
      <c r="AD17" s="613"/>
      <c r="AE17" s="616"/>
      <c r="AF17" s="613"/>
      <c r="AG17" s="613"/>
      <c r="AH17" s="613"/>
      <c r="AI17" s="613"/>
      <c r="AJ17" s="616"/>
      <c r="AK17" s="613"/>
      <c r="AL17" s="613"/>
      <c r="AM17" s="613"/>
      <c r="AN17" s="613"/>
      <c r="AO17" s="614"/>
      <c r="AP17" s="621" t="s">
        <v>57</v>
      </c>
      <c r="AQ17" s="615"/>
      <c r="AR17" s="613"/>
      <c r="AS17" s="613"/>
      <c r="AT17" s="613"/>
      <c r="AU17" s="614"/>
      <c r="AV17" s="636" t="s">
        <v>56</v>
      </c>
      <c r="AW17" s="630"/>
      <c r="AX17" s="632"/>
      <c r="AY17" s="657"/>
      <c r="AZ17" s="654"/>
      <c r="BB17" s="454"/>
      <c r="BC17" s="416"/>
      <c r="BD17" s="455"/>
    </row>
    <row r="18" spans="2:56" ht="116.25" customHeight="1" x14ac:dyDescent="0.25">
      <c r="B18" s="128" t="s">
        <v>54</v>
      </c>
      <c r="C18" s="128" t="s">
        <v>65</v>
      </c>
      <c r="D18" s="127" t="s">
        <v>64</v>
      </c>
      <c r="E18" s="328"/>
      <c r="F18" s="327"/>
      <c r="G18" s="327"/>
      <c r="H18" s="327"/>
      <c r="I18" s="327"/>
      <c r="J18" s="618"/>
      <c r="K18" s="327"/>
      <c r="L18" s="327"/>
      <c r="M18" s="327"/>
      <c r="N18" s="327"/>
      <c r="O18" s="329"/>
      <c r="P18" s="328"/>
      <c r="Q18" s="327"/>
      <c r="R18" s="327"/>
      <c r="S18" s="327"/>
      <c r="T18" s="329"/>
      <c r="U18" s="328"/>
      <c r="V18" s="327"/>
      <c r="W18" s="327"/>
      <c r="X18" s="327"/>
      <c r="Y18" s="327"/>
      <c r="Z18" s="620"/>
      <c r="AA18" s="327"/>
      <c r="AB18" s="327"/>
      <c r="AC18" s="327"/>
      <c r="AD18" s="327"/>
      <c r="AE18" s="329"/>
      <c r="AF18" s="328"/>
      <c r="AG18" s="327"/>
      <c r="AH18" s="327"/>
      <c r="AI18" s="327"/>
      <c r="AJ18" s="329"/>
      <c r="AK18" s="328"/>
      <c r="AL18" s="327"/>
      <c r="AM18" s="327"/>
      <c r="AN18" s="327"/>
      <c r="AO18" s="327"/>
      <c r="AP18" s="622"/>
      <c r="AQ18" s="327"/>
      <c r="AR18" s="327"/>
      <c r="AS18" s="327"/>
      <c r="AT18" s="327"/>
      <c r="AU18" s="327"/>
      <c r="AV18" s="637"/>
      <c r="AW18" s="631"/>
      <c r="AX18" s="633"/>
      <c r="AY18" s="658"/>
      <c r="AZ18" s="655"/>
    </row>
    <row r="19" spans="2:56" x14ac:dyDescent="0.25">
      <c r="B19" s="131">
        <v>1</v>
      </c>
      <c r="C19" s="499" t="str">
        <f>'C. FILIACION'!C14</f>
        <v>SUAREZ EVELIN ISELA</v>
      </c>
      <c r="D19" s="458"/>
      <c r="E19" s="109"/>
      <c r="F19" s="109"/>
      <c r="G19" s="109"/>
      <c r="H19" s="109"/>
      <c r="I19" s="109"/>
      <c r="J19" s="500" t="str">
        <f>IFERROR(AVERAGE(E19:I19),"")</f>
        <v/>
      </c>
      <c r="K19" s="111"/>
      <c r="L19" s="111"/>
      <c r="M19" s="111"/>
      <c r="N19" s="111"/>
      <c r="O19" s="138"/>
      <c r="P19" s="110"/>
      <c r="Q19" s="111"/>
      <c r="R19" s="111"/>
      <c r="S19" s="111"/>
      <c r="T19" s="138"/>
      <c r="U19" s="110"/>
      <c r="V19" s="111"/>
      <c r="W19" s="111"/>
      <c r="X19" s="111"/>
      <c r="Y19" s="111"/>
      <c r="Z19" s="501" t="str">
        <f>IFERROR(AVERAGE(K19:Y19),"")</f>
        <v/>
      </c>
      <c r="AA19" s="111"/>
      <c r="AB19" s="111"/>
      <c r="AC19" s="111"/>
      <c r="AD19" s="111"/>
      <c r="AE19" s="138"/>
      <c r="AF19" s="110"/>
      <c r="AG19" s="111"/>
      <c r="AH19" s="111"/>
      <c r="AI19" s="111"/>
      <c r="AJ19" s="138"/>
      <c r="AK19" s="110"/>
      <c r="AL19" s="111"/>
      <c r="AM19" s="111"/>
      <c r="AN19" s="111"/>
      <c r="AO19" s="111"/>
      <c r="AP19" s="502" t="str">
        <f>IFERROR(AVERAGE(AA19:AO19),"")</f>
        <v/>
      </c>
      <c r="AQ19" s="111"/>
      <c r="AR19" s="111"/>
      <c r="AS19" s="111"/>
      <c r="AT19" s="111"/>
      <c r="AU19" s="247"/>
      <c r="AV19" s="503" t="str">
        <f>IFERROR(AVERAGE(AQ19:AU19),"")</f>
        <v/>
      </c>
      <c r="AW19" s="150"/>
      <c r="AX19" s="150"/>
      <c r="AY19" s="497">
        <f t="shared" ref="AY19:AY63" si="0">IFERROR((SUM(J19,Z19,AP19,AV19:AX19)),"")</f>
        <v>0</v>
      </c>
      <c r="AZ19" s="498" t="b">
        <f>IF(AY19="","",(IF(AND(AY19&gt;=1,AY19&lt;=50.499),"REPROBADO",IF(AND(AY19&gt;=50.5,AY19&lt;=100),"APROBADO"))))</f>
        <v>0</v>
      </c>
      <c r="BA19" s="149"/>
    </row>
    <row r="20" spans="2:56" x14ac:dyDescent="0.25">
      <c r="B20" s="132">
        <v>2</v>
      </c>
      <c r="C20" s="499" t="str">
        <f>'C. FILIACION'!C15</f>
        <v>ALARCON  VARGAS JAIR ALEXIS</v>
      </c>
      <c r="D20" s="458"/>
      <c r="E20" s="109"/>
      <c r="F20" s="109"/>
      <c r="G20" s="109"/>
      <c r="H20" s="109"/>
      <c r="I20" s="109"/>
      <c r="J20" s="500" t="str">
        <f t="shared" ref="J20:J63" si="1">IFERROR(AVERAGE(E20:I20),"")</f>
        <v/>
      </c>
      <c r="K20" s="111"/>
      <c r="L20" s="111"/>
      <c r="M20" s="111"/>
      <c r="N20" s="111"/>
      <c r="O20" s="138"/>
      <c r="P20" s="110"/>
      <c r="Q20" s="111"/>
      <c r="R20" s="111"/>
      <c r="S20" s="111"/>
      <c r="T20" s="138"/>
      <c r="U20" s="110"/>
      <c r="V20" s="111"/>
      <c r="W20" s="111"/>
      <c r="X20" s="111"/>
      <c r="Y20" s="111"/>
      <c r="Z20" s="501" t="str">
        <f t="shared" ref="Z20:Z63" si="2">IFERROR(AVERAGE(K20:Y20),"")</f>
        <v/>
      </c>
      <c r="AA20" s="111"/>
      <c r="AB20" s="111"/>
      <c r="AC20" s="111"/>
      <c r="AD20" s="111"/>
      <c r="AE20" s="138"/>
      <c r="AF20" s="110"/>
      <c r="AG20" s="111"/>
      <c r="AH20" s="111"/>
      <c r="AI20" s="111"/>
      <c r="AJ20" s="138"/>
      <c r="AK20" s="110"/>
      <c r="AL20" s="111"/>
      <c r="AM20" s="111"/>
      <c r="AN20" s="111"/>
      <c r="AO20" s="111"/>
      <c r="AP20" s="502" t="str">
        <f t="shared" ref="AP20:AP63" si="3">IFERROR(AVERAGE(AA20:AO20),"")</f>
        <v/>
      </c>
      <c r="AQ20" s="111"/>
      <c r="AR20" s="111"/>
      <c r="AS20" s="111"/>
      <c r="AT20" s="111"/>
      <c r="AU20" s="111"/>
      <c r="AV20" s="503" t="str">
        <f t="shared" ref="AV20:AV63" si="4">IFERROR(AVERAGE(AQ20:AU20),"")</f>
        <v/>
      </c>
      <c r="AW20" s="150"/>
      <c r="AX20" s="150"/>
      <c r="AY20" s="497">
        <f t="shared" si="0"/>
        <v>0</v>
      </c>
      <c r="AZ20" s="498" t="b">
        <f t="shared" ref="AZ20:AZ63" si="5">IF(AY20="","",(IF(AND(AY20&gt;=1,AY20&lt;=50.499),"REPROBADO",IF(AND(AY20&gt;=50.5,AY20&lt;=100),"APROBADO"))))</f>
        <v>0</v>
      </c>
      <c r="BA20" s="149"/>
    </row>
    <row r="21" spans="2:56" x14ac:dyDescent="0.25">
      <c r="B21" s="132">
        <v>3</v>
      </c>
      <c r="C21" s="499" t="str">
        <f>'C. FILIACION'!C16</f>
        <v>AÑAZGO  VARGAS NOELIA</v>
      </c>
      <c r="D21" s="458"/>
      <c r="E21" s="109"/>
      <c r="F21" s="109"/>
      <c r="G21" s="109"/>
      <c r="H21" s="109"/>
      <c r="I21" s="109"/>
      <c r="J21" s="500" t="str">
        <f t="shared" si="1"/>
        <v/>
      </c>
      <c r="K21" s="111"/>
      <c r="L21" s="111"/>
      <c r="M21" s="111"/>
      <c r="N21" s="111"/>
      <c r="O21" s="138"/>
      <c r="P21" s="110"/>
      <c r="Q21" s="111"/>
      <c r="R21" s="111"/>
      <c r="S21" s="111"/>
      <c r="T21" s="138"/>
      <c r="U21" s="110"/>
      <c r="V21" s="111"/>
      <c r="W21" s="111"/>
      <c r="X21" s="111"/>
      <c r="Y21" s="111"/>
      <c r="Z21" s="501" t="str">
        <f t="shared" si="2"/>
        <v/>
      </c>
      <c r="AA21" s="111"/>
      <c r="AB21" s="111"/>
      <c r="AC21" s="111"/>
      <c r="AD21" s="111"/>
      <c r="AE21" s="138"/>
      <c r="AF21" s="110"/>
      <c r="AG21" s="111"/>
      <c r="AH21" s="111"/>
      <c r="AI21" s="111"/>
      <c r="AJ21" s="138"/>
      <c r="AK21" s="110"/>
      <c r="AL21" s="111"/>
      <c r="AM21" s="111"/>
      <c r="AN21" s="111"/>
      <c r="AO21" s="111"/>
      <c r="AP21" s="502" t="str">
        <f t="shared" si="3"/>
        <v/>
      </c>
      <c r="AQ21" s="111"/>
      <c r="AR21" s="111"/>
      <c r="AS21" s="111"/>
      <c r="AT21" s="111"/>
      <c r="AU21" s="111"/>
      <c r="AV21" s="503" t="str">
        <f t="shared" si="4"/>
        <v/>
      </c>
      <c r="AW21" s="150"/>
      <c r="AX21" s="150"/>
      <c r="AY21" s="497">
        <f t="shared" si="0"/>
        <v>0</v>
      </c>
      <c r="AZ21" s="498" t="b">
        <f t="shared" si="5"/>
        <v>0</v>
      </c>
      <c r="BA21" s="149"/>
    </row>
    <row r="22" spans="2:56" x14ac:dyDescent="0.25">
      <c r="B22" s="132">
        <v>4</v>
      </c>
      <c r="C22" s="499" t="str">
        <f>'C. FILIACION'!C17</f>
        <v>AQUISE HINOJOSA YHAMIR FABIO</v>
      </c>
      <c r="D22" s="458"/>
      <c r="E22" s="109"/>
      <c r="F22" s="109"/>
      <c r="G22" s="109"/>
      <c r="H22" s="109"/>
      <c r="I22" s="109"/>
      <c r="J22" s="500" t="str">
        <f t="shared" si="1"/>
        <v/>
      </c>
      <c r="K22" s="111"/>
      <c r="L22" s="111"/>
      <c r="M22" s="111"/>
      <c r="N22" s="111"/>
      <c r="O22" s="138"/>
      <c r="P22" s="110"/>
      <c r="Q22" s="111"/>
      <c r="R22" s="111"/>
      <c r="S22" s="111"/>
      <c r="T22" s="138"/>
      <c r="U22" s="110"/>
      <c r="V22" s="111"/>
      <c r="W22" s="111"/>
      <c r="X22" s="111"/>
      <c r="Y22" s="111"/>
      <c r="Z22" s="501" t="str">
        <f t="shared" si="2"/>
        <v/>
      </c>
      <c r="AA22" s="111"/>
      <c r="AB22" s="111"/>
      <c r="AC22" s="111"/>
      <c r="AD22" s="111"/>
      <c r="AE22" s="138"/>
      <c r="AF22" s="110"/>
      <c r="AG22" s="111"/>
      <c r="AH22" s="111"/>
      <c r="AI22" s="111"/>
      <c r="AJ22" s="138"/>
      <c r="AK22" s="110"/>
      <c r="AL22" s="111"/>
      <c r="AM22" s="111"/>
      <c r="AN22" s="111"/>
      <c r="AO22" s="111"/>
      <c r="AP22" s="502" t="str">
        <f t="shared" si="3"/>
        <v/>
      </c>
      <c r="AQ22" s="111"/>
      <c r="AR22" s="111"/>
      <c r="AS22" s="111"/>
      <c r="AT22" s="111"/>
      <c r="AU22" s="111"/>
      <c r="AV22" s="503" t="str">
        <f t="shared" si="4"/>
        <v/>
      </c>
      <c r="AW22" s="150"/>
      <c r="AX22" s="150"/>
      <c r="AY22" s="497">
        <f t="shared" si="0"/>
        <v>0</v>
      </c>
      <c r="AZ22" s="498" t="b">
        <f t="shared" si="5"/>
        <v>0</v>
      </c>
      <c r="BA22" s="149"/>
    </row>
    <row r="23" spans="2:56" x14ac:dyDescent="0.25">
      <c r="B23" s="132">
        <v>5</v>
      </c>
      <c r="C23" s="499" t="str">
        <f>'C. FILIACION'!C18</f>
        <v>ARGANI  LAREDO MARIA JESUS</v>
      </c>
      <c r="D23" s="458"/>
      <c r="E23" s="109"/>
      <c r="F23" s="109"/>
      <c r="G23" s="109"/>
      <c r="H23" s="109"/>
      <c r="I23" s="109"/>
      <c r="J23" s="500" t="str">
        <f t="shared" si="1"/>
        <v/>
      </c>
      <c r="K23" s="111"/>
      <c r="L23" s="111"/>
      <c r="M23" s="111"/>
      <c r="N23" s="111"/>
      <c r="O23" s="138"/>
      <c r="P23" s="110"/>
      <c r="Q23" s="111"/>
      <c r="R23" s="111"/>
      <c r="S23" s="111"/>
      <c r="T23" s="138"/>
      <c r="U23" s="110"/>
      <c r="V23" s="111"/>
      <c r="W23" s="111"/>
      <c r="X23" s="111"/>
      <c r="Y23" s="111"/>
      <c r="Z23" s="501" t="str">
        <f t="shared" si="2"/>
        <v/>
      </c>
      <c r="AA23" s="111"/>
      <c r="AB23" s="111"/>
      <c r="AC23" s="111"/>
      <c r="AD23" s="111"/>
      <c r="AE23" s="138"/>
      <c r="AF23" s="110"/>
      <c r="AG23" s="111"/>
      <c r="AH23" s="111"/>
      <c r="AI23" s="111"/>
      <c r="AJ23" s="138"/>
      <c r="AK23" s="110"/>
      <c r="AL23" s="111"/>
      <c r="AM23" s="111"/>
      <c r="AN23" s="111"/>
      <c r="AO23" s="111"/>
      <c r="AP23" s="502" t="str">
        <f t="shared" si="3"/>
        <v/>
      </c>
      <c r="AQ23" s="111"/>
      <c r="AR23" s="111"/>
      <c r="AS23" s="111"/>
      <c r="AT23" s="111"/>
      <c r="AU23" s="111"/>
      <c r="AV23" s="503" t="str">
        <f t="shared" si="4"/>
        <v/>
      </c>
      <c r="AW23" s="150"/>
      <c r="AX23" s="150"/>
      <c r="AY23" s="497">
        <f t="shared" si="0"/>
        <v>0</v>
      </c>
      <c r="AZ23" s="498" t="b">
        <f t="shared" si="5"/>
        <v>0</v>
      </c>
      <c r="BA23" s="149"/>
    </row>
    <row r="24" spans="2:56" x14ac:dyDescent="0.25">
      <c r="B24" s="132">
        <v>6</v>
      </c>
      <c r="C24" s="499" t="str">
        <f>'C. FILIACION'!C19</f>
        <v>AYLLON MOLLO RONNY BRUCE</v>
      </c>
      <c r="D24" s="458"/>
      <c r="E24" s="109"/>
      <c r="F24" s="109"/>
      <c r="G24" s="109"/>
      <c r="H24" s="109"/>
      <c r="I24" s="109"/>
      <c r="J24" s="500" t="str">
        <f t="shared" si="1"/>
        <v/>
      </c>
      <c r="K24" s="111"/>
      <c r="L24" s="111"/>
      <c r="M24" s="111"/>
      <c r="N24" s="111"/>
      <c r="O24" s="138"/>
      <c r="P24" s="110"/>
      <c r="Q24" s="111"/>
      <c r="R24" s="111"/>
      <c r="S24" s="111"/>
      <c r="T24" s="138"/>
      <c r="U24" s="110"/>
      <c r="V24" s="111"/>
      <c r="W24" s="111"/>
      <c r="X24" s="111"/>
      <c r="Y24" s="111"/>
      <c r="Z24" s="501" t="str">
        <f t="shared" si="2"/>
        <v/>
      </c>
      <c r="AA24" s="111"/>
      <c r="AB24" s="111"/>
      <c r="AC24" s="111"/>
      <c r="AD24" s="111"/>
      <c r="AE24" s="138"/>
      <c r="AF24" s="110"/>
      <c r="AG24" s="111"/>
      <c r="AH24" s="111"/>
      <c r="AI24" s="111"/>
      <c r="AJ24" s="138"/>
      <c r="AK24" s="110"/>
      <c r="AL24" s="111"/>
      <c r="AM24" s="111"/>
      <c r="AN24" s="111"/>
      <c r="AO24" s="111"/>
      <c r="AP24" s="502" t="str">
        <f t="shared" si="3"/>
        <v/>
      </c>
      <c r="AQ24" s="111"/>
      <c r="AR24" s="111"/>
      <c r="AS24" s="111"/>
      <c r="AT24" s="111"/>
      <c r="AU24" s="111"/>
      <c r="AV24" s="503" t="str">
        <f t="shared" si="4"/>
        <v/>
      </c>
      <c r="AW24" s="150"/>
      <c r="AX24" s="150"/>
      <c r="AY24" s="497">
        <f t="shared" si="0"/>
        <v>0</v>
      </c>
      <c r="AZ24" s="498" t="b">
        <f t="shared" si="5"/>
        <v>0</v>
      </c>
      <c r="BA24" s="149"/>
    </row>
    <row r="25" spans="2:56" x14ac:dyDescent="0.25">
      <c r="B25" s="132">
        <v>7</v>
      </c>
      <c r="C25" s="499" t="str">
        <f>'C. FILIACION'!C20</f>
        <v>BALBOA  PAZ ANTHONY JR</v>
      </c>
      <c r="D25" s="458"/>
      <c r="E25" s="109"/>
      <c r="F25" s="109"/>
      <c r="G25" s="109"/>
      <c r="H25" s="109"/>
      <c r="I25" s="109"/>
      <c r="J25" s="500" t="str">
        <f t="shared" si="1"/>
        <v/>
      </c>
      <c r="K25" s="111"/>
      <c r="L25" s="111"/>
      <c r="M25" s="111"/>
      <c r="N25" s="111"/>
      <c r="O25" s="138"/>
      <c r="P25" s="110"/>
      <c r="Q25" s="111"/>
      <c r="R25" s="111"/>
      <c r="S25" s="111"/>
      <c r="T25" s="138"/>
      <c r="U25" s="110"/>
      <c r="V25" s="111"/>
      <c r="W25" s="111"/>
      <c r="X25" s="111"/>
      <c r="Y25" s="111"/>
      <c r="Z25" s="501" t="str">
        <f t="shared" si="2"/>
        <v/>
      </c>
      <c r="AA25" s="111"/>
      <c r="AB25" s="111"/>
      <c r="AC25" s="111"/>
      <c r="AD25" s="111"/>
      <c r="AE25" s="138"/>
      <c r="AF25" s="110"/>
      <c r="AG25" s="111"/>
      <c r="AH25" s="111"/>
      <c r="AI25" s="111"/>
      <c r="AJ25" s="138"/>
      <c r="AK25" s="110"/>
      <c r="AL25" s="111"/>
      <c r="AM25" s="111"/>
      <c r="AN25" s="111"/>
      <c r="AO25" s="111"/>
      <c r="AP25" s="502" t="str">
        <f t="shared" si="3"/>
        <v/>
      </c>
      <c r="AQ25" s="111"/>
      <c r="AR25" s="111"/>
      <c r="AS25" s="111"/>
      <c r="AT25" s="111"/>
      <c r="AU25" s="111"/>
      <c r="AV25" s="503" t="str">
        <f t="shared" si="4"/>
        <v/>
      </c>
      <c r="AW25" s="150"/>
      <c r="AX25" s="150"/>
      <c r="AY25" s="497">
        <f t="shared" si="0"/>
        <v>0</v>
      </c>
      <c r="AZ25" s="498" t="b">
        <f t="shared" si="5"/>
        <v>0</v>
      </c>
      <c r="BA25" s="149"/>
    </row>
    <row r="26" spans="2:56" x14ac:dyDescent="0.25">
      <c r="B26" s="132">
        <v>8</v>
      </c>
      <c r="C26" s="499" t="str">
        <f>'C. FILIACION'!C21</f>
        <v>CAMACHO SALGADO LEONARDO</v>
      </c>
      <c r="D26" s="458"/>
      <c r="E26" s="109"/>
      <c r="F26" s="109"/>
      <c r="G26" s="109"/>
      <c r="H26" s="109"/>
      <c r="I26" s="109"/>
      <c r="J26" s="500" t="str">
        <f t="shared" si="1"/>
        <v/>
      </c>
      <c r="K26" s="111"/>
      <c r="L26" s="111"/>
      <c r="M26" s="111"/>
      <c r="N26" s="111"/>
      <c r="O26" s="138"/>
      <c r="P26" s="110"/>
      <c r="Q26" s="111"/>
      <c r="R26" s="111"/>
      <c r="S26" s="111"/>
      <c r="T26" s="138"/>
      <c r="U26" s="110"/>
      <c r="V26" s="111"/>
      <c r="W26" s="111"/>
      <c r="X26" s="111"/>
      <c r="Y26" s="111"/>
      <c r="Z26" s="501" t="str">
        <f t="shared" si="2"/>
        <v/>
      </c>
      <c r="AA26" s="111"/>
      <c r="AB26" s="111"/>
      <c r="AC26" s="111"/>
      <c r="AD26" s="111"/>
      <c r="AE26" s="138"/>
      <c r="AF26" s="110"/>
      <c r="AG26" s="111"/>
      <c r="AH26" s="111"/>
      <c r="AI26" s="111"/>
      <c r="AJ26" s="138"/>
      <c r="AK26" s="110"/>
      <c r="AL26" s="111"/>
      <c r="AM26" s="111"/>
      <c r="AN26" s="111"/>
      <c r="AO26" s="111"/>
      <c r="AP26" s="502" t="str">
        <f t="shared" si="3"/>
        <v/>
      </c>
      <c r="AQ26" s="111"/>
      <c r="AR26" s="111"/>
      <c r="AS26" s="111"/>
      <c r="AT26" s="111"/>
      <c r="AU26" s="111"/>
      <c r="AV26" s="503" t="str">
        <f t="shared" si="4"/>
        <v/>
      </c>
      <c r="AW26" s="150"/>
      <c r="AX26" s="150"/>
      <c r="AY26" s="497">
        <f t="shared" si="0"/>
        <v>0</v>
      </c>
      <c r="AZ26" s="498" t="b">
        <f t="shared" si="5"/>
        <v>0</v>
      </c>
      <c r="BA26" s="149"/>
    </row>
    <row r="27" spans="2:56" x14ac:dyDescent="0.25">
      <c r="B27" s="132">
        <v>9</v>
      </c>
      <c r="C27" s="499" t="str">
        <f>'C. FILIACION'!C22</f>
        <v>CARRION MARGUAY FABIANA ALEXANDRA</v>
      </c>
      <c r="D27" s="458"/>
      <c r="E27" s="109"/>
      <c r="F27" s="109"/>
      <c r="G27" s="109"/>
      <c r="H27" s="109"/>
      <c r="I27" s="109"/>
      <c r="J27" s="500" t="str">
        <f t="shared" si="1"/>
        <v/>
      </c>
      <c r="K27" s="111"/>
      <c r="L27" s="111"/>
      <c r="M27" s="111"/>
      <c r="N27" s="111"/>
      <c r="O27" s="138"/>
      <c r="P27" s="110"/>
      <c r="Q27" s="111"/>
      <c r="R27" s="111"/>
      <c r="S27" s="111"/>
      <c r="T27" s="138"/>
      <c r="U27" s="110"/>
      <c r="V27" s="111"/>
      <c r="W27" s="111"/>
      <c r="X27" s="111"/>
      <c r="Y27" s="111"/>
      <c r="Z27" s="501" t="str">
        <f t="shared" si="2"/>
        <v/>
      </c>
      <c r="AA27" s="111"/>
      <c r="AB27" s="111"/>
      <c r="AC27" s="111"/>
      <c r="AD27" s="111"/>
      <c r="AE27" s="138"/>
      <c r="AF27" s="110"/>
      <c r="AG27" s="111"/>
      <c r="AH27" s="111"/>
      <c r="AI27" s="111"/>
      <c r="AJ27" s="138"/>
      <c r="AK27" s="110"/>
      <c r="AL27" s="111"/>
      <c r="AM27" s="111"/>
      <c r="AN27" s="111"/>
      <c r="AO27" s="111"/>
      <c r="AP27" s="502" t="str">
        <f t="shared" si="3"/>
        <v/>
      </c>
      <c r="AQ27" s="111"/>
      <c r="AR27" s="111"/>
      <c r="AS27" s="111"/>
      <c r="AT27" s="111"/>
      <c r="AU27" s="111"/>
      <c r="AV27" s="503" t="str">
        <f t="shared" si="4"/>
        <v/>
      </c>
      <c r="AW27" s="150"/>
      <c r="AX27" s="150"/>
      <c r="AY27" s="497">
        <f t="shared" si="0"/>
        <v>0</v>
      </c>
      <c r="AZ27" s="498" t="b">
        <f t="shared" si="5"/>
        <v>0</v>
      </c>
      <c r="BA27" s="149"/>
    </row>
    <row r="28" spans="2:56" x14ac:dyDescent="0.25">
      <c r="B28" s="132">
        <v>10</v>
      </c>
      <c r="C28" s="499" t="str">
        <f>'C. FILIACION'!C23</f>
        <v>CAYO CALLE JUAN PABLO</v>
      </c>
      <c r="D28" s="458"/>
      <c r="E28" s="109"/>
      <c r="F28" s="109"/>
      <c r="G28" s="109"/>
      <c r="H28" s="109"/>
      <c r="I28" s="109"/>
      <c r="J28" s="500" t="str">
        <f t="shared" si="1"/>
        <v/>
      </c>
      <c r="K28" s="111"/>
      <c r="L28" s="111"/>
      <c r="M28" s="111"/>
      <c r="N28" s="111"/>
      <c r="O28" s="138"/>
      <c r="P28" s="110"/>
      <c r="Q28" s="111"/>
      <c r="R28" s="111"/>
      <c r="S28" s="111"/>
      <c r="T28" s="138"/>
      <c r="U28" s="110"/>
      <c r="V28" s="111"/>
      <c r="W28" s="111"/>
      <c r="X28" s="111"/>
      <c r="Y28" s="111"/>
      <c r="Z28" s="501" t="str">
        <f t="shared" si="2"/>
        <v/>
      </c>
      <c r="AA28" s="111"/>
      <c r="AB28" s="111"/>
      <c r="AC28" s="111"/>
      <c r="AD28" s="111"/>
      <c r="AE28" s="138"/>
      <c r="AF28" s="110"/>
      <c r="AG28" s="111"/>
      <c r="AH28" s="111"/>
      <c r="AI28" s="111"/>
      <c r="AJ28" s="138"/>
      <c r="AK28" s="110"/>
      <c r="AL28" s="111"/>
      <c r="AM28" s="111"/>
      <c r="AN28" s="111"/>
      <c r="AO28" s="111"/>
      <c r="AP28" s="502" t="str">
        <f t="shared" si="3"/>
        <v/>
      </c>
      <c r="AQ28" s="111"/>
      <c r="AR28" s="111"/>
      <c r="AS28" s="111"/>
      <c r="AT28" s="111"/>
      <c r="AU28" s="111"/>
      <c r="AV28" s="503" t="str">
        <f t="shared" si="4"/>
        <v/>
      </c>
      <c r="AW28" s="150"/>
      <c r="AX28" s="150"/>
      <c r="AY28" s="497">
        <f t="shared" si="0"/>
        <v>0</v>
      </c>
      <c r="AZ28" s="498" t="b">
        <f t="shared" si="5"/>
        <v>0</v>
      </c>
      <c r="BA28" s="149"/>
    </row>
    <row r="29" spans="2:56" x14ac:dyDescent="0.25">
      <c r="B29" s="132">
        <v>11</v>
      </c>
      <c r="C29" s="499" t="str">
        <f>'C. FILIACION'!C24</f>
        <v>CONDE ZARATE ASHLY OTHANY</v>
      </c>
      <c r="D29" s="458"/>
      <c r="E29" s="109"/>
      <c r="F29" s="109"/>
      <c r="G29" s="109"/>
      <c r="H29" s="109"/>
      <c r="I29" s="109"/>
      <c r="J29" s="500" t="str">
        <f t="shared" si="1"/>
        <v/>
      </c>
      <c r="K29" s="111"/>
      <c r="L29" s="111"/>
      <c r="M29" s="111"/>
      <c r="N29" s="111"/>
      <c r="O29" s="138"/>
      <c r="P29" s="110"/>
      <c r="Q29" s="111"/>
      <c r="R29" s="111"/>
      <c r="S29" s="111"/>
      <c r="T29" s="138"/>
      <c r="U29" s="110"/>
      <c r="V29" s="111"/>
      <c r="W29" s="111"/>
      <c r="X29" s="111"/>
      <c r="Y29" s="111"/>
      <c r="Z29" s="501" t="str">
        <f t="shared" si="2"/>
        <v/>
      </c>
      <c r="AA29" s="111"/>
      <c r="AB29" s="111"/>
      <c r="AC29" s="111"/>
      <c r="AD29" s="111"/>
      <c r="AE29" s="138"/>
      <c r="AF29" s="110"/>
      <c r="AG29" s="111"/>
      <c r="AH29" s="111"/>
      <c r="AI29" s="111"/>
      <c r="AJ29" s="138"/>
      <c r="AK29" s="110"/>
      <c r="AL29" s="111"/>
      <c r="AM29" s="111"/>
      <c r="AN29" s="111"/>
      <c r="AO29" s="111"/>
      <c r="AP29" s="502" t="str">
        <f t="shared" si="3"/>
        <v/>
      </c>
      <c r="AQ29" s="111"/>
      <c r="AR29" s="111"/>
      <c r="AS29" s="111"/>
      <c r="AT29" s="111"/>
      <c r="AU29" s="111"/>
      <c r="AV29" s="503" t="str">
        <f t="shared" si="4"/>
        <v/>
      </c>
      <c r="AW29" s="150"/>
      <c r="AX29" s="150"/>
      <c r="AY29" s="497">
        <f t="shared" si="0"/>
        <v>0</v>
      </c>
      <c r="AZ29" s="498" t="b">
        <f t="shared" si="5"/>
        <v>0</v>
      </c>
      <c r="BA29" s="149"/>
    </row>
    <row r="30" spans="2:56" x14ac:dyDescent="0.25">
      <c r="B30" s="132">
        <v>12</v>
      </c>
      <c r="C30" s="499" t="str">
        <f>'C. FILIACION'!C25</f>
        <v>CORTEZ RODRIGUEZ  GONZALO AXCELL</v>
      </c>
      <c r="D30" s="458"/>
      <c r="E30" s="109"/>
      <c r="F30" s="109"/>
      <c r="G30" s="109"/>
      <c r="H30" s="109"/>
      <c r="I30" s="109"/>
      <c r="J30" s="500" t="str">
        <f t="shared" si="1"/>
        <v/>
      </c>
      <c r="K30" s="111"/>
      <c r="L30" s="111"/>
      <c r="M30" s="111"/>
      <c r="N30" s="111"/>
      <c r="O30" s="138"/>
      <c r="P30" s="110"/>
      <c r="Q30" s="111"/>
      <c r="R30" s="111"/>
      <c r="S30" s="111"/>
      <c r="T30" s="138"/>
      <c r="U30" s="110"/>
      <c r="V30" s="111"/>
      <c r="W30" s="111"/>
      <c r="X30" s="111"/>
      <c r="Y30" s="111"/>
      <c r="Z30" s="501" t="str">
        <f t="shared" si="2"/>
        <v/>
      </c>
      <c r="AA30" s="111"/>
      <c r="AB30" s="111"/>
      <c r="AC30" s="111"/>
      <c r="AD30" s="111"/>
      <c r="AE30" s="138"/>
      <c r="AF30" s="110"/>
      <c r="AG30" s="111"/>
      <c r="AH30" s="111"/>
      <c r="AI30" s="111"/>
      <c r="AJ30" s="138"/>
      <c r="AK30" s="110"/>
      <c r="AL30" s="111"/>
      <c r="AM30" s="111"/>
      <c r="AN30" s="111"/>
      <c r="AO30" s="111"/>
      <c r="AP30" s="502" t="str">
        <f t="shared" si="3"/>
        <v/>
      </c>
      <c r="AQ30" s="111"/>
      <c r="AR30" s="111"/>
      <c r="AS30" s="111"/>
      <c r="AT30" s="111"/>
      <c r="AU30" s="111"/>
      <c r="AV30" s="503" t="str">
        <f t="shared" si="4"/>
        <v/>
      </c>
      <c r="AW30" s="150"/>
      <c r="AX30" s="150"/>
      <c r="AY30" s="497">
        <f t="shared" si="0"/>
        <v>0</v>
      </c>
      <c r="AZ30" s="498" t="b">
        <f t="shared" si="5"/>
        <v>0</v>
      </c>
      <c r="BA30" s="149"/>
    </row>
    <row r="31" spans="2:56" x14ac:dyDescent="0.25">
      <c r="B31" s="132">
        <v>13</v>
      </c>
      <c r="C31" s="499" t="str">
        <f>'C. FILIACION'!C26</f>
        <v>HILAYA  TORREZ CARLA JHULIANA</v>
      </c>
      <c r="D31" s="458"/>
      <c r="E31" s="109"/>
      <c r="F31" s="109"/>
      <c r="G31" s="109"/>
      <c r="H31" s="109"/>
      <c r="I31" s="109"/>
      <c r="J31" s="500" t="str">
        <f t="shared" si="1"/>
        <v/>
      </c>
      <c r="K31" s="111"/>
      <c r="L31" s="111"/>
      <c r="M31" s="111"/>
      <c r="N31" s="111"/>
      <c r="O31" s="138"/>
      <c r="P31" s="110"/>
      <c r="Q31" s="111"/>
      <c r="R31" s="111"/>
      <c r="S31" s="111"/>
      <c r="T31" s="138"/>
      <c r="U31" s="110"/>
      <c r="V31" s="111"/>
      <c r="W31" s="111"/>
      <c r="X31" s="111"/>
      <c r="Y31" s="111"/>
      <c r="Z31" s="501" t="str">
        <f t="shared" si="2"/>
        <v/>
      </c>
      <c r="AA31" s="111"/>
      <c r="AB31" s="111"/>
      <c r="AC31" s="111"/>
      <c r="AD31" s="111"/>
      <c r="AE31" s="138"/>
      <c r="AF31" s="110"/>
      <c r="AG31" s="111"/>
      <c r="AH31" s="111"/>
      <c r="AI31" s="111"/>
      <c r="AJ31" s="138"/>
      <c r="AK31" s="110"/>
      <c r="AL31" s="111"/>
      <c r="AM31" s="111"/>
      <c r="AN31" s="111"/>
      <c r="AO31" s="111"/>
      <c r="AP31" s="502" t="str">
        <f t="shared" si="3"/>
        <v/>
      </c>
      <c r="AQ31" s="111"/>
      <c r="AR31" s="111"/>
      <c r="AS31" s="111"/>
      <c r="AT31" s="111"/>
      <c r="AU31" s="111"/>
      <c r="AV31" s="503" t="str">
        <f t="shared" si="4"/>
        <v/>
      </c>
      <c r="AW31" s="150"/>
      <c r="AX31" s="150"/>
      <c r="AY31" s="497">
        <f t="shared" si="0"/>
        <v>0</v>
      </c>
      <c r="AZ31" s="498" t="b">
        <f t="shared" si="5"/>
        <v>0</v>
      </c>
      <c r="BA31" s="149"/>
    </row>
    <row r="32" spans="2:56" x14ac:dyDescent="0.25">
      <c r="B32" s="132">
        <v>14</v>
      </c>
      <c r="C32" s="499" t="str">
        <f>'C. FILIACION'!C27</f>
        <v>HUANCA CALLISAYA  PATRICIA</v>
      </c>
      <c r="D32" s="458"/>
      <c r="E32" s="109"/>
      <c r="F32" s="109"/>
      <c r="G32" s="109"/>
      <c r="H32" s="109"/>
      <c r="I32" s="109"/>
      <c r="J32" s="500" t="str">
        <f t="shared" si="1"/>
        <v/>
      </c>
      <c r="K32" s="111"/>
      <c r="L32" s="111"/>
      <c r="M32" s="111"/>
      <c r="N32" s="111"/>
      <c r="O32" s="138"/>
      <c r="P32" s="110"/>
      <c r="Q32" s="111"/>
      <c r="R32" s="111"/>
      <c r="S32" s="111"/>
      <c r="T32" s="138"/>
      <c r="U32" s="110"/>
      <c r="V32" s="111"/>
      <c r="W32" s="111"/>
      <c r="X32" s="111"/>
      <c r="Y32" s="111"/>
      <c r="Z32" s="501" t="str">
        <f t="shared" si="2"/>
        <v/>
      </c>
      <c r="AA32" s="111"/>
      <c r="AB32" s="111"/>
      <c r="AC32" s="111"/>
      <c r="AD32" s="111"/>
      <c r="AE32" s="138"/>
      <c r="AF32" s="110"/>
      <c r="AG32" s="111"/>
      <c r="AH32" s="111"/>
      <c r="AI32" s="111"/>
      <c r="AJ32" s="138"/>
      <c r="AK32" s="110"/>
      <c r="AL32" s="111"/>
      <c r="AM32" s="111"/>
      <c r="AN32" s="111"/>
      <c r="AO32" s="111"/>
      <c r="AP32" s="502" t="str">
        <f t="shared" si="3"/>
        <v/>
      </c>
      <c r="AQ32" s="111"/>
      <c r="AR32" s="111"/>
      <c r="AS32" s="111"/>
      <c r="AT32" s="111"/>
      <c r="AU32" s="111"/>
      <c r="AV32" s="503" t="str">
        <f t="shared" si="4"/>
        <v/>
      </c>
      <c r="AW32" s="150"/>
      <c r="AX32" s="150"/>
      <c r="AY32" s="497">
        <f t="shared" si="0"/>
        <v>0</v>
      </c>
      <c r="AZ32" s="498" t="b">
        <f t="shared" si="5"/>
        <v>0</v>
      </c>
      <c r="BA32" s="149"/>
    </row>
    <row r="33" spans="2:53" x14ac:dyDescent="0.25">
      <c r="B33" s="132">
        <v>15</v>
      </c>
      <c r="C33" s="499" t="str">
        <f>'C. FILIACION'!C28</f>
        <v>LIMACHI RADA GERMAN DOMINGO</v>
      </c>
      <c r="D33" s="458"/>
      <c r="E33" s="109"/>
      <c r="F33" s="109"/>
      <c r="G33" s="109"/>
      <c r="H33" s="109"/>
      <c r="I33" s="109"/>
      <c r="J33" s="500" t="str">
        <f t="shared" si="1"/>
        <v/>
      </c>
      <c r="K33" s="111"/>
      <c r="L33" s="111"/>
      <c r="M33" s="111"/>
      <c r="N33" s="111"/>
      <c r="O33" s="138"/>
      <c r="P33" s="110"/>
      <c r="Q33" s="111"/>
      <c r="R33" s="111"/>
      <c r="S33" s="111"/>
      <c r="T33" s="138"/>
      <c r="U33" s="110"/>
      <c r="V33" s="111"/>
      <c r="W33" s="111"/>
      <c r="X33" s="111"/>
      <c r="Y33" s="111"/>
      <c r="Z33" s="501" t="str">
        <f t="shared" si="2"/>
        <v/>
      </c>
      <c r="AA33" s="111"/>
      <c r="AB33" s="111"/>
      <c r="AC33" s="111"/>
      <c r="AD33" s="111"/>
      <c r="AE33" s="138"/>
      <c r="AF33" s="110"/>
      <c r="AG33" s="111"/>
      <c r="AH33" s="111"/>
      <c r="AI33" s="111"/>
      <c r="AJ33" s="138"/>
      <c r="AK33" s="110"/>
      <c r="AL33" s="111"/>
      <c r="AM33" s="111"/>
      <c r="AN33" s="111"/>
      <c r="AO33" s="111"/>
      <c r="AP33" s="502" t="str">
        <f t="shared" si="3"/>
        <v/>
      </c>
      <c r="AQ33" s="111"/>
      <c r="AR33" s="111"/>
      <c r="AS33" s="111"/>
      <c r="AT33" s="111"/>
      <c r="AU33" s="111"/>
      <c r="AV33" s="503" t="str">
        <f t="shared" si="4"/>
        <v/>
      </c>
      <c r="AW33" s="150"/>
      <c r="AX33" s="150"/>
      <c r="AY33" s="497">
        <f t="shared" si="0"/>
        <v>0</v>
      </c>
      <c r="AZ33" s="498" t="b">
        <f t="shared" si="5"/>
        <v>0</v>
      </c>
      <c r="BA33" s="149"/>
    </row>
    <row r="34" spans="2:53" x14ac:dyDescent="0.25">
      <c r="B34" s="132">
        <v>16</v>
      </c>
      <c r="C34" s="499" t="str">
        <f>'C. FILIACION'!C29</f>
        <v>MANTILLA SANCHEZ CAROLINA VALERIA</v>
      </c>
      <c r="D34" s="458"/>
      <c r="E34" s="109"/>
      <c r="F34" s="109"/>
      <c r="G34" s="109"/>
      <c r="H34" s="109"/>
      <c r="I34" s="109"/>
      <c r="J34" s="500" t="str">
        <f t="shared" si="1"/>
        <v/>
      </c>
      <c r="K34" s="111"/>
      <c r="L34" s="111"/>
      <c r="M34" s="111"/>
      <c r="N34" s="111"/>
      <c r="O34" s="138"/>
      <c r="P34" s="110"/>
      <c r="Q34" s="111"/>
      <c r="R34" s="111"/>
      <c r="S34" s="111"/>
      <c r="T34" s="138"/>
      <c r="U34" s="110"/>
      <c r="V34" s="111"/>
      <c r="W34" s="111"/>
      <c r="X34" s="111"/>
      <c r="Y34" s="111"/>
      <c r="Z34" s="501" t="str">
        <f t="shared" si="2"/>
        <v/>
      </c>
      <c r="AA34" s="111"/>
      <c r="AB34" s="111"/>
      <c r="AC34" s="111"/>
      <c r="AD34" s="111"/>
      <c r="AE34" s="138"/>
      <c r="AF34" s="110"/>
      <c r="AG34" s="111"/>
      <c r="AH34" s="111"/>
      <c r="AI34" s="111"/>
      <c r="AJ34" s="138"/>
      <c r="AK34" s="110"/>
      <c r="AL34" s="111"/>
      <c r="AM34" s="111"/>
      <c r="AN34" s="111"/>
      <c r="AO34" s="111"/>
      <c r="AP34" s="502" t="str">
        <f t="shared" si="3"/>
        <v/>
      </c>
      <c r="AQ34" s="111"/>
      <c r="AR34" s="111"/>
      <c r="AS34" s="111"/>
      <c r="AT34" s="111"/>
      <c r="AU34" s="111"/>
      <c r="AV34" s="503" t="str">
        <f t="shared" si="4"/>
        <v/>
      </c>
      <c r="AW34" s="150"/>
      <c r="AX34" s="150"/>
      <c r="AY34" s="497">
        <f t="shared" si="0"/>
        <v>0</v>
      </c>
      <c r="AZ34" s="498" t="b">
        <f t="shared" si="5"/>
        <v>0</v>
      </c>
      <c r="BA34" s="149"/>
    </row>
    <row r="35" spans="2:53" x14ac:dyDescent="0.25">
      <c r="B35" s="132">
        <v>17</v>
      </c>
      <c r="C35" s="499" t="str">
        <f>'C. FILIACION'!C30</f>
        <v>MULLER  ESCOBAR MARCIA BIBIANA</v>
      </c>
      <c r="D35" s="458"/>
      <c r="E35" s="109"/>
      <c r="F35" s="109"/>
      <c r="G35" s="109"/>
      <c r="H35" s="109"/>
      <c r="I35" s="109"/>
      <c r="J35" s="500" t="str">
        <f t="shared" si="1"/>
        <v/>
      </c>
      <c r="K35" s="111"/>
      <c r="L35" s="111"/>
      <c r="M35" s="111"/>
      <c r="N35" s="111"/>
      <c r="O35" s="138"/>
      <c r="P35" s="110"/>
      <c r="Q35" s="111"/>
      <c r="R35" s="111"/>
      <c r="S35" s="111"/>
      <c r="T35" s="138"/>
      <c r="U35" s="110"/>
      <c r="V35" s="111"/>
      <c r="W35" s="111"/>
      <c r="X35" s="111"/>
      <c r="Y35" s="111"/>
      <c r="Z35" s="501" t="str">
        <f t="shared" si="2"/>
        <v/>
      </c>
      <c r="AA35" s="111"/>
      <c r="AB35" s="111"/>
      <c r="AC35" s="111"/>
      <c r="AD35" s="111"/>
      <c r="AE35" s="138"/>
      <c r="AF35" s="110"/>
      <c r="AG35" s="111"/>
      <c r="AH35" s="111"/>
      <c r="AI35" s="111"/>
      <c r="AJ35" s="138"/>
      <c r="AK35" s="110"/>
      <c r="AL35" s="111"/>
      <c r="AM35" s="111"/>
      <c r="AN35" s="111"/>
      <c r="AO35" s="111"/>
      <c r="AP35" s="502" t="str">
        <f t="shared" si="3"/>
        <v/>
      </c>
      <c r="AQ35" s="111"/>
      <c r="AR35" s="111"/>
      <c r="AS35" s="111"/>
      <c r="AT35" s="111"/>
      <c r="AU35" s="111"/>
      <c r="AV35" s="503" t="str">
        <f t="shared" si="4"/>
        <v/>
      </c>
      <c r="AW35" s="150"/>
      <c r="AX35" s="150"/>
      <c r="AY35" s="497">
        <f t="shared" si="0"/>
        <v>0</v>
      </c>
      <c r="AZ35" s="498" t="b">
        <f t="shared" si="5"/>
        <v>0</v>
      </c>
      <c r="BA35" s="149"/>
    </row>
    <row r="36" spans="2:53" x14ac:dyDescent="0.25">
      <c r="B36" s="132">
        <v>18</v>
      </c>
      <c r="C36" s="499" t="str">
        <f>'C. FILIACION'!C31</f>
        <v xml:space="preserve">POMA MAMANI ADRIAN </v>
      </c>
      <c r="D36" s="458"/>
      <c r="E36" s="109"/>
      <c r="F36" s="109"/>
      <c r="G36" s="109"/>
      <c r="H36" s="109"/>
      <c r="I36" s="109"/>
      <c r="J36" s="500" t="str">
        <f t="shared" si="1"/>
        <v/>
      </c>
      <c r="K36" s="111"/>
      <c r="L36" s="111"/>
      <c r="M36" s="111"/>
      <c r="N36" s="111"/>
      <c r="O36" s="138"/>
      <c r="P36" s="110"/>
      <c r="Q36" s="111"/>
      <c r="R36" s="111"/>
      <c r="S36" s="111"/>
      <c r="T36" s="138"/>
      <c r="U36" s="110"/>
      <c r="V36" s="111"/>
      <c r="W36" s="111"/>
      <c r="X36" s="111"/>
      <c r="Y36" s="111"/>
      <c r="Z36" s="501" t="str">
        <f t="shared" si="2"/>
        <v/>
      </c>
      <c r="AA36" s="111"/>
      <c r="AB36" s="111"/>
      <c r="AC36" s="111"/>
      <c r="AD36" s="111"/>
      <c r="AE36" s="138"/>
      <c r="AF36" s="110"/>
      <c r="AG36" s="111"/>
      <c r="AH36" s="111"/>
      <c r="AI36" s="111"/>
      <c r="AJ36" s="138"/>
      <c r="AK36" s="110"/>
      <c r="AL36" s="111"/>
      <c r="AM36" s="111"/>
      <c r="AN36" s="111"/>
      <c r="AO36" s="111"/>
      <c r="AP36" s="502" t="str">
        <f t="shared" si="3"/>
        <v/>
      </c>
      <c r="AQ36" s="111"/>
      <c r="AR36" s="111"/>
      <c r="AS36" s="111"/>
      <c r="AT36" s="111"/>
      <c r="AU36" s="111"/>
      <c r="AV36" s="503" t="str">
        <f t="shared" si="4"/>
        <v/>
      </c>
      <c r="AW36" s="150"/>
      <c r="AX36" s="150"/>
      <c r="AY36" s="497">
        <f t="shared" si="0"/>
        <v>0</v>
      </c>
      <c r="AZ36" s="498" t="b">
        <f t="shared" si="5"/>
        <v>0</v>
      </c>
      <c r="BA36" s="149"/>
    </row>
    <row r="37" spans="2:53" x14ac:dyDescent="0.25">
      <c r="B37" s="132">
        <v>19</v>
      </c>
      <c r="C37" s="499" t="str">
        <f>'C. FILIACION'!C32</f>
        <v>PORTILLO  JALJA JHOSEP ERLAN</v>
      </c>
      <c r="D37" s="458"/>
      <c r="E37" s="109"/>
      <c r="F37" s="109"/>
      <c r="G37" s="109"/>
      <c r="H37" s="109"/>
      <c r="I37" s="109"/>
      <c r="J37" s="500" t="str">
        <f t="shared" si="1"/>
        <v/>
      </c>
      <c r="K37" s="111"/>
      <c r="L37" s="111"/>
      <c r="M37" s="111"/>
      <c r="N37" s="111"/>
      <c r="O37" s="138"/>
      <c r="P37" s="110"/>
      <c r="Q37" s="111"/>
      <c r="R37" s="111"/>
      <c r="S37" s="111"/>
      <c r="T37" s="138"/>
      <c r="U37" s="110"/>
      <c r="V37" s="111"/>
      <c r="W37" s="111"/>
      <c r="X37" s="111"/>
      <c r="Y37" s="111"/>
      <c r="Z37" s="501" t="str">
        <f t="shared" si="2"/>
        <v/>
      </c>
      <c r="AA37" s="111"/>
      <c r="AB37" s="111"/>
      <c r="AC37" s="111"/>
      <c r="AD37" s="111"/>
      <c r="AE37" s="138"/>
      <c r="AF37" s="110"/>
      <c r="AG37" s="111"/>
      <c r="AH37" s="111"/>
      <c r="AI37" s="111"/>
      <c r="AJ37" s="138"/>
      <c r="AK37" s="110"/>
      <c r="AL37" s="111"/>
      <c r="AM37" s="111"/>
      <c r="AN37" s="111"/>
      <c r="AO37" s="111"/>
      <c r="AP37" s="502" t="str">
        <f t="shared" si="3"/>
        <v/>
      </c>
      <c r="AQ37" s="111"/>
      <c r="AR37" s="111"/>
      <c r="AS37" s="111"/>
      <c r="AT37" s="111"/>
      <c r="AU37" s="111"/>
      <c r="AV37" s="503" t="str">
        <f t="shared" si="4"/>
        <v/>
      </c>
      <c r="AW37" s="150"/>
      <c r="AX37" s="150"/>
      <c r="AY37" s="497">
        <f t="shared" si="0"/>
        <v>0</v>
      </c>
      <c r="AZ37" s="498" t="b">
        <f t="shared" si="5"/>
        <v>0</v>
      </c>
      <c r="BA37" s="149"/>
    </row>
    <row r="38" spans="2:53" x14ac:dyDescent="0.25">
      <c r="B38" s="132">
        <v>20</v>
      </c>
      <c r="C38" s="499" t="str">
        <f>'C. FILIACION'!C33</f>
        <v>PUJRO  CHAUCA DIANA MARIBEL</v>
      </c>
      <c r="D38" s="458"/>
      <c r="E38" s="109"/>
      <c r="F38" s="109"/>
      <c r="G38" s="109"/>
      <c r="H38" s="109"/>
      <c r="I38" s="109"/>
      <c r="J38" s="500" t="str">
        <f t="shared" si="1"/>
        <v/>
      </c>
      <c r="K38" s="111"/>
      <c r="L38" s="111"/>
      <c r="M38" s="111"/>
      <c r="N38" s="111"/>
      <c r="O38" s="138"/>
      <c r="P38" s="110"/>
      <c r="Q38" s="111"/>
      <c r="R38" s="111"/>
      <c r="S38" s="111"/>
      <c r="T38" s="138"/>
      <c r="U38" s="110"/>
      <c r="V38" s="111"/>
      <c r="W38" s="111"/>
      <c r="X38" s="111"/>
      <c r="Y38" s="111"/>
      <c r="Z38" s="501" t="str">
        <f t="shared" si="2"/>
        <v/>
      </c>
      <c r="AA38" s="111"/>
      <c r="AB38" s="111"/>
      <c r="AC38" s="111"/>
      <c r="AD38" s="111"/>
      <c r="AE38" s="138"/>
      <c r="AF38" s="110"/>
      <c r="AG38" s="111"/>
      <c r="AH38" s="111"/>
      <c r="AI38" s="111"/>
      <c r="AJ38" s="138"/>
      <c r="AK38" s="110"/>
      <c r="AL38" s="111"/>
      <c r="AM38" s="111"/>
      <c r="AN38" s="111"/>
      <c r="AO38" s="111"/>
      <c r="AP38" s="502" t="str">
        <f t="shared" si="3"/>
        <v/>
      </c>
      <c r="AQ38" s="111"/>
      <c r="AR38" s="111"/>
      <c r="AS38" s="111"/>
      <c r="AT38" s="111"/>
      <c r="AU38" s="111"/>
      <c r="AV38" s="503" t="str">
        <f t="shared" si="4"/>
        <v/>
      </c>
      <c r="AW38" s="150"/>
      <c r="AX38" s="150"/>
      <c r="AY38" s="497">
        <f t="shared" si="0"/>
        <v>0</v>
      </c>
      <c r="AZ38" s="498" t="b">
        <f t="shared" si="5"/>
        <v>0</v>
      </c>
      <c r="BA38" s="149"/>
    </row>
    <row r="39" spans="2:53" x14ac:dyDescent="0.25">
      <c r="B39" s="132">
        <v>21</v>
      </c>
      <c r="C39" s="499" t="str">
        <f>'C. FILIACION'!C34</f>
        <v>SANCHEZ  MOLINA ALEXIS VHADIR</v>
      </c>
      <c r="D39" s="458"/>
      <c r="E39" s="109"/>
      <c r="F39" s="109"/>
      <c r="G39" s="109"/>
      <c r="H39" s="109"/>
      <c r="I39" s="109"/>
      <c r="J39" s="500" t="str">
        <f t="shared" si="1"/>
        <v/>
      </c>
      <c r="K39" s="111"/>
      <c r="L39" s="111"/>
      <c r="M39" s="111"/>
      <c r="N39" s="111"/>
      <c r="O39" s="138"/>
      <c r="P39" s="110"/>
      <c r="Q39" s="111"/>
      <c r="R39" s="111"/>
      <c r="S39" s="111"/>
      <c r="T39" s="138"/>
      <c r="U39" s="110"/>
      <c r="V39" s="111"/>
      <c r="W39" s="111"/>
      <c r="X39" s="111"/>
      <c r="Y39" s="111"/>
      <c r="Z39" s="501" t="str">
        <f t="shared" si="2"/>
        <v/>
      </c>
      <c r="AA39" s="111"/>
      <c r="AB39" s="111"/>
      <c r="AC39" s="111"/>
      <c r="AD39" s="111"/>
      <c r="AE39" s="138"/>
      <c r="AF39" s="110"/>
      <c r="AG39" s="111"/>
      <c r="AH39" s="111"/>
      <c r="AI39" s="111"/>
      <c r="AJ39" s="138"/>
      <c r="AK39" s="110"/>
      <c r="AL39" s="111"/>
      <c r="AM39" s="111"/>
      <c r="AN39" s="111"/>
      <c r="AO39" s="111"/>
      <c r="AP39" s="502" t="str">
        <f t="shared" si="3"/>
        <v/>
      </c>
      <c r="AQ39" s="111"/>
      <c r="AR39" s="111"/>
      <c r="AS39" s="111"/>
      <c r="AT39" s="111"/>
      <c r="AU39" s="111"/>
      <c r="AV39" s="503" t="str">
        <f t="shared" si="4"/>
        <v/>
      </c>
      <c r="AW39" s="150"/>
      <c r="AX39" s="150"/>
      <c r="AY39" s="497">
        <f t="shared" si="0"/>
        <v>0</v>
      </c>
      <c r="AZ39" s="498" t="b">
        <f t="shared" si="5"/>
        <v>0</v>
      </c>
      <c r="BA39" s="149"/>
    </row>
    <row r="40" spans="2:53" x14ac:dyDescent="0.25">
      <c r="B40" s="132">
        <v>22</v>
      </c>
      <c r="C40" s="499" t="str">
        <f>'C. FILIACION'!C35</f>
        <v>SARAVIA SALVATIERRA JOSSE AMED</v>
      </c>
      <c r="D40" s="458"/>
      <c r="E40" s="109"/>
      <c r="F40" s="109"/>
      <c r="G40" s="109"/>
      <c r="H40" s="109"/>
      <c r="I40" s="109"/>
      <c r="J40" s="500" t="str">
        <f t="shared" si="1"/>
        <v/>
      </c>
      <c r="K40" s="111"/>
      <c r="L40" s="111"/>
      <c r="M40" s="111"/>
      <c r="N40" s="111"/>
      <c r="O40" s="138"/>
      <c r="P40" s="110"/>
      <c r="Q40" s="111"/>
      <c r="R40" s="111"/>
      <c r="S40" s="111"/>
      <c r="T40" s="138"/>
      <c r="U40" s="110"/>
      <c r="V40" s="111"/>
      <c r="W40" s="111"/>
      <c r="X40" s="111"/>
      <c r="Y40" s="111"/>
      <c r="Z40" s="501" t="str">
        <f t="shared" si="2"/>
        <v/>
      </c>
      <c r="AA40" s="111"/>
      <c r="AB40" s="111"/>
      <c r="AC40" s="111"/>
      <c r="AD40" s="111"/>
      <c r="AE40" s="138"/>
      <c r="AF40" s="110"/>
      <c r="AG40" s="111"/>
      <c r="AH40" s="111"/>
      <c r="AI40" s="111"/>
      <c r="AJ40" s="138"/>
      <c r="AK40" s="110"/>
      <c r="AL40" s="111"/>
      <c r="AM40" s="111"/>
      <c r="AN40" s="111"/>
      <c r="AO40" s="111"/>
      <c r="AP40" s="502" t="str">
        <f t="shared" si="3"/>
        <v/>
      </c>
      <c r="AQ40" s="111"/>
      <c r="AR40" s="111"/>
      <c r="AS40" s="111"/>
      <c r="AT40" s="111"/>
      <c r="AU40" s="111"/>
      <c r="AV40" s="503" t="str">
        <f t="shared" si="4"/>
        <v/>
      </c>
      <c r="AW40" s="150"/>
      <c r="AX40" s="150"/>
      <c r="AY40" s="497">
        <f t="shared" si="0"/>
        <v>0</v>
      </c>
      <c r="AZ40" s="498" t="b">
        <f t="shared" si="5"/>
        <v>0</v>
      </c>
      <c r="BA40" s="149"/>
    </row>
    <row r="41" spans="2:53" x14ac:dyDescent="0.25">
      <c r="B41" s="132">
        <v>23</v>
      </c>
      <c r="C41" s="499" t="str">
        <f>'C. FILIACION'!C36</f>
        <v>SIERRA LUNA GABRIEL  GERMAN</v>
      </c>
      <c r="D41" s="458"/>
      <c r="E41" s="109"/>
      <c r="F41" s="109"/>
      <c r="G41" s="109"/>
      <c r="H41" s="109"/>
      <c r="I41" s="109"/>
      <c r="J41" s="500" t="str">
        <f t="shared" si="1"/>
        <v/>
      </c>
      <c r="K41" s="111"/>
      <c r="L41" s="111"/>
      <c r="M41" s="111"/>
      <c r="N41" s="111"/>
      <c r="O41" s="138"/>
      <c r="P41" s="110"/>
      <c r="Q41" s="111"/>
      <c r="R41" s="111"/>
      <c r="S41" s="111"/>
      <c r="T41" s="138"/>
      <c r="U41" s="110"/>
      <c r="V41" s="111"/>
      <c r="W41" s="111"/>
      <c r="X41" s="111"/>
      <c r="Y41" s="111"/>
      <c r="Z41" s="501" t="str">
        <f t="shared" si="2"/>
        <v/>
      </c>
      <c r="AA41" s="111"/>
      <c r="AB41" s="111"/>
      <c r="AC41" s="111"/>
      <c r="AD41" s="111"/>
      <c r="AE41" s="138"/>
      <c r="AF41" s="110"/>
      <c r="AG41" s="111"/>
      <c r="AH41" s="111"/>
      <c r="AI41" s="111"/>
      <c r="AJ41" s="138"/>
      <c r="AK41" s="110"/>
      <c r="AL41" s="111"/>
      <c r="AM41" s="111"/>
      <c r="AN41" s="111"/>
      <c r="AO41" s="111"/>
      <c r="AP41" s="502" t="str">
        <f t="shared" si="3"/>
        <v/>
      </c>
      <c r="AQ41" s="111"/>
      <c r="AR41" s="111"/>
      <c r="AS41" s="111"/>
      <c r="AT41" s="111"/>
      <c r="AU41" s="111"/>
      <c r="AV41" s="503" t="str">
        <f t="shared" si="4"/>
        <v/>
      </c>
      <c r="AW41" s="150"/>
      <c r="AX41" s="150"/>
      <c r="AY41" s="497">
        <f t="shared" si="0"/>
        <v>0</v>
      </c>
      <c r="AZ41" s="498" t="b">
        <f t="shared" si="5"/>
        <v>0</v>
      </c>
      <c r="BA41" s="149"/>
    </row>
    <row r="42" spans="2:53" x14ac:dyDescent="0.25">
      <c r="B42" s="132">
        <v>24</v>
      </c>
      <c r="C42" s="499" t="str">
        <f>'C. FILIACION'!C37</f>
        <v>ZEWANE  MARTINEZ LINDA JHAMILETT</v>
      </c>
      <c r="D42" s="458"/>
      <c r="E42" s="109"/>
      <c r="F42" s="109"/>
      <c r="G42" s="109"/>
      <c r="H42" s="109"/>
      <c r="I42" s="109"/>
      <c r="J42" s="500" t="str">
        <f t="shared" si="1"/>
        <v/>
      </c>
      <c r="K42" s="111"/>
      <c r="L42" s="111"/>
      <c r="M42" s="111"/>
      <c r="N42" s="111"/>
      <c r="O42" s="138"/>
      <c r="P42" s="110"/>
      <c r="Q42" s="111"/>
      <c r="R42" s="111"/>
      <c r="S42" s="111"/>
      <c r="T42" s="138"/>
      <c r="U42" s="110"/>
      <c r="V42" s="111"/>
      <c r="W42" s="111"/>
      <c r="X42" s="111"/>
      <c r="Y42" s="111"/>
      <c r="Z42" s="501" t="str">
        <f t="shared" si="2"/>
        <v/>
      </c>
      <c r="AA42" s="111"/>
      <c r="AB42" s="111"/>
      <c r="AC42" s="111"/>
      <c r="AD42" s="111"/>
      <c r="AE42" s="138"/>
      <c r="AF42" s="110"/>
      <c r="AG42" s="111"/>
      <c r="AH42" s="111"/>
      <c r="AI42" s="111"/>
      <c r="AJ42" s="138"/>
      <c r="AK42" s="110"/>
      <c r="AL42" s="111"/>
      <c r="AM42" s="111"/>
      <c r="AN42" s="111"/>
      <c r="AO42" s="111"/>
      <c r="AP42" s="502" t="str">
        <f t="shared" si="3"/>
        <v/>
      </c>
      <c r="AQ42" s="111"/>
      <c r="AR42" s="111"/>
      <c r="AS42" s="111"/>
      <c r="AT42" s="111"/>
      <c r="AU42" s="111"/>
      <c r="AV42" s="503" t="str">
        <f t="shared" si="4"/>
        <v/>
      </c>
      <c r="AW42" s="150"/>
      <c r="AX42" s="150"/>
      <c r="AY42" s="497">
        <f t="shared" si="0"/>
        <v>0</v>
      </c>
      <c r="AZ42" s="498" t="b">
        <f t="shared" si="5"/>
        <v>0</v>
      </c>
      <c r="BA42" s="149"/>
    </row>
    <row r="43" spans="2:53" x14ac:dyDescent="0.25">
      <c r="B43" s="132">
        <v>25</v>
      </c>
      <c r="C43" s="499">
        <f>'C. FILIACION'!C38</f>
        <v>0</v>
      </c>
      <c r="D43" s="458"/>
      <c r="E43" s="109"/>
      <c r="F43" s="109"/>
      <c r="G43" s="109"/>
      <c r="H43" s="109"/>
      <c r="I43" s="109"/>
      <c r="J43" s="500" t="str">
        <f t="shared" si="1"/>
        <v/>
      </c>
      <c r="K43" s="111"/>
      <c r="L43" s="111"/>
      <c r="M43" s="111"/>
      <c r="N43" s="111"/>
      <c r="O43" s="138"/>
      <c r="P43" s="110"/>
      <c r="Q43" s="111"/>
      <c r="R43" s="111"/>
      <c r="S43" s="111"/>
      <c r="T43" s="138"/>
      <c r="U43" s="110"/>
      <c r="V43" s="111"/>
      <c r="W43" s="111"/>
      <c r="X43" s="111"/>
      <c r="Y43" s="111"/>
      <c r="Z43" s="501" t="str">
        <f t="shared" si="2"/>
        <v/>
      </c>
      <c r="AA43" s="111"/>
      <c r="AB43" s="111"/>
      <c r="AC43" s="111"/>
      <c r="AD43" s="111"/>
      <c r="AE43" s="138"/>
      <c r="AF43" s="110"/>
      <c r="AG43" s="111"/>
      <c r="AH43" s="111"/>
      <c r="AI43" s="111"/>
      <c r="AJ43" s="138"/>
      <c r="AK43" s="110"/>
      <c r="AL43" s="111"/>
      <c r="AM43" s="111"/>
      <c r="AN43" s="111"/>
      <c r="AO43" s="111"/>
      <c r="AP43" s="502" t="str">
        <f t="shared" si="3"/>
        <v/>
      </c>
      <c r="AQ43" s="111"/>
      <c r="AR43" s="111"/>
      <c r="AS43" s="111"/>
      <c r="AT43" s="111"/>
      <c r="AU43" s="111"/>
      <c r="AV43" s="503" t="str">
        <f t="shared" si="4"/>
        <v/>
      </c>
      <c r="AW43" s="150"/>
      <c r="AX43" s="150"/>
      <c r="AY43" s="497">
        <f t="shared" si="0"/>
        <v>0</v>
      </c>
      <c r="AZ43" s="498" t="b">
        <f t="shared" si="5"/>
        <v>0</v>
      </c>
      <c r="BA43" s="149"/>
    </row>
    <row r="44" spans="2:53" x14ac:dyDescent="0.25">
      <c r="B44" s="132">
        <v>26</v>
      </c>
      <c r="C44" s="499">
        <f>'C. FILIACION'!C39</f>
        <v>0</v>
      </c>
      <c r="D44" s="458"/>
      <c r="E44" s="109"/>
      <c r="F44" s="109"/>
      <c r="G44" s="109"/>
      <c r="H44" s="109"/>
      <c r="I44" s="109"/>
      <c r="J44" s="500" t="str">
        <f t="shared" si="1"/>
        <v/>
      </c>
      <c r="K44" s="111"/>
      <c r="L44" s="111"/>
      <c r="M44" s="111"/>
      <c r="N44" s="111"/>
      <c r="O44" s="138"/>
      <c r="P44" s="110"/>
      <c r="Q44" s="111"/>
      <c r="R44" s="111"/>
      <c r="S44" s="111"/>
      <c r="T44" s="138"/>
      <c r="U44" s="110"/>
      <c r="V44" s="111"/>
      <c r="W44" s="111"/>
      <c r="X44" s="111"/>
      <c r="Y44" s="111"/>
      <c r="Z44" s="501" t="str">
        <f t="shared" si="2"/>
        <v/>
      </c>
      <c r="AA44" s="111"/>
      <c r="AB44" s="111"/>
      <c r="AC44" s="111"/>
      <c r="AD44" s="111"/>
      <c r="AE44" s="138"/>
      <c r="AF44" s="110"/>
      <c r="AG44" s="111"/>
      <c r="AH44" s="111"/>
      <c r="AI44" s="111"/>
      <c r="AJ44" s="138"/>
      <c r="AK44" s="110"/>
      <c r="AL44" s="111"/>
      <c r="AM44" s="111"/>
      <c r="AN44" s="111"/>
      <c r="AO44" s="111"/>
      <c r="AP44" s="502" t="str">
        <f t="shared" si="3"/>
        <v/>
      </c>
      <c r="AQ44" s="111"/>
      <c r="AR44" s="111"/>
      <c r="AS44" s="111"/>
      <c r="AT44" s="111"/>
      <c r="AU44" s="111"/>
      <c r="AV44" s="503" t="str">
        <f t="shared" si="4"/>
        <v/>
      </c>
      <c r="AW44" s="150"/>
      <c r="AX44" s="150"/>
      <c r="AY44" s="497">
        <f t="shared" si="0"/>
        <v>0</v>
      </c>
      <c r="AZ44" s="498" t="b">
        <f t="shared" si="5"/>
        <v>0</v>
      </c>
      <c r="BA44" s="149"/>
    </row>
    <row r="45" spans="2:53" x14ac:dyDescent="0.25">
      <c r="B45" s="132">
        <v>27</v>
      </c>
      <c r="C45" s="499">
        <f>'C. FILIACION'!C40</f>
        <v>0</v>
      </c>
      <c r="D45" s="458"/>
      <c r="E45" s="109"/>
      <c r="F45" s="109"/>
      <c r="G45" s="109"/>
      <c r="H45" s="109"/>
      <c r="I45" s="109"/>
      <c r="J45" s="500" t="str">
        <f t="shared" si="1"/>
        <v/>
      </c>
      <c r="K45" s="111"/>
      <c r="L45" s="111"/>
      <c r="M45" s="111"/>
      <c r="N45" s="111"/>
      <c r="O45" s="138"/>
      <c r="P45" s="110"/>
      <c r="Q45" s="111"/>
      <c r="R45" s="111"/>
      <c r="S45" s="111"/>
      <c r="T45" s="138"/>
      <c r="U45" s="110"/>
      <c r="V45" s="111"/>
      <c r="W45" s="111"/>
      <c r="X45" s="111"/>
      <c r="Y45" s="111"/>
      <c r="Z45" s="501" t="str">
        <f t="shared" si="2"/>
        <v/>
      </c>
      <c r="AA45" s="111"/>
      <c r="AB45" s="111"/>
      <c r="AC45" s="111"/>
      <c r="AD45" s="111"/>
      <c r="AE45" s="138"/>
      <c r="AF45" s="110"/>
      <c r="AG45" s="111"/>
      <c r="AH45" s="111"/>
      <c r="AI45" s="111"/>
      <c r="AJ45" s="138"/>
      <c r="AK45" s="110"/>
      <c r="AL45" s="111"/>
      <c r="AM45" s="111"/>
      <c r="AN45" s="111"/>
      <c r="AO45" s="111"/>
      <c r="AP45" s="502" t="str">
        <f t="shared" si="3"/>
        <v/>
      </c>
      <c r="AQ45" s="111"/>
      <c r="AR45" s="111"/>
      <c r="AS45" s="111"/>
      <c r="AT45" s="111"/>
      <c r="AU45" s="111"/>
      <c r="AV45" s="503" t="str">
        <f t="shared" si="4"/>
        <v/>
      </c>
      <c r="AW45" s="150"/>
      <c r="AX45" s="150"/>
      <c r="AY45" s="497">
        <f t="shared" si="0"/>
        <v>0</v>
      </c>
      <c r="AZ45" s="498" t="b">
        <f t="shared" si="5"/>
        <v>0</v>
      </c>
      <c r="BA45" s="149"/>
    </row>
    <row r="46" spans="2:53" x14ac:dyDescent="0.25">
      <c r="B46" s="132">
        <v>28</v>
      </c>
      <c r="C46" s="499">
        <f>'C. FILIACION'!C41</f>
        <v>0</v>
      </c>
      <c r="D46" s="458"/>
      <c r="E46" s="109"/>
      <c r="F46" s="109"/>
      <c r="G46" s="109"/>
      <c r="H46" s="109"/>
      <c r="I46" s="109"/>
      <c r="J46" s="500" t="str">
        <f t="shared" si="1"/>
        <v/>
      </c>
      <c r="K46" s="111"/>
      <c r="L46" s="111"/>
      <c r="M46" s="111"/>
      <c r="N46" s="111"/>
      <c r="O46" s="138"/>
      <c r="P46" s="110"/>
      <c r="Q46" s="111"/>
      <c r="R46" s="111"/>
      <c r="S46" s="111"/>
      <c r="T46" s="138"/>
      <c r="U46" s="110"/>
      <c r="V46" s="111"/>
      <c r="W46" s="111"/>
      <c r="X46" s="111"/>
      <c r="Y46" s="111"/>
      <c r="Z46" s="501" t="str">
        <f t="shared" si="2"/>
        <v/>
      </c>
      <c r="AA46" s="111"/>
      <c r="AB46" s="111"/>
      <c r="AC46" s="111"/>
      <c r="AD46" s="111"/>
      <c r="AE46" s="138"/>
      <c r="AF46" s="110"/>
      <c r="AG46" s="111"/>
      <c r="AH46" s="111"/>
      <c r="AI46" s="111"/>
      <c r="AJ46" s="138"/>
      <c r="AK46" s="110"/>
      <c r="AL46" s="111"/>
      <c r="AM46" s="111"/>
      <c r="AN46" s="111"/>
      <c r="AO46" s="111"/>
      <c r="AP46" s="502" t="str">
        <f t="shared" si="3"/>
        <v/>
      </c>
      <c r="AQ46" s="111"/>
      <c r="AR46" s="111"/>
      <c r="AS46" s="111"/>
      <c r="AT46" s="111"/>
      <c r="AU46" s="111"/>
      <c r="AV46" s="503" t="str">
        <f t="shared" si="4"/>
        <v/>
      </c>
      <c r="AW46" s="150"/>
      <c r="AX46" s="150"/>
      <c r="AY46" s="497">
        <f t="shared" si="0"/>
        <v>0</v>
      </c>
      <c r="AZ46" s="498" t="b">
        <f t="shared" si="5"/>
        <v>0</v>
      </c>
      <c r="BA46" s="149"/>
    </row>
    <row r="47" spans="2:53" x14ac:dyDescent="0.25">
      <c r="B47" s="132">
        <v>29</v>
      </c>
      <c r="C47" s="499">
        <f>'C. FILIACION'!C42</f>
        <v>0</v>
      </c>
      <c r="D47" s="458"/>
      <c r="E47" s="109"/>
      <c r="F47" s="109"/>
      <c r="G47" s="109"/>
      <c r="H47" s="109"/>
      <c r="I47" s="109"/>
      <c r="J47" s="500" t="str">
        <f t="shared" si="1"/>
        <v/>
      </c>
      <c r="K47" s="111"/>
      <c r="L47" s="111"/>
      <c r="M47" s="111"/>
      <c r="N47" s="111"/>
      <c r="O47" s="138"/>
      <c r="P47" s="110"/>
      <c r="Q47" s="111"/>
      <c r="R47" s="111"/>
      <c r="S47" s="111"/>
      <c r="T47" s="138"/>
      <c r="U47" s="110"/>
      <c r="V47" s="111"/>
      <c r="W47" s="111"/>
      <c r="X47" s="111"/>
      <c r="Y47" s="111"/>
      <c r="Z47" s="501" t="str">
        <f t="shared" si="2"/>
        <v/>
      </c>
      <c r="AA47" s="111"/>
      <c r="AB47" s="111"/>
      <c r="AC47" s="111"/>
      <c r="AD47" s="111"/>
      <c r="AE47" s="138"/>
      <c r="AF47" s="110"/>
      <c r="AG47" s="111"/>
      <c r="AH47" s="111"/>
      <c r="AI47" s="111"/>
      <c r="AJ47" s="138"/>
      <c r="AK47" s="110"/>
      <c r="AL47" s="111"/>
      <c r="AM47" s="111"/>
      <c r="AN47" s="111"/>
      <c r="AO47" s="111"/>
      <c r="AP47" s="502" t="str">
        <f t="shared" si="3"/>
        <v/>
      </c>
      <c r="AQ47" s="111"/>
      <c r="AR47" s="111"/>
      <c r="AS47" s="111"/>
      <c r="AT47" s="111"/>
      <c r="AU47" s="111"/>
      <c r="AV47" s="503" t="str">
        <f t="shared" si="4"/>
        <v/>
      </c>
      <c r="AW47" s="150"/>
      <c r="AX47" s="150"/>
      <c r="AY47" s="497">
        <f t="shared" si="0"/>
        <v>0</v>
      </c>
      <c r="AZ47" s="498" t="b">
        <f t="shared" si="5"/>
        <v>0</v>
      </c>
      <c r="BA47" s="149"/>
    </row>
    <row r="48" spans="2:53" x14ac:dyDescent="0.25">
      <c r="B48" s="132">
        <v>30</v>
      </c>
      <c r="C48" s="499">
        <f>'C. FILIACION'!C43</f>
        <v>0</v>
      </c>
      <c r="D48" s="458"/>
      <c r="E48" s="109"/>
      <c r="F48" s="109"/>
      <c r="G48" s="109"/>
      <c r="H48" s="109"/>
      <c r="I48" s="109"/>
      <c r="J48" s="500" t="str">
        <f t="shared" si="1"/>
        <v/>
      </c>
      <c r="K48" s="111"/>
      <c r="L48" s="111"/>
      <c r="M48" s="111"/>
      <c r="N48" s="111"/>
      <c r="O48" s="138"/>
      <c r="P48" s="110"/>
      <c r="Q48" s="111"/>
      <c r="R48" s="111"/>
      <c r="S48" s="111"/>
      <c r="T48" s="138"/>
      <c r="U48" s="110"/>
      <c r="V48" s="111"/>
      <c r="W48" s="111"/>
      <c r="X48" s="111"/>
      <c r="Y48" s="111"/>
      <c r="Z48" s="501" t="str">
        <f t="shared" si="2"/>
        <v/>
      </c>
      <c r="AA48" s="111"/>
      <c r="AB48" s="111"/>
      <c r="AC48" s="111"/>
      <c r="AD48" s="111"/>
      <c r="AE48" s="138"/>
      <c r="AF48" s="110"/>
      <c r="AG48" s="111"/>
      <c r="AH48" s="111"/>
      <c r="AI48" s="111"/>
      <c r="AJ48" s="138"/>
      <c r="AK48" s="110"/>
      <c r="AL48" s="111"/>
      <c r="AM48" s="111"/>
      <c r="AN48" s="111"/>
      <c r="AO48" s="111"/>
      <c r="AP48" s="502" t="str">
        <f t="shared" si="3"/>
        <v/>
      </c>
      <c r="AQ48" s="111"/>
      <c r="AR48" s="111"/>
      <c r="AS48" s="111"/>
      <c r="AT48" s="111"/>
      <c r="AU48" s="111"/>
      <c r="AV48" s="503" t="str">
        <f t="shared" si="4"/>
        <v/>
      </c>
      <c r="AW48" s="150"/>
      <c r="AX48" s="150"/>
      <c r="AY48" s="497">
        <f t="shared" si="0"/>
        <v>0</v>
      </c>
      <c r="AZ48" s="498" t="b">
        <f t="shared" si="5"/>
        <v>0</v>
      </c>
      <c r="BA48" s="149"/>
    </row>
    <row r="49" spans="2:53" x14ac:dyDescent="0.25">
      <c r="B49" s="132">
        <v>31</v>
      </c>
      <c r="C49" s="499">
        <f>'C. FILIACION'!C44</f>
        <v>0</v>
      </c>
      <c r="D49" s="458"/>
      <c r="E49" s="109"/>
      <c r="F49" s="109"/>
      <c r="G49" s="109"/>
      <c r="H49" s="109"/>
      <c r="I49" s="109"/>
      <c r="J49" s="500" t="str">
        <f t="shared" si="1"/>
        <v/>
      </c>
      <c r="K49" s="111"/>
      <c r="L49" s="111"/>
      <c r="M49" s="111"/>
      <c r="N49" s="111"/>
      <c r="O49" s="138"/>
      <c r="P49" s="110"/>
      <c r="Q49" s="111"/>
      <c r="R49" s="111"/>
      <c r="S49" s="111"/>
      <c r="T49" s="138"/>
      <c r="U49" s="110"/>
      <c r="V49" s="111"/>
      <c r="W49" s="111"/>
      <c r="X49" s="111"/>
      <c r="Y49" s="111"/>
      <c r="Z49" s="501" t="str">
        <f t="shared" si="2"/>
        <v/>
      </c>
      <c r="AA49" s="111"/>
      <c r="AB49" s="111"/>
      <c r="AC49" s="111"/>
      <c r="AD49" s="111"/>
      <c r="AE49" s="138"/>
      <c r="AF49" s="110"/>
      <c r="AG49" s="111"/>
      <c r="AH49" s="111"/>
      <c r="AI49" s="111"/>
      <c r="AJ49" s="138"/>
      <c r="AK49" s="110"/>
      <c r="AL49" s="111"/>
      <c r="AM49" s="111"/>
      <c r="AN49" s="111"/>
      <c r="AO49" s="111"/>
      <c r="AP49" s="502" t="str">
        <f t="shared" si="3"/>
        <v/>
      </c>
      <c r="AQ49" s="111"/>
      <c r="AR49" s="111"/>
      <c r="AS49" s="111"/>
      <c r="AT49" s="111"/>
      <c r="AU49" s="111"/>
      <c r="AV49" s="503" t="str">
        <f t="shared" si="4"/>
        <v/>
      </c>
      <c r="AW49" s="150"/>
      <c r="AX49" s="150"/>
      <c r="AY49" s="497">
        <f t="shared" si="0"/>
        <v>0</v>
      </c>
      <c r="AZ49" s="498" t="b">
        <f t="shared" si="5"/>
        <v>0</v>
      </c>
      <c r="BA49" s="149"/>
    </row>
    <row r="50" spans="2:53" x14ac:dyDescent="0.25">
      <c r="B50" s="132">
        <v>32</v>
      </c>
      <c r="C50" s="499">
        <f>'C. FILIACION'!C45</f>
        <v>0</v>
      </c>
      <c r="D50" s="458"/>
      <c r="E50" s="109"/>
      <c r="F50" s="109"/>
      <c r="G50" s="109"/>
      <c r="H50" s="109"/>
      <c r="I50" s="109"/>
      <c r="J50" s="500" t="str">
        <f t="shared" si="1"/>
        <v/>
      </c>
      <c r="K50" s="111"/>
      <c r="L50" s="111"/>
      <c r="M50" s="111"/>
      <c r="N50" s="111"/>
      <c r="O50" s="138"/>
      <c r="P50" s="110"/>
      <c r="Q50" s="111"/>
      <c r="R50" s="111"/>
      <c r="S50" s="111"/>
      <c r="T50" s="138"/>
      <c r="U50" s="110"/>
      <c r="V50" s="111"/>
      <c r="W50" s="111"/>
      <c r="X50" s="111"/>
      <c r="Y50" s="111"/>
      <c r="Z50" s="501" t="str">
        <f t="shared" si="2"/>
        <v/>
      </c>
      <c r="AA50" s="111"/>
      <c r="AB50" s="111"/>
      <c r="AC50" s="111"/>
      <c r="AD50" s="111"/>
      <c r="AE50" s="138"/>
      <c r="AF50" s="110"/>
      <c r="AG50" s="111"/>
      <c r="AH50" s="111"/>
      <c r="AI50" s="111"/>
      <c r="AJ50" s="138"/>
      <c r="AK50" s="110"/>
      <c r="AL50" s="111"/>
      <c r="AM50" s="111"/>
      <c r="AN50" s="111"/>
      <c r="AO50" s="111"/>
      <c r="AP50" s="502" t="str">
        <f t="shared" si="3"/>
        <v/>
      </c>
      <c r="AQ50" s="111"/>
      <c r="AR50" s="111"/>
      <c r="AS50" s="111"/>
      <c r="AT50" s="111"/>
      <c r="AU50" s="111"/>
      <c r="AV50" s="503" t="str">
        <f t="shared" si="4"/>
        <v/>
      </c>
      <c r="AW50" s="150"/>
      <c r="AX50" s="150"/>
      <c r="AY50" s="497">
        <f t="shared" si="0"/>
        <v>0</v>
      </c>
      <c r="AZ50" s="498" t="b">
        <f t="shared" si="5"/>
        <v>0</v>
      </c>
      <c r="BA50" s="149"/>
    </row>
    <row r="51" spans="2:53" x14ac:dyDescent="0.25">
      <c r="B51" s="132">
        <v>33</v>
      </c>
      <c r="C51" s="499">
        <f>'C. FILIACION'!C46</f>
        <v>0</v>
      </c>
      <c r="D51" s="458"/>
      <c r="E51" s="109"/>
      <c r="F51" s="109"/>
      <c r="G51" s="109"/>
      <c r="H51" s="109"/>
      <c r="I51" s="109"/>
      <c r="J51" s="500" t="str">
        <f t="shared" si="1"/>
        <v/>
      </c>
      <c r="K51" s="111"/>
      <c r="L51" s="111"/>
      <c r="M51" s="111"/>
      <c r="N51" s="111"/>
      <c r="O51" s="138"/>
      <c r="P51" s="110"/>
      <c r="Q51" s="111"/>
      <c r="R51" s="111"/>
      <c r="S51" s="111"/>
      <c r="T51" s="138"/>
      <c r="U51" s="110"/>
      <c r="V51" s="111"/>
      <c r="W51" s="111"/>
      <c r="X51" s="111"/>
      <c r="Y51" s="111"/>
      <c r="Z51" s="501" t="str">
        <f t="shared" si="2"/>
        <v/>
      </c>
      <c r="AA51" s="111"/>
      <c r="AB51" s="111"/>
      <c r="AC51" s="111"/>
      <c r="AD51" s="111"/>
      <c r="AE51" s="138"/>
      <c r="AF51" s="110"/>
      <c r="AG51" s="111"/>
      <c r="AH51" s="111"/>
      <c r="AI51" s="111"/>
      <c r="AJ51" s="138"/>
      <c r="AK51" s="110"/>
      <c r="AL51" s="111"/>
      <c r="AM51" s="111"/>
      <c r="AN51" s="111"/>
      <c r="AO51" s="111"/>
      <c r="AP51" s="502" t="str">
        <f t="shared" si="3"/>
        <v/>
      </c>
      <c r="AQ51" s="111"/>
      <c r="AR51" s="111"/>
      <c r="AS51" s="111"/>
      <c r="AT51" s="111"/>
      <c r="AU51" s="111"/>
      <c r="AV51" s="503" t="str">
        <f t="shared" si="4"/>
        <v/>
      </c>
      <c r="AW51" s="150"/>
      <c r="AX51" s="150"/>
      <c r="AY51" s="497">
        <f t="shared" si="0"/>
        <v>0</v>
      </c>
      <c r="AZ51" s="498" t="b">
        <f t="shared" si="5"/>
        <v>0</v>
      </c>
      <c r="BA51" s="149"/>
    </row>
    <row r="52" spans="2:53" x14ac:dyDescent="0.25">
      <c r="B52" s="132">
        <v>34</v>
      </c>
      <c r="C52" s="499">
        <f>'C. FILIACION'!C47</f>
        <v>0</v>
      </c>
      <c r="D52" s="458"/>
      <c r="E52" s="109"/>
      <c r="F52" s="109"/>
      <c r="G52" s="109"/>
      <c r="H52" s="109"/>
      <c r="I52" s="109"/>
      <c r="J52" s="500" t="str">
        <f t="shared" si="1"/>
        <v/>
      </c>
      <c r="K52" s="111"/>
      <c r="L52" s="111"/>
      <c r="M52" s="111"/>
      <c r="N52" s="111"/>
      <c r="O52" s="138"/>
      <c r="P52" s="110"/>
      <c r="Q52" s="111"/>
      <c r="R52" s="111"/>
      <c r="S52" s="111"/>
      <c r="T52" s="138"/>
      <c r="U52" s="110"/>
      <c r="V52" s="111"/>
      <c r="W52" s="111"/>
      <c r="X52" s="111"/>
      <c r="Y52" s="111"/>
      <c r="Z52" s="501" t="str">
        <f t="shared" si="2"/>
        <v/>
      </c>
      <c r="AA52" s="111"/>
      <c r="AB52" s="111"/>
      <c r="AC52" s="111"/>
      <c r="AD52" s="111"/>
      <c r="AE52" s="138"/>
      <c r="AF52" s="110"/>
      <c r="AG52" s="111"/>
      <c r="AH52" s="111"/>
      <c r="AI52" s="111"/>
      <c r="AJ52" s="138"/>
      <c r="AK52" s="110"/>
      <c r="AL52" s="111"/>
      <c r="AM52" s="111"/>
      <c r="AN52" s="111"/>
      <c r="AO52" s="111"/>
      <c r="AP52" s="502" t="str">
        <f t="shared" si="3"/>
        <v/>
      </c>
      <c r="AQ52" s="111"/>
      <c r="AR52" s="111"/>
      <c r="AS52" s="111"/>
      <c r="AT52" s="111"/>
      <c r="AU52" s="111"/>
      <c r="AV52" s="503" t="str">
        <f t="shared" si="4"/>
        <v/>
      </c>
      <c r="AW52" s="150"/>
      <c r="AX52" s="150"/>
      <c r="AY52" s="497">
        <f t="shared" si="0"/>
        <v>0</v>
      </c>
      <c r="AZ52" s="498" t="b">
        <f t="shared" si="5"/>
        <v>0</v>
      </c>
      <c r="BA52" s="149"/>
    </row>
    <row r="53" spans="2:53" x14ac:dyDescent="0.25">
      <c r="B53" s="132">
        <v>35</v>
      </c>
      <c r="C53" s="499">
        <f>'C. FILIACION'!C48</f>
        <v>0</v>
      </c>
      <c r="D53" s="458"/>
      <c r="E53" s="109"/>
      <c r="F53" s="109"/>
      <c r="G53" s="109"/>
      <c r="H53" s="109"/>
      <c r="I53" s="109"/>
      <c r="J53" s="500" t="str">
        <f t="shared" si="1"/>
        <v/>
      </c>
      <c r="K53" s="111"/>
      <c r="L53" s="111"/>
      <c r="M53" s="111"/>
      <c r="N53" s="111"/>
      <c r="O53" s="138"/>
      <c r="P53" s="110"/>
      <c r="Q53" s="111"/>
      <c r="R53" s="111"/>
      <c r="S53" s="111"/>
      <c r="T53" s="138"/>
      <c r="U53" s="110"/>
      <c r="V53" s="111"/>
      <c r="W53" s="111"/>
      <c r="X53" s="111"/>
      <c r="Y53" s="111"/>
      <c r="Z53" s="501" t="str">
        <f t="shared" si="2"/>
        <v/>
      </c>
      <c r="AA53" s="111"/>
      <c r="AB53" s="111"/>
      <c r="AC53" s="111"/>
      <c r="AD53" s="111"/>
      <c r="AE53" s="138"/>
      <c r="AF53" s="110"/>
      <c r="AG53" s="111"/>
      <c r="AH53" s="111"/>
      <c r="AI53" s="111"/>
      <c r="AJ53" s="138"/>
      <c r="AK53" s="110"/>
      <c r="AL53" s="111"/>
      <c r="AM53" s="111"/>
      <c r="AN53" s="111"/>
      <c r="AO53" s="111"/>
      <c r="AP53" s="502" t="str">
        <f t="shared" si="3"/>
        <v/>
      </c>
      <c r="AQ53" s="111"/>
      <c r="AR53" s="111"/>
      <c r="AS53" s="111"/>
      <c r="AT53" s="111"/>
      <c r="AU53" s="111"/>
      <c r="AV53" s="503" t="str">
        <f t="shared" si="4"/>
        <v/>
      </c>
      <c r="AW53" s="150"/>
      <c r="AX53" s="150"/>
      <c r="AY53" s="497">
        <f t="shared" si="0"/>
        <v>0</v>
      </c>
      <c r="AZ53" s="498" t="b">
        <f t="shared" si="5"/>
        <v>0</v>
      </c>
      <c r="BA53" s="149"/>
    </row>
    <row r="54" spans="2:53" x14ac:dyDescent="0.25">
      <c r="B54" s="132">
        <v>36</v>
      </c>
      <c r="C54" s="499">
        <f>'C. FILIACION'!C49</f>
        <v>0</v>
      </c>
      <c r="D54" s="458"/>
      <c r="E54" s="109"/>
      <c r="F54" s="109"/>
      <c r="G54" s="109"/>
      <c r="H54" s="109"/>
      <c r="I54" s="109"/>
      <c r="J54" s="500" t="str">
        <f t="shared" si="1"/>
        <v/>
      </c>
      <c r="K54" s="111"/>
      <c r="L54" s="111"/>
      <c r="M54" s="111"/>
      <c r="N54" s="111"/>
      <c r="O54" s="138"/>
      <c r="P54" s="110"/>
      <c r="Q54" s="111"/>
      <c r="R54" s="111"/>
      <c r="S54" s="111"/>
      <c r="T54" s="138"/>
      <c r="U54" s="110"/>
      <c r="V54" s="111"/>
      <c r="W54" s="111"/>
      <c r="X54" s="111"/>
      <c r="Y54" s="111"/>
      <c r="Z54" s="501" t="str">
        <f t="shared" si="2"/>
        <v/>
      </c>
      <c r="AA54" s="111"/>
      <c r="AB54" s="111"/>
      <c r="AC54" s="111"/>
      <c r="AD54" s="111"/>
      <c r="AE54" s="138"/>
      <c r="AF54" s="110"/>
      <c r="AG54" s="111"/>
      <c r="AH54" s="111"/>
      <c r="AI54" s="111"/>
      <c r="AJ54" s="138"/>
      <c r="AK54" s="110"/>
      <c r="AL54" s="111"/>
      <c r="AM54" s="111"/>
      <c r="AN54" s="111"/>
      <c r="AO54" s="111"/>
      <c r="AP54" s="502" t="str">
        <f t="shared" si="3"/>
        <v/>
      </c>
      <c r="AQ54" s="111"/>
      <c r="AR54" s="111"/>
      <c r="AS54" s="111"/>
      <c r="AT54" s="111"/>
      <c r="AU54" s="111"/>
      <c r="AV54" s="503" t="str">
        <f t="shared" si="4"/>
        <v/>
      </c>
      <c r="AW54" s="150"/>
      <c r="AX54" s="150"/>
      <c r="AY54" s="497">
        <f t="shared" si="0"/>
        <v>0</v>
      </c>
      <c r="AZ54" s="498" t="b">
        <f t="shared" si="5"/>
        <v>0</v>
      </c>
      <c r="BA54" s="149"/>
    </row>
    <row r="55" spans="2:53" x14ac:dyDescent="0.25">
      <c r="B55" s="132">
        <v>37</v>
      </c>
      <c r="C55" s="499">
        <f>'C. FILIACION'!C50</f>
        <v>0</v>
      </c>
      <c r="D55" s="458"/>
      <c r="E55" s="109"/>
      <c r="F55" s="109"/>
      <c r="G55" s="109"/>
      <c r="H55" s="109"/>
      <c r="I55" s="109"/>
      <c r="J55" s="500" t="str">
        <f t="shared" si="1"/>
        <v/>
      </c>
      <c r="K55" s="111"/>
      <c r="L55" s="111"/>
      <c r="M55" s="111"/>
      <c r="N55" s="111"/>
      <c r="O55" s="138"/>
      <c r="P55" s="110"/>
      <c r="Q55" s="111"/>
      <c r="R55" s="111"/>
      <c r="S55" s="111"/>
      <c r="T55" s="138"/>
      <c r="U55" s="110"/>
      <c r="V55" s="111"/>
      <c r="W55" s="111"/>
      <c r="X55" s="111"/>
      <c r="Y55" s="111"/>
      <c r="Z55" s="501" t="str">
        <f t="shared" si="2"/>
        <v/>
      </c>
      <c r="AA55" s="111"/>
      <c r="AB55" s="111"/>
      <c r="AC55" s="111"/>
      <c r="AD55" s="111"/>
      <c r="AE55" s="138"/>
      <c r="AF55" s="110"/>
      <c r="AG55" s="111"/>
      <c r="AH55" s="111"/>
      <c r="AI55" s="111"/>
      <c r="AJ55" s="138"/>
      <c r="AK55" s="110"/>
      <c r="AL55" s="111"/>
      <c r="AM55" s="111"/>
      <c r="AN55" s="111"/>
      <c r="AO55" s="111"/>
      <c r="AP55" s="502" t="str">
        <f t="shared" si="3"/>
        <v/>
      </c>
      <c r="AQ55" s="111"/>
      <c r="AR55" s="111"/>
      <c r="AS55" s="111"/>
      <c r="AT55" s="111"/>
      <c r="AU55" s="111"/>
      <c r="AV55" s="503" t="str">
        <f t="shared" si="4"/>
        <v/>
      </c>
      <c r="AW55" s="150"/>
      <c r="AX55" s="150"/>
      <c r="AY55" s="497">
        <f t="shared" si="0"/>
        <v>0</v>
      </c>
      <c r="AZ55" s="498" t="b">
        <f t="shared" si="5"/>
        <v>0</v>
      </c>
      <c r="BA55" s="149"/>
    </row>
    <row r="56" spans="2:53" x14ac:dyDescent="0.25">
      <c r="B56" s="132">
        <v>38</v>
      </c>
      <c r="C56" s="499">
        <f>'C. FILIACION'!C51</f>
        <v>0</v>
      </c>
      <c r="D56" s="458"/>
      <c r="E56" s="109"/>
      <c r="F56" s="109"/>
      <c r="G56" s="109"/>
      <c r="H56" s="109"/>
      <c r="I56" s="109"/>
      <c r="J56" s="500" t="str">
        <f t="shared" si="1"/>
        <v/>
      </c>
      <c r="K56" s="111"/>
      <c r="L56" s="111"/>
      <c r="M56" s="111"/>
      <c r="N56" s="111"/>
      <c r="O56" s="138"/>
      <c r="P56" s="110"/>
      <c r="Q56" s="111"/>
      <c r="R56" s="111"/>
      <c r="S56" s="111"/>
      <c r="T56" s="138"/>
      <c r="U56" s="110"/>
      <c r="V56" s="111"/>
      <c r="W56" s="111"/>
      <c r="X56" s="111"/>
      <c r="Y56" s="111"/>
      <c r="Z56" s="501" t="str">
        <f t="shared" si="2"/>
        <v/>
      </c>
      <c r="AA56" s="111"/>
      <c r="AB56" s="111"/>
      <c r="AC56" s="111"/>
      <c r="AD56" s="111"/>
      <c r="AE56" s="138"/>
      <c r="AF56" s="110"/>
      <c r="AG56" s="111"/>
      <c r="AH56" s="111"/>
      <c r="AI56" s="111"/>
      <c r="AJ56" s="138"/>
      <c r="AK56" s="110"/>
      <c r="AL56" s="111"/>
      <c r="AM56" s="111"/>
      <c r="AN56" s="111"/>
      <c r="AO56" s="111"/>
      <c r="AP56" s="502" t="str">
        <f t="shared" si="3"/>
        <v/>
      </c>
      <c r="AQ56" s="111"/>
      <c r="AR56" s="111"/>
      <c r="AS56" s="111"/>
      <c r="AT56" s="111"/>
      <c r="AU56" s="111"/>
      <c r="AV56" s="503" t="str">
        <f t="shared" si="4"/>
        <v/>
      </c>
      <c r="AW56" s="150"/>
      <c r="AX56" s="150"/>
      <c r="AY56" s="497">
        <f t="shared" si="0"/>
        <v>0</v>
      </c>
      <c r="AZ56" s="498" t="b">
        <f t="shared" si="5"/>
        <v>0</v>
      </c>
      <c r="BA56" s="149"/>
    </row>
    <row r="57" spans="2:53" x14ac:dyDescent="0.25">
      <c r="B57" s="132">
        <v>39</v>
      </c>
      <c r="C57" s="499">
        <f>'C. FILIACION'!C52</f>
        <v>0</v>
      </c>
      <c r="D57" s="458"/>
      <c r="E57" s="109"/>
      <c r="F57" s="109"/>
      <c r="G57" s="109"/>
      <c r="H57" s="109"/>
      <c r="I57" s="109"/>
      <c r="J57" s="500" t="str">
        <f t="shared" si="1"/>
        <v/>
      </c>
      <c r="K57" s="111"/>
      <c r="L57" s="111"/>
      <c r="M57" s="111"/>
      <c r="N57" s="111"/>
      <c r="O57" s="138"/>
      <c r="P57" s="110"/>
      <c r="Q57" s="111"/>
      <c r="R57" s="111"/>
      <c r="S57" s="111"/>
      <c r="T57" s="138"/>
      <c r="U57" s="110"/>
      <c r="V57" s="111"/>
      <c r="W57" s="111"/>
      <c r="X57" s="111"/>
      <c r="Y57" s="111"/>
      <c r="Z57" s="501" t="str">
        <f t="shared" si="2"/>
        <v/>
      </c>
      <c r="AA57" s="111"/>
      <c r="AB57" s="111"/>
      <c r="AC57" s="111"/>
      <c r="AD57" s="111"/>
      <c r="AE57" s="138"/>
      <c r="AF57" s="110"/>
      <c r="AG57" s="111"/>
      <c r="AH57" s="111"/>
      <c r="AI57" s="111"/>
      <c r="AJ57" s="138"/>
      <c r="AK57" s="110"/>
      <c r="AL57" s="111"/>
      <c r="AM57" s="111"/>
      <c r="AN57" s="111"/>
      <c r="AO57" s="111"/>
      <c r="AP57" s="502" t="str">
        <f t="shared" si="3"/>
        <v/>
      </c>
      <c r="AQ57" s="111"/>
      <c r="AR57" s="111"/>
      <c r="AS57" s="111"/>
      <c r="AT57" s="111"/>
      <c r="AU57" s="111"/>
      <c r="AV57" s="503" t="str">
        <f t="shared" si="4"/>
        <v/>
      </c>
      <c r="AW57" s="150"/>
      <c r="AX57" s="150"/>
      <c r="AY57" s="497">
        <f t="shared" si="0"/>
        <v>0</v>
      </c>
      <c r="AZ57" s="498" t="b">
        <f t="shared" si="5"/>
        <v>0</v>
      </c>
      <c r="BA57" s="149"/>
    </row>
    <row r="58" spans="2:53" x14ac:dyDescent="0.25">
      <c r="B58" s="132">
        <v>40</v>
      </c>
      <c r="C58" s="499">
        <f>'C. FILIACION'!C53</f>
        <v>0</v>
      </c>
      <c r="D58" s="458"/>
      <c r="E58" s="109"/>
      <c r="F58" s="109"/>
      <c r="G58" s="109"/>
      <c r="H58" s="109"/>
      <c r="I58" s="109"/>
      <c r="J58" s="500" t="str">
        <f t="shared" si="1"/>
        <v/>
      </c>
      <c r="K58" s="111"/>
      <c r="L58" s="111"/>
      <c r="M58" s="111"/>
      <c r="N58" s="111"/>
      <c r="O58" s="138"/>
      <c r="P58" s="110"/>
      <c r="Q58" s="111"/>
      <c r="R58" s="111"/>
      <c r="S58" s="111"/>
      <c r="T58" s="138"/>
      <c r="U58" s="110"/>
      <c r="V58" s="111"/>
      <c r="W58" s="111"/>
      <c r="X58" s="111"/>
      <c r="Y58" s="111"/>
      <c r="Z58" s="501" t="str">
        <f t="shared" si="2"/>
        <v/>
      </c>
      <c r="AA58" s="111"/>
      <c r="AB58" s="111"/>
      <c r="AC58" s="111"/>
      <c r="AD58" s="111"/>
      <c r="AE58" s="138"/>
      <c r="AF58" s="110"/>
      <c r="AG58" s="111"/>
      <c r="AH58" s="111"/>
      <c r="AI58" s="111"/>
      <c r="AJ58" s="138"/>
      <c r="AK58" s="110"/>
      <c r="AL58" s="111"/>
      <c r="AM58" s="111"/>
      <c r="AN58" s="111"/>
      <c r="AO58" s="111"/>
      <c r="AP58" s="502" t="str">
        <f t="shared" si="3"/>
        <v/>
      </c>
      <c r="AQ58" s="111"/>
      <c r="AR58" s="111"/>
      <c r="AS58" s="111"/>
      <c r="AT58" s="111"/>
      <c r="AU58" s="111"/>
      <c r="AV58" s="503" t="str">
        <f t="shared" si="4"/>
        <v/>
      </c>
      <c r="AW58" s="150"/>
      <c r="AX58" s="150"/>
      <c r="AY58" s="497">
        <f t="shared" si="0"/>
        <v>0</v>
      </c>
      <c r="AZ58" s="498" t="b">
        <f t="shared" si="5"/>
        <v>0</v>
      </c>
      <c r="BA58" s="149"/>
    </row>
    <row r="59" spans="2:53" x14ac:dyDescent="0.25">
      <c r="B59" s="132">
        <v>41</v>
      </c>
      <c r="C59" s="499">
        <f>'C. FILIACION'!C54</f>
        <v>0</v>
      </c>
      <c r="D59" s="458"/>
      <c r="E59" s="109"/>
      <c r="F59" s="109"/>
      <c r="G59" s="109"/>
      <c r="H59" s="109"/>
      <c r="I59" s="109"/>
      <c r="J59" s="500" t="str">
        <f t="shared" si="1"/>
        <v/>
      </c>
      <c r="K59" s="111"/>
      <c r="L59" s="111"/>
      <c r="M59" s="111"/>
      <c r="N59" s="111"/>
      <c r="O59" s="138"/>
      <c r="P59" s="110"/>
      <c r="Q59" s="111"/>
      <c r="R59" s="111"/>
      <c r="S59" s="111"/>
      <c r="T59" s="138"/>
      <c r="U59" s="110"/>
      <c r="V59" s="111"/>
      <c r="W59" s="111"/>
      <c r="X59" s="111"/>
      <c r="Y59" s="111"/>
      <c r="Z59" s="501" t="str">
        <f t="shared" si="2"/>
        <v/>
      </c>
      <c r="AA59" s="111"/>
      <c r="AB59" s="111"/>
      <c r="AC59" s="111"/>
      <c r="AD59" s="111"/>
      <c r="AE59" s="138"/>
      <c r="AF59" s="110"/>
      <c r="AG59" s="111"/>
      <c r="AH59" s="111"/>
      <c r="AI59" s="111"/>
      <c r="AJ59" s="138"/>
      <c r="AK59" s="110"/>
      <c r="AL59" s="111"/>
      <c r="AM59" s="111"/>
      <c r="AN59" s="111"/>
      <c r="AO59" s="111"/>
      <c r="AP59" s="502" t="str">
        <f t="shared" si="3"/>
        <v/>
      </c>
      <c r="AQ59" s="111"/>
      <c r="AR59" s="111"/>
      <c r="AS59" s="111"/>
      <c r="AT59" s="111"/>
      <c r="AU59" s="111"/>
      <c r="AV59" s="503" t="str">
        <f t="shared" si="4"/>
        <v/>
      </c>
      <c r="AW59" s="150"/>
      <c r="AX59" s="150"/>
      <c r="AY59" s="497">
        <f t="shared" si="0"/>
        <v>0</v>
      </c>
      <c r="AZ59" s="498" t="b">
        <f t="shared" si="5"/>
        <v>0</v>
      </c>
      <c r="BA59" s="149"/>
    </row>
    <row r="60" spans="2:53" x14ac:dyDescent="0.25">
      <c r="B60" s="132">
        <v>42</v>
      </c>
      <c r="C60" s="499">
        <f>'C. FILIACION'!C55</f>
        <v>0</v>
      </c>
      <c r="D60" s="458"/>
      <c r="E60" s="109"/>
      <c r="F60" s="109"/>
      <c r="G60" s="109"/>
      <c r="H60" s="109"/>
      <c r="I60" s="109"/>
      <c r="J60" s="500" t="str">
        <f t="shared" si="1"/>
        <v/>
      </c>
      <c r="K60" s="111"/>
      <c r="L60" s="111"/>
      <c r="M60" s="111"/>
      <c r="N60" s="111"/>
      <c r="O60" s="138"/>
      <c r="P60" s="110"/>
      <c r="Q60" s="111"/>
      <c r="R60" s="111"/>
      <c r="S60" s="111"/>
      <c r="T60" s="138"/>
      <c r="U60" s="110"/>
      <c r="V60" s="111"/>
      <c r="W60" s="111"/>
      <c r="X60" s="111"/>
      <c r="Y60" s="111"/>
      <c r="Z60" s="501" t="str">
        <f t="shared" si="2"/>
        <v/>
      </c>
      <c r="AA60" s="111"/>
      <c r="AB60" s="111"/>
      <c r="AC60" s="111"/>
      <c r="AD60" s="111"/>
      <c r="AE60" s="138"/>
      <c r="AF60" s="110"/>
      <c r="AG60" s="111"/>
      <c r="AH60" s="111"/>
      <c r="AI60" s="111"/>
      <c r="AJ60" s="138"/>
      <c r="AK60" s="110"/>
      <c r="AL60" s="111"/>
      <c r="AM60" s="111"/>
      <c r="AN60" s="111"/>
      <c r="AO60" s="111"/>
      <c r="AP60" s="502" t="str">
        <f t="shared" si="3"/>
        <v/>
      </c>
      <c r="AQ60" s="111"/>
      <c r="AR60" s="111"/>
      <c r="AS60" s="111"/>
      <c r="AT60" s="111"/>
      <c r="AU60" s="111"/>
      <c r="AV60" s="503" t="str">
        <f t="shared" si="4"/>
        <v/>
      </c>
      <c r="AW60" s="150"/>
      <c r="AX60" s="150"/>
      <c r="AY60" s="497">
        <f t="shared" si="0"/>
        <v>0</v>
      </c>
      <c r="AZ60" s="498" t="b">
        <f t="shared" si="5"/>
        <v>0</v>
      </c>
      <c r="BA60" s="149"/>
    </row>
    <row r="61" spans="2:53" x14ac:dyDescent="0.25">
      <c r="B61" s="132">
        <v>43</v>
      </c>
      <c r="C61" s="499">
        <f>'C. FILIACION'!C56</f>
        <v>0</v>
      </c>
      <c r="D61" s="458"/>
      <c r="E61" s="109"/>
      <c r="F61" s="109"/>
      <c r="G61" s="109"/>
      <c r="H61" s="109"/>
      <c r="I61" s="109"/>
      <c r="J61" s="500" t="str">
        <f t="shared" si="1"/>
        <v/>
      </c>
      <c r="K61" s="111"/>
      <c r="L61" s="111"/>
      <c r="M61" s="111"/>
      <c r="N61" s="111"/>
      <c r="O61" s="138"/>
      <c r="P61" s="110"/>
      <c r="Q61" s="111"/>
      <c r="R61" s="111"/>
      <c r="S61" s="111"/>
      <c r="T61" s="138"/>
      <c r="U61" s="110"/>
      <c r="V61" s="111"/>
      <c r="W61" s="111"/>
      <c r="X61" s="111"/>
      <c r="Y61" s="111"/>
      <c r="Z61" s="501" t="str">
        <f t="shared" si="2"/>
        <v/>
      </c>
      <c r="AA61" s="111"/>
      <c r="AB61" s="111"/>
      <c r="AC61" s="111"/>
      <c r="AD61" s="111"/>
      <c r="AE61" s="138"/>
      <c r="AF61" s="110"/>
      <c r="AG61" s="111"/>
      <c r="AH61" s="111"/>
      <c r="AI61" s="111"/>
      <c r="AJ61" s="138"/>
      <c r="AK61" s="110"/>
      <c r="AL61" s="111"/>
      <c r="AM61" s="111"/>
      <c r="AN61" s="111"/>
      <c r="AO61" s="111"/>
      <c r="AP61" s="502" t="str">
        <f t="shared" si="3"/>
        <v/>
      </c>
      <c r="AQ61" s="111"/>
      <c r="AR61" s="111"/>
      <c r="AS61" s="111"/>
      <c r="AT61" s="111"/>
      <c r="AU61" s="111"/>
      <c r="AV61" s="503" t="str">
        <f t="shared" si="4"/>
        <v/>
      </c>
      <c r="AW61" s="150"/>
      <c r="AX61" s="150"/>
      <c r="AY61" s="497">
        <f t="shared" si="0"/>
        <v>0</v>
      </c>
      <c r="AZ61" s="498" t="b">
        <f t="shared" si="5"/>
        <v>0</v>
      </c>
      <c r="BA61" s="149"/>
    </row>
    <row r="62" spans="2:53" x14ac:dyDescent="0.25">
      <c r="B62" s="132">
        <v>44</v>
      </c>
      <c r="C62" s="499">
        <f>'C. FILIACION'!C57</f>
        <v>0</v>
      </c>
      <c r="D62" s="458"/>
      <c r="E62" s="109"/>
      <c r="F62" s="109"/>
      <c r="G62" s="109"/>
      <c r="H62" s="109"/>
      <c r="I62" s="109"/>
      <c r="J62" s="500" t="str">
        <f t="shared" si="1"/>
        <v/>
      </c>
      <c r="K62" s="111"/>
      <c r="L62" s="111"/>
      <c r="M62" s="111"/>
      <c r="N62" s="111"/>
      <c r="O62" s="138"/>
      <c r="P62" s="110"/>
      <c r="Q62" s="111"/>
      <c r="R62" s="111"/>
      <c r="S62" s="111"/>
      <c r="T62" s="138"/>
      <c r="U62" s="110"/>
      <c r="V62" s="111"/>
      <c r="W62" s="111"/>
      <c r="X62" s="111"/>
      <c r="Y62" s="111"/>
      <c r="Z62" s="501" t="str">
        <f t="shared" si="2"/>
        <v/>
      </c>
      <c r="AA62" s="111"/>
      <c r="AB62" s="111"/>
      <c r="AC62" s="111"/>
      <c r="AD62" s="111"/>
      <c r="AE62" s="138"/>
      <c r="AF62" s="110"/>
      <c r="AG62" s="111"/>
      <c r="AH62" s="111"/>
      <c r="AI62" s="111"/>
      <c r="AJ62" s="138"/>
      <c r="AK62" s="110"/>
      <c r="AL62" s="111"/>
      <c r="AM62" s="111"/>
      <c r="AN62" s="111"/>
      <c r="AO62" s="111"/>
      <c r="AP62" s="502" t="str">
        <f t="shared" si="3"/>
        <v/>
      </c>
      <c r="AQ62" s="111"/>
      <c r="AR62" s="111"/>
      <c r="AS62" s="111"/>
      <c r="AT62" s="111"/>
      <c r="AU62" s="111"/>
      <c r="AV62" s="503" t="str">
        <f t="shared" si="4"/>
        <v/>
      </c>
      <c r="AW62" s="150"/>
      <c r="AX62" s="150"/>
      <c r="AY62" s="497">
        <f t="shared" si="0"/>
        <v>0</v>
      </c>
      <c r="AZ62" s="498" t="b">
        <f t="shared" si="5"/>
        <v>0</v>
      </c>
      <c r="BA62" s="149"/>
    </row>
    <row r="63" spans="2:53" x14ac:dyDescent="0.25">
      <c r="B63" s="132">
        <v>45</v>
      </c>
      <c r="C63" s="499">
        <f>'C. FILIACION'!C58</f>
        <v>0</v>
      </c>
      <c r="D63" s="458"/>
      <c r="E63" s="109"/>
      <c r="F63" s="109"/>
      <c r="G63" s="109"/>
      <c r="H63" s="109"/>
      <c r="I63" s="109"/>
      <c r="J63" s="500" t="str">
        <f t="shared" si="1"/>
        <v/>
      </c>
      <c r="K63" s="111"/>
      <c r="L63" s="111"/>
      <c r="M63" s="111"/>
      <c r="N63" s="111"/>
      <c r="O63" s="138"/>
      <c r="P63" s="110"/>
      <c r="Q63" s="111"/>
      <c r="R63" s="111"/>
      <c r="S63" s="111"/>
      <c r="T63" s="138"/>
      <c r="U63" s="110"/>
      <c r="V63" s="111"/>
      <c r="W63" s="111"/>
      <c r="X63" s="111"/>
      <c r="Y63" s="111"/>
      <c r="Z63" s="501" t="str">
        <f t="shared" si="2"/>
        <v/>
      </c>
      <c r="AA63" s="111"/>
      <c r="AB63" s="111"/>
      <c r="AC63" s="111"/>
      <c r="AD63" s="111"/>
      <c r="AE63" s="138"/>
      <c r="AF63" s="110"/>
      <c r="AG63" s="111"/>
      <c r="AH63" s="111"/>
      <c r="AI63" s="111"/>
      <c r="AJ63" s="138"/>
      <c r="AK63" s="110"/>
      <c r="AL63" s="111"/>
      <c r="AM63" s="111"/>
      <c r="AN63" s="111"/>
      <c r="AO63" s="111"/>
      <c r="AP63" s="502" t="str">
        <f t="shared" si="3"/>
        <v/>
      </c>
      <c r="AQ63" s="111"/>
      <c r="AR63" s="111"/>
      <c r="AS63" s="111"/>
      <c r="AT63" s="111"/>
      <c r="AU63" s="111"/>
      <c r="AV63" s="503" t="str">
        <f t="shared" si="4"/>
        <v/>
      </c>
      <c r="AW63" s="150"/>
      <c r="AX63" s="150"/>
      <c r="AY63" s="497">
        <f t="shared" si="0"/>
        <v>0</v>
      </c>
      <c r="AZ63" s="498" t="b">
        <f t="shared" si="5"/>
        <v>0</v>
      </c>
      <c r="BA63" s="149"/>
    </row>
    <row r="64" spans="2:53" ht="9" customHeight="1" x14ac:dyDescent="0.25">
      <c r="B64" s="129"/>
      <c r="C64" s="129"/>
      <c r="D64" s="129"/>
      <c r="E64" s="129"/>
      <c r="F64" s="129"/>
      <c r="G64" s="129"/>
      <c r="H64" s="129"/>
      <c r="I64" s="129"/>
      <c r="J64" s="129"/>
      <c r="K64" s="129"/>
      <c r="L64" s="129"/>
      <c r="M64" s="129"/>
      <c r="N64" s="129"/>
      <c r="O64" s="129"/>
      <c r="P64" s="129"/>
      <c r="Q64" s="129"/>
      <c r="R64" s="129"/>
      <c r="S64" s="129"/>
      <c r="T64" s="129"/>
      <c r="U64" s="129"/>
      <c r="V64" s="129"/>
      <c r="W64" s="129"/>
      <c r="X64" s="129"/>
      <c r="Y64" s="129"/>
      <c r="Z64" s="129"/>
      <c r="AA64" s="129"/>
      <c r="AB64" s="129"/>
      <c r="AC64" s="129"/>
      <c r="AD64" s="129"/>
      <c r="AE64" s="129"/>
      <c r="AF64" s="129"/>
      <c r="AG64" s="129"/>
      <c r="AH64" s="129"/>
      <c r="AI64" s="129"/>
      <c r="AJ64" s="129"/>
      <c r="AK64" s="129"/>
      <c r="AL64" s="129"/>
      <c r="AM64" s="129"/>
      <c r="AN64" s="129"/>
      <c r="AO64" s="129"/>
      <c r="AP64" s="129"/>
      <c r="AQ64" s="129"/>
      <c r="AR64" s="129"/>
      <c r="AS64" s="129"/>
      <c r="AT64" s="129"/>
      <c r="AU64" s="129"/>
      <c r="AV64" s="129"/>
      <c r="AW64" s="129"/>
      <c r="AX64" s="129"/>
      <c r="AY64" s="129"/>
      <c r="AZ64" s="129"/>
    </row>
    <row r="65" spans="1:52" x14ac:dyDescent="0.25">
      <c r="B65" s="129"/>
      <c r="C65" s="129"/>
      <c r="D65" s="129"/>
      <c r="E65" s="129"/>
      <c r="F65" s="129"/>
      <c r="G65" s="129"/>
      <c r="H65" s="129"/>
      <c r="I65" s="129"/>
      <c r="J65" s="129"/>
      <c r="K65" s="129"/>
      <c r="L65" s="129"/>
      <c r="M65" s="129"/>
      <c r="N65" s="129"/>
      <c r="O65" s="129"/>
      <c r="P65" s="129"/>
      <c r="Q65" s="129"/>
      <c r="R65" s="129"/>
      <c r="S65" s="129"/>
      <c r="T65" s="129"/>
      <c r="U65" s="129"/>
      <c r="V65" s="129"/>
      <c r="W65" s="129"/>
      <c r="X65" s="129"/>
      <c r="Y65" s="129"/>
      <c r="Z65" s="129"/>
      <c r="AA65" s="129"/>
      <c r="AB65" s="129"/>
      <c r="AC65" s="129"/>
      <c r="AD65" s="129"/>
      <c r="AE65" s="129"/>
      <c r="AF65" s="129"/>
      <c r="AG65" s="129"/>
      <c r="AH65" s="129"/>
      <c r="AI65" s="129"/>
      <c r="AJ65" s="129"/>
      <c r="AK65" s="129"/>
      <c r="AL65" s="129"/>
      <c r="AM65" s="129"/>
      <c r="AN65" s="129"/>
      <c r="AO65" s="129"/>
      <c r="AP65" s="129"/>
      <c r="AQ65" s="129"/>
      <c r="AR65" s="129"/>
      <c r="AS65" s="129"/>
      <c r="AT65" s="129"/>
      <c r="AU65" s="129"/>
      <c r="AV65" s="130"/>
      <c r="AW65" s="659"/>
      <c r="AX65" s="659"/>
      <c r="AY65" s="130"/>
      <c r="AZ65" s="129"/>
    </row>
    <row r="66" spans="1:52" x14ac:dyDescent="0.25">
      <c r="B66" s="129"/>
      <c r="C66" s="129"/>
      <c r="D66" s="129"/>
      <c r="E66" s="129"/>
      <c r="F66" s="129"/>
      <c r="G66" s="129"/>
      <c r="H66" s="129"/>
      <c r="I66" s="129"/>
      <c r="J66" s="129"/>
      <c r="K66" s="129"/>
      <c r="L66" s="129"/>
      <c r="M66" s="129"/>
      <c r="N66" s="129"/>
      <c r="O66" s="129"/>
      <c r="P66" s="129"/>
      <c r="Q66" s="129"/>
      <c r="R66" s="129"/>
      <c r="S66" s="129"/>
      <c r="T66" s="129"/>
      <c r="U66" s="129"/>
      <c r="V66" s="129"/>
      <c r="W66" s="129"/>
      <c r="X66" s="129"/>
      <c r="Y66" s="129"/>
      <c r="Z66" s="129"/>
      <c r="AA66" s="129"/>
      <c r="AB66" s="129"/>
      <c r="AC66" s="129"/>
      <c r="AD66" s="129"/>
      <c r="AE66" s="129"/>
      <c r="AF66" s="129"/>
      <c r="AG66" s="129"/>
      <c r="AH66" s="129"/>
      <c r="AI66" s="129"/>
      <c r="AJ66" s="129"/>
      <c r="AK66" s="129"/>
      <c r="AL66" s="129"/>
      <c r="AM66" s="129"/>
      <c r="AN66" s="129"/>
      <c r="AO66" s="129"/>
      <c r="AP66" s="129"/>
      <c r="AQ66" s="129"/>
      <c r="AR66" s="129"/>
      <c r="AS66" s="129"/>
      <c r="AT66" s="129"/>
      <c r="AU66" s="129"/>
      <c r="AV66" s="130"/>
      <c r="AW66" s="659"/>
      <c r="AX66" s="659"/>
      <c r="AY66" s="130"/>
      <c r="AZ66" s="129"/>
    </row>
    <row r="67" spans="1:52" ht="15.75" thickBot="1" x14ac:dyDescent="0.3">
      <c r="B67" s="129"/>
      <c r="C67" s="129"/>
      <c r="D67" s="129"/>
      <c r="E67" s="129"/>
      <c r="F67" s="129"/>
      <c r="G67" s="129"/>
      <c r="H67" s="129"/>
      <c r="I67" s="611"/>
      <c r="J67" s="611"/>
      <c r="K67" s="611"/>
      <c r="L67" s="611"/>
      <c r="M67" s="611"/>
      <c r="N67" s="611"/>
      <c r="O67" s="611"/>
      <c r="P67" s="611"/>
      <c r="Q67" s="611"/>
      <c r="R67" s="611"/>
      <c r="S67" s="611"/>
      <c r="T67" s="611"/>
      <c r="U67" s="129"/>
      <c r="V67" s="129"/>
      <c r="W67" s="129"/>
      <c r="X67" s="129"/>
      <c r="Y67" s="129"/>
      <c r="Z67" s="129"/>
      <c r="AA67" s="129"/>
      <c r="AB67" s="129"/>
      <c r="AC67" s="129"/>
      <c r="AD67" s="129"/>
      <c r="AE67" s="611"/>
      <c r="AF67" s="611"/>
      <c r="AG67" s="611"/>
      <c r="AH67" s="611"/>
      <c r="AI67" s="611"/>
      <c r="AJ67" s="611"/>
      <c r="AK67" s="611"/>
      <c r="AL67" s="611"/>
      <c r="AM67" s="611"/>
      <c r="AN67" s="611"/>
      <c r="AO67" s="611"/>
      <c r="AP67" s="611"/>
      <c r="AQ67" s="611"/>
      <c r="AR67" s="129"/>
      <c r="AS67" s="129"/>
      <c r="AT67" s="129"/>
      <c r="AU67" s="129"/>
      <c r="AV67" s="129"/>
      <c r="AW67" s="129"/>
      <c r="AX67" s="129"/>
      <c r="AY67" s="129"/>
      <c r="AZ67" s="129"/>
    </row>
    <row r="68" spans="1:52" x14ac:dyDescent="0.25">
      <c r="B68" s="129"/>
      <c r="C68" s="129"/>
      <c r="D68" s="129"/>
      <c r="E68" s="129"/>
      <c r="F68" s="129"/>
      <c r="G68" s="129"/>
      <c r="H68" s="129"/>
      <c r="I68" s="612">
        <f>CARATULA!G22</f>
        <v>0</v>
      </c>
      <c r="J68" s="612"/>
      <c r="K68" s="612"/>
      <c r="L68" s="612"/>
      <c r="M68" s="612"/>
      <c r="N68" s="612"/>
      <c r="O68" s="612"/>
      <c r="P68" s="612"/>
      <c r="Q68" s="612"/>
      <c r="R68" s="612"/>
      <c r="S68" s="612"/>
      <c r="T68" s="612"/>
      <c r="U68" s="129"/>
      <c r="V68" s="129"/>
      <c r="W68" s="129"/>
      <c r="X68" s="129"/>
      <c r="Y68" s="129"/>
      <c r="Z68" s="129"/>
      <c r="AA68" s="129"/>
      <c r="AB68" s="129"/>
      <c r="AC68" s="129"/>
      <c r="AD68" s="129"/>
      <c r="AE68" s="612">
        <f>CARATULA!G24</f>
        <v>0</v>
      </c>
      <c r="AF68" s="612"/>
      <c r="AG68" s="612"/>
      <c r="AH68" s="612"/>
      <c r="AI68" s="612"/>
      <c r="AJ68" s="612"/>
      <c r="AK68" s="612"/>
      <c r="AL68" s="612"/>
      <c r="AM68" s="612"/>
      <c r="AN68" s="612"/>
      <c r="AO68" s="612"/>
      <c r="AP68" s="612"/>
      <c r="AQ68" s="612"/>
      <c r="AR68" s="129"/>
      <c r="AS68" s="129"/>
      <c r="AT68" s="129"/>
      <c r="AU68" s="129"/>
      <c r="AV68" s="129"/>
      <c r="AW68" s="129"/>
      <c r="AX68" s="129"/>
      <c r="AY68" s="129"/>
      <c r="AZ68" s="129"/>
    </row>
    <row r="69" spans="1:52" x14ac:dyDescent="0.25">
      <c r="B69" s="129"/>
      <c r="C69" s="129"/>
      <c r="D69" s="129"/>
      <c r="E69" s="151"/>
      <c r="F69" s="151"/>
      <c r="G69" s="151"/>
      <c r="H69" s="151"/>
      <c r="I69" s="151"/>
      <c r="J69" s="151"/>
      <c r="K69" s="151"/>
      <c r="L69" s="151"/>
      <c r="M69" s="151"/>
      <c r="N69" s="152"/>
      <c r="O69" s="152"/>
      <c r="P69" s="152"/>
      <c r="Q69" s="152"/>
      <c r="R69" s="151"/>
      <c r="S69" s="151"/>
      <c r="T69" s="151"/>
      <c r="U69" s="151"/>
      <c r="V69" s="151"/>
      <c r="W69" s="151"/>
      <c r="X69" s="151"/>
      <c r="Y69" s="151"/>
      <c r="Z69" s="151"/>
      <c r="AA69" s="129"/>
      <c r="AB69" s="129"/>
      <c r="AC69" s="129"/>
      <c r="AD69" s="129"/>
      <c r="AE69" s="129"/>
      <c r="AF69" s="129"/>
      <c r="AG69" s="129"/>
      <c r="AH69" s="129"/>
      <c r="AI69" s="129"/>
      <c r="AJ69" s="129"/>
      <c r="AK69" s="129"/>
      <c r="AL69" s="129"/>
      <c r="AM69" s="129"/>
      <c r="AN69" s="129"/>
      <c r="AO69" s="129"/>
      <c r="AP69" s="129"/>
      <c r="AQ69" s="129"/>
      <c r="AR69" s="129"/>
      <c r="AS69" s="129"/>
      <c r="AT69" s="129"/>
      <c r="AU69" s="129"/>
      <c r="AV69" s="129"/>
      <c r="AW69" s="129"/>
      <c r="AX69" s="129"/>
      <c r="AY69" s="129"/>
      <c r="AZ69" s="129"/>
    </row>
    <row r="72" spans="1:52" x14ac:dyDescent="0.25">
      <c r="A72" s="102"/>
      <c r="B72" s="102"/>
      <c r="C72" s="102"/>
      <c r="D72" s="102"/>
      <c r="E72" s="102"/>
      <c r="F72" s="102"/>
      <c r="G72" s="102"/>
      <c r="H72" s="102"/>
      <c r="I72" s="102"/>
      <c r="J72" s="102"/>
      <c r="K72" s="102"/>
      <c r="L72" s="102"/>
      <c r="M72" s="102"/>
      <c r="N72" s="102"/>
      <c r="O72" s="102"/>
      <c r="P72" s="102"/>
      <c r="Q72" s="102"/>
      <c r="R72" s="102"/>
      <c r="S72" s="102"/>
    </row>
    <row r="73" spans="1:52" x14ac:dyDescent="0.25">
      <c r="A73" s="102"/>
      <c r="B73" s="102"/>
      <c r="C73" s="102"/>
      <c r="D73" s="102"/>
      <c r="E73" s="102"/>
      <c r="F73" s="102"/>
      <c r="G73" s="102"/>
      <c r="H73" s="102"/>
      <c r="I73" s="102"/>
      <c r="J73" s="102"/>
      <c r="K73" s="102"/>
      <c r="L73" s="102"/>
      <c r="M73" s="102"/>
      <c r="N73" s="102"/>
      <c r="O73" s="102"/>
      <c r="P73" s="102"/>
      <c r="Q73" s="102"/>
      <c r="R73" s="102"/>
      <c r="S73" s="102"/>
    </row>
    <row r="74" spans="1:52" x14ac:dyDescent="0.25">
      <c r="A74" s="102"/>
      <c r="B74" s="102"/>
      <c r="C74" s="102"/>
      <c r="D74" s="102"/>
      <c r="E74" s="102"/>
      <c r="F74" s="102"/>
      <c r="G74" s="102"/>
      <c r="H74" s="102"/>
      <c r="I74" s="102"/>
      <c r="J74" s="102"/>
      <c r="K74" s="102"/>
      <c r="L74" s="102"/>
      <c r="M74" s="102"/>
      <c r="N74" s="102"/>
      <c r="O74" s="102"/>
      <c r="P74" s="102"/>
      <c r="Q74" s="102"/>
      <c r="R74" s="102"/>
      <c r="S74" s="102"/>
    </row>
    <row r="75" spans="1:52" x14ac:dyDescent="0.25">
      <c r="A75" s="102"/>
      <c r="B75" s="102"/>
      <c r="C75" s="102"/>
      <c r="D75" s="102"/>
      <c r="E75" s="102"/>
      <c r="F75" s="102"/>
      <c r="G75" s="102"/>
      <c r="H75" s="102"/>
      <c r="I75" s="102"/>
      <c r="J75" s="102"/>
      <c r="K75" s="102"/>
      <c r="L75" s="102"/>
      <c r="M75" s="102"/>
      <c r="N75" s="102"/>
      <c r="O75" s="102"/>
      <c r="P75" s="102"/>
      <c r="Q75" s="102"/>
      <c r="R75" s="102"/>
      <c r="S75" s="102"/>
    </row>
    <row r="76" spans="1:52" x14ac:dyDescent="0.25">
      <c r="A76" s="102"/>
      <c r="B76" s="102"/>
      <c r="C76" s="102"/>
      <c r="D76" s="102"/>
      <c r="E76" s="102"/>
      <c r="F76" s="102"/>
      <c r="G76" s="102"/>
      <c r="H76" s="102"/>
      <c r="I76" s="102"/>
      <c r="J76" s="102"/>
      <c r="K76" s="102"/>
      <c r="L76" s="102"/>
      <c r="M76" s="102"/>
      <c r="N76" s="102"/>
      <c r="O76" s="102"/>
      <c r="P76" s="102"/>
      <c r="Q76" s="102"/>
      <c r="R76" s="102"/>
      <c r="S76" s="102"/>
    </row>
    <row r="77" spans="1:52" x14ac:dyDescent="0.25">
      <c r="A77" s="102"/>
      <c r="B77" s="102"/>
      <c r="C77" s="102"/>
      <c r="D77" s="102"/>
      <c r="E77" s="102"/>
      <c r="F77" s="102"/>
      <c r="G77" s="102"/>
      <c r="H77" s="102"/>
      <c r="I77" s="102"/>
      <c r="J77" s="102"/>
      <c r="K77" s="102"/>
      <c r="L77" s="102"/>
      <c r="M77" s="102"/>
      <c r="N77" s="102"/>
      <c r="O77" s="102"/>
      <c r="P77" s="102"/>
      <c r="Q77" s="102"/>
      <c r="R77" s="102"/>
      <c r="S77" s="102"/>
    </row>
    <row r="78" spans="1:52" x14ac:dyDescent="0.25">
      <c r="A78" s="102"/>
      <c r="B78" s="102"/>
      <c r="C78" s="102"/>
      <c r="D78" s="102"/>
      <c r="E78" s="102"/>
      <c r="F78" s="102"/>
      <c r="G78" s="102"/>
      <c r="H78" s="102"/>
      <c r="I78" s="102"/>
      <c r="J78" s="102"/>
      <c r="K78" s="102"/>
      <c r="L78" s="102"/>
      <c r="M78" s="102"/>
      <c r="N78" s="102"/>
      <c r="O78" s="102"/>
      <c r="P78" s="102"/>
      <c r="Q78" s="102"/>
      <c r="R78" s="102"/>
      <c r="S78" s="102"/>
    </row>
    <row r="79" spans="1:52" x14ac:dyDescent="0.25">
      <c r="A79" s="102"/>
      <c r="B79" s="102"/>
      <c r="C79" s="102"/>
      <c r="D79" s="102"/>
      <c r="E79" s="102"/>
      <c r="F79" s="102"/>
      <c r="G79" s="102"/>
      <c r="H79" s="102"/>
      <c r="I79" s="102"/>
      <c r="J79" s="102"/>
      <c r="K79" s="102"/>
      <c r="L79" s="102"/>
      <c r="M79" s="102"/>
      <c r="N79" s="102"/>
      <c r="O79" s="102"/>
      <c r="P79" s="102"/>
      <c r="Q79" s="102"/>
      <c r="R79" s="102"/>
      <c r="S79" s="102"/>
    </row>
    <row r="80" spans="1:52" x14ac:dyDescent="0.25">
      <c r="A80" s="102"/>
      <c r="B80" s="102"/>
      <c r="C80" s="102"/>
      <c r="D80" s="102"/>
      <c r="E80" s="102"/>
      <c r="F80" s="102"/>
      <c r="G80" s="102"/>
      <c r="H80" s="102"/>
      <c r="I80" s="102"/>
      <c r="J80" s="102"/>
      <c r="K80" s="102"/>
      <c r="L80" s="102"/>
      <c r="M80" s="102"/>
      <c r="N80" s="102"/>
      <c r="O80" s="102"/>
      <c r="P80" s="102"/>
      <c r="Q80" s="102"/>
      <c r="R80" s="102"/>
      <c r="S80" s="102"/>
    </row>
    <row r="81" spans="1:19" x14ac:dyDescent="0.25">
      <c r="A81" s="102"/>
      <c r="B81" s="102"/>
      <c r="C81" s="102"/>
      <c r="D81" s="102"/>
      <c r="E81" s="102"/>
      <c r="F81" s="102"/>
      <c r="G81" s="102"/>
      <c r="H81" s="102"/>
      <c r="I81" s="102"/>
      <c r="J81" s="102"/>
      <c r="K81" s="102"/>
      <c r="L81" s="102"/>
      <c r="M81" s="102"/>
      <c r="N81" s="102"/>
      <c r="O81" s="102"/>
      <c r="P81" s="102"/>
      <c r="Q81" s="102"/>
      <c r="R81" s="102"/>
      <c r="S81" s="102"/>
    </row>
    <row r="82" spans="1:19" x14ac:dyDescent="0.25">
      <c r="A82" s="102"/>
      <c r="B82" s="102"/>
      <c r="C82" s="102"/>
      <c r="D82" s="102"/>
      <c r="E82" s="102"/>
      <c r="F82" s="102"/>
      <c r="G82" s="102"/>
      <c r="H82" s="102"/>
      <c r="I82" s="102"/>
      <c r="J82" s="102"/>
      <c r="K82" s="102"/>
      <c r="L82" s="102"/>
      <c r="M82" s="102"/>
      <c r="N82" s="102"/>
      <c r="O82" s="102"/>
      <c r="P82" s="102"/>
      <c r="Q82" s="102"/>
      <c r="R82" s="102"/>
      <c r="S82" s="102"/>
    </row>
    <row r="83" spans="1:19" x14ac:dyDescent="0.25">
      <c r="A83" s="102"/>
      <c r="B83" s="102"/>
      <c r="C83" s="102"/>
      <c r="D83" s="102"/>
      <c r="E83" s="102"/>
      <c r="F83" s="102"/>
      <c r="G83" s="102"/>
      <c r="H83" s="102"/>
      <c r="I83" s="102"/>
      <c r="J83" s="102"/>
      <c r="K83" s="102"/>
      <c r="L83" s="102"/>
      <c r="M83" s="102"/>
      <c r="N83" s="102"/>
      <c r="O83" s="102"/>
      <c r="P83" s="102"/>
      <c r="Q83" s="102"/>
      <c r="R83" s="102"/>
      <c r="S83" s="102"/>
    </row>
  </sheetData>
  <sheetProtection password="D989" sheet="1" objects="1" scenarios="1"/>
  <mergeCells count="45">
    <mergeCell ref="AZ14:AZ18"/>
    <mergeCell ref="AY14:AY18"/>
    <mergeCell ref="AW65:AX65"/>
    <mergeCell ref="AD10:AH10"/>
    <mergeCell ref="AW66:AX66"/>
    <mergeCell ref="D14:AV14"/>
    <mergeCell ref="D15:AV15"/>
    <mergeCell ref="D16:J16"/>
    <mergeCell ref="AS6:AX12"/>
    <mergeCell ref="V10:AB10"/>
    <mergeCell ref="B3:AZ4"/>
    <mergeCell ref="AD6:AH6"/>
    <mergeCell ref="AD8:AH8"/>
    <mergeCell ref="AY6:AZ7"/>
    <mergeCell ref="AY8:AZ12"/>
    <mergeCell ref="AJ6:AP6"/>
    <mergeCell ref="AJ8:AP8"/>
    <mergeCell ref="AQ6:AR6"/>
    <mergeCell ref="AQ8:AR8"/>
    <mergeCell ref="AJ7:AP7"/>
    <mergeCell ref="AQ7:AR7"/>
    <mergeCell ref="B14:C17"/>
    <mergeCell ref="AW14:AX14"/>
    <mergeCell ref="AW15:AX15"/>
    <mergeCell ref="AW17:AW18"/>
    <mergeCell ref="AX17:AX18"/>
    <mergeCell ref="U17:Y17"/>
    <mergeCell ref="AF17:AJ17"/>
    <mergeCell ref="P17:T17"/>
    <mergeCell ref="AA17:AE17"/>
    <mergeCell ref="K16:Z16"/>
    <mergeCell ref="AA16:AP16"/>
    <mergeCell ref="AV17:AV18"/>
    <mergeCell ref="AQ16:AV16"/>
    <mergeCell ref="I67:T67"/>
    <mergeCell ref="AE67:AQ67"/>
    <mergeCell ref="I68:T68"/>
    <mergeCell ref="AE68:AQ68"/>
    <mergeCell ref="E17:I17"/>
    <mergeCell ref="K17:O17"/>
    <mergeCell ref="AK17:AO17"/>
    <mergeCell ref="AQ17:AU17"/>
    <mergeCell ref="J17:J18"/>
    <mergeCell ref="Z17:Z18"/>
    <mergeCell ref="AP17:AP18"/>
  </mergeCells>
  <conditionalFormatting sqref="E19:I63">
    <cfRule type="cellIs" dxfId="88" priority="18" operator="greaterThan">
      <formula>10</formula>
    </cfRule>
    <cfRule type="cellIs" dxfId="87" priority="20" operator="greaterThan">
      <formula>10</formula>
    </cfRule>
  </conditionalFormatting>
  <conditionalFormatting sqref="E19:E63 H19:I63">
    <cfRule type="cellIs" dxfId="86" priority="19" operator="greaterThan">
      <formula>10</formula>
    </cfRule>
  </conditionalFormatting>
  <conditionalFormatting sqref="K19:Y63">
    <cfRule type="cellIs" dxfId="85" priority="16" operator="greaterThan">
      <formula>35</formula>
    </cfRule>
    <cfRule type="cellIs" dxfId="84" priority="17" operator="greaterThan">
      <formula>35</formula>
    </cfRule>
  </conditionalFormatting>
  <conditionalFormatting sqref="AA19:AO63">
    <cfRule type="cellIs" dxfId="83" priority="14" operator="greaterThan">
      <formula>35</formula>
    </cfRule>
    <cfRule type="cellIs" dxfId="82" priority="15" operator="greaterThan">
      <formula>35</formula>
    </cfRule>
  </conditionalFormatting>
  <conditionalFormatting sqref="AQ19:AU63">
    <cfRule type="cellIs" dxfId="81" priority="12" operator="greaterThan">
      <formula>10</formula>
    </cfRule>
    <cfRule type="cellIs" dxfId="80" priority="13" operator="greaterThan">
      <formula>10</formula>
    </cfRule>
  </conditionalFormatting>
  <conditionalFormatting sqref="AW19:AX63">
    <cfRule type="cellIs" dxfId="79" priority="11" operator="greaterThan">
      <formula>5</formula>
    </cfRule>
  </conditionalFormatting>
  <conditionalFormatting sqref="AY19:AY63">
    <cfRule type="cellIs" dxfId="78" priority="4" operator="lessThanOrEqual">
      <formula>50.499</formula>
    </cfRule>
  </conditionalFormatting>
  <conditionalFormatting sqref="AZ19:AZ63">
    <cfRule type="containsText" dxfId="77" priority="1" operator="containsText" text="FALSO">
      <formula>NOT(ISERROR(SEARCH("FALSO",AZ19)))</formula>
    </cfRule>
    <cfRule type="cellIs" dxfId="76" priority="3" operator="lessThan">
      <formula>51</formula>
    </cfRule>
  </conditionalFormatting>
  <conditionalFormatting sqref="AZ19:AZ63">
    <cfRule type="containsText" dxfId="75" priority="2" operator="containsText" text="REPROBADO">
      <formula>NOT(ISERROR(SEARCH("REPROBADO",AZ19)))</formula>
    </cfRule>
  </conditionalFormatting>
  <dataValidations count="4">
    <dataValidation type="whole" allowBlank="1" showInputMessage="1" showErrorMessage="1" errorTitle="ERROR" error="Solo puede introducir valores entre 1 y 10 " sqref="E19:I63 AQ19:AU63">
      <formula1>1</formula1>
      <formula2>10</formula2>
    </dataValidation>
    <dataValidation type="whole" allowBlank="1" showInputMessage="1" showErrorMessage="1" errorTitle="ERROR" error="Solo puede introducir valores entre 1 y 35_x000a_" sqref="K19:Y63">
      <formula1>1</formula1>
      <formula2>35</formula2>
    </dataValidation>
    <dataValidation type="whole" allowBlank="1" showInputMessage="1" showErrorMessage="1" errorTitle="ERROR" error="Solo puede introducir valores entre 1 y 35" sqref="AA19:AO63">
      <formula1>1</formula1>
      <formula2>35</formula2>
    </dataValidation>
    <dataValidation type="whole" allowBlank="1" showInputMessage="1" showErrorMessage="1" errorTitle="ERROR" error="Solo puede introducir valores entre 1 y 5" sqref="AW19:AX63">
      <formula1>1</formula1>
      <formula2>5</formula2>
    </dataValidation>
  </dataValidations>
  <pageMargins left="0.25" right="0.25" top="0.75" bottom="0.75" header="0.3" footer="0.3"/>
  <pageSetup scale="4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4" id="{D6094162-E85D-4EDD-A6C3-481723D23CAC}">
            <xm:f>'ASIS. 1° B'!#REF!="NO INCORPORADO"</xm:f>
            <x14:dxf>
              <font>
                <b/>
                <i val="0"/>
                <strike/>
                <color rgb="FFFF0000"/>
              </font>
            </x14:dxf>
          </x14:cfRule>
          <xm:sqref>C19:D63</xm:sqref>
        </x14:conditionalFormatting>
        <x14:conditionalFormatting xmlns:xm="http://schemas.microsoft.com/office/excel/2006/main">
          <x14:cfRule type="expression" priority="25" id="{0ED4A691-364C-45E9-BA63-943CA4FC09D4}">
            <xm:f>'ASIS. 1° B'!#REF!="RETIRO O ABANDONO"</xm:f>
            <x14:dxf>
              <font>
                <b/>
                <i val="0"/>
                <strike/>
                <color rgb="FFFF0000"/>
              </font>
            </x14:dxf>
          </x14:cfRule>
          <xm:sqref>C19:D63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'C. FILIACION'!$B$14:$B$58</xm:f>
          </x14:formula1>
          <xm:sqref>BB10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9" filterMode="1">
    <pageSetUpPr fitToPage="1"/>
  </sheetPr>
  <dimension ref="B1:E31"/>
  <sheetViews>
    <sheetView workbookViewId="0">
      <selection activeCell="E4" sqref="E4"/>
    </sheetView>
  </sheetViews>
  <sheetFormatPr baseColWidth="10" defaultRowHeight="15" x14ac:dyDescent="0.25"/>
  <cols>
    <col min="1" max="1" width="2.140625" customWidth="1"/>
    <col min="2" max="2" width="9.5703125" style="464" customWidth="1"/>
    <col min="3" max="3" width="33.7109375" style="464" customWidth="1"/>
    <col min="4" max="4" width="20.5703125" style="464" customWidth="1"/>
    <col min="5" max="5" width="66.28515625" style="466" customWidth="1"/>
  </cols>
  <sheetData>
    <row r="1" spans="2:5" ht="27" customHeight="1" x14ac:dyDescent="0.25">
      <c r="B1" s="677" t="s">
        <v>315</v>
      </c>
      <c r="C1" s="677"/>
      <c r="D1" s="677"/>
      <c r="E1" s="677"/>
    </row>
    <row r="3" spans="2:5" x14ac:dyDescent="0.25">
      <c r="B3" s="467" t="s">
        <v>310</v>
      </c>
      <c r="C3" s="467" t="s">
        <v>74</v>
      </c>
      <c r="D3" s="469" t="s">
        <v>308</v>
      </c>
      <c r="E3" s="468" t="s">
        <v>309</v>
      </c>
    </row>
    <row r="4" spans="2:5" x14ac:dyDescent="0.25">
      <c r="B4" s="467">
        <v>1</v>
      </c>
      <c r="C4" s="467">
        <v>0</v>
      </c>
      <c r="D4" s="469">
        <v>43495.435415972221</v>
      </c>
      <c r="E4" s="472" t="s">
        <v>378</v>
      </c>
    </row>
    <row r="5" spans="2:5" hidden="1" x14ac:dyDescent="0.25">
      <c r="B5" s="467">
        <v>5</v>
      </c>
      <c r="C5" s="467" t="s">
        <v>107</v>
      </c>
      <c r="D5" s="469">
        <v>43494.370651157406</v>
      </c>
      <c r="E5" s="472" t="s">
        <v>354</v>
      </c>
    </row>
    <row r="6" spans="2:5" hidden="1" x14ac:dyDescent="0.25">
      <c r="B6" s="467">
        <v>3</v>
      </c>
      <c r="C6" s="467" t="s">
        <v>105</v>
      </c>
      <c r="D6" s="469">
        <v>43494.370390625001</v>
      </c>
      <c r="E6" s="472" t="s">
        <v>353</v>
      </c>
    </row>
    <row r="7" spans="2:5" hidden="1" x14ac:dyDescent="0.25">
      <c r="B7" s="467"/>
      <c r="C7" s="467" t="s">
        <v>108</v>
      </c>
      <c r="D7" s="469"/>
      <c r="E7" s="468"/>
    </row>
    <row r="8" spans="2:5" hidden="1" x14ac:dyDescent="0.25">
      <c r="B8" s="467">
        <v>3</v>
      </c>
      <c r="C8" s="467" t="s">
        <v>105</v>
      </c>
      <c r="D8" s="469">
        <v>43494.355908564816</v>
      </c>
      <c r="E8" s="468" t="s">
        <v>352</v>
      </c>
    </row>
    <row r="9" spans="2:5" hidden="1" x14ac:dyDescent="0.25">
      <c r="B9" s="467">
        <v>5</v>
      </c>
      <c r="C9" s="467" t="s">
        <v>107</v>
      </c>
      <c r="D9" s="469">
        <v>43494.35651435185</v>
      </c>
      <c r="E9" s="468" t="s">
        <v>352</v>
      </c>
    </row>
    <row r="10" spans="2:5" x14ac:dyDescent="0.25">
      <c r="B10" s="468"/>
      <c r="C10" s="468"/>
      <c r="D10" s="470"/>
      <c r="E10" s="468"/>
    </row>
    <row r="11" spans="2:5" x14ac:dyDescent="0.25">
      <c r="D11" s="471"/>
    </row>
    <row r="12" spans="2:5" x14ac:dyDescent="0.25">
      <c r="D12" s="471"/>
    </row>
    <row r="13" spans="2:5" x14ac:dyDescent="0.25">
      <c r="D13" s="471"/>
    </row>
    <row r="14" spans="2:5" x14ac:dyDescent="0.25">
      <c r="D14" s="471"/>
    </row>
    <row r="15" spans="2:5" x14ac:dyDescent="0.25">
      <c r="D15" s="471"/>
    </row>
    <row r="16" spans="2:5" x14ac:dyDescent="0.25">
      <c r="D16" s="471"/>
    </row>
    <row r="17" spans="4:4" x14ac:dyDescent="0.25">
      <c r="D17" s="471"/>
    </row>
    <row r="18" spans="4:4" x14ac:dyDescent="0.25">
      <c r="D18" s="471"/>
    </row>
    <row r="19" spans="4:4" x14ac:dyDescent="0.25">
      <c r="D19" s="471"/>
    </row>
    <row r="20" spans="4:4" x14ac:dyDescent="0.25">
      <c r="D20" s="471"/>
    </row>
    <row r="21" spans="4:4" x14ac:dyDescent="0.25">
      <c r="D21" s="471"/>
    </row>
    <row r="22" spans="4:4" x14ac:dyDescent="0.25">
      <c r="D22" s="471"/>
    </row>
    <row r="23" spans="4:4" x14ac:dyDescent="0.25">
      <c r="D23" s="471"/>
    </row>
    <row r="24" spans="4:4" x14ac:dyDescent="0.25">
      <c r="D24" s="471"/>
    </row>
    <row r="25" spans="4:4" x14ac:dyDescent="0.25">
      <c r="D25" s="471"/>
    </row>
    <row r="26" spans="4:4" x14ac:dyDescent="0.25">
      <c r="D26" s="471"/>
    </row>
    <row r="27" spans="4:4" x14ac:dyDescent="0.25">
      <c r="D27" s="471"/>
    </row>
    <row r="28" spans="4:4" x14ac:dyDescent="0.25">
      <c r="D28" s="471"/>
    </row>
    <row r="29" spans="4:4" x14ac:dyDescent="0.25">
      <c r="D29" s="471"/>
    </row>
    <row r="30" spans="4:4" x14ac:dyDescent="0.25">
      <c r="D30" s="471"/>
    </row>
    <row r="31" spans="4:4" x14ac:dyDescent="0.25">
      <c r="D31" s="465"/>
    </row>
  </sheetData>
  <sheetProtection sheet="1" objects="1" scenarios="1" autoFilter="0"/>
  <autoFilter ref="B3:E9">
    <filterColumn colId="1">
      <filters>
        <filter val="A2"/>
      </filters>
    </filterColumn>
    <sortState ref="B4:E6">
      <sortCondition ref="C3"/>
    </sortState>
  </autoFilter>
  <mergeCells count="1">
    <mergeCell ref="B1:E1"/>
  </mergeCells>
  <pageMargins left="0.7" right="0.7" top="0.75" bottom="0.75" header="0.3" footer="0.3"/>
  <pageSetup scale="70" fitToHeight="0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9">
    <tabColor rgb="FF00B0F0"/>
    <pageSetUpPr fitToPage="1"/>
  </sheetPr>
  <dimension ref="A1:BL77"/>
  <sheetViews>
    <sheetView showZeros="0" workbookViewId="0">
      <pane ySplit="14" topLeftCell="A15" activePane="bottomLeft" state="frozen"/>
      <selection pane="bottomLeft" activeCell="C13" sqref="C13:D14"/>
    </sheetView>
  </sheetViews>
  <sheetFormatPr baseColWidth="10" defaultColWidth="11.42578125" defaultRowHeight="15" x14ac:dyDescent="0.25"/>
  <cols>
    <col min="1" max="1" width="4.28515625" style="66" customWidth="1"/>
    <col min="2" max="2" width="4.140625" style="66" customWidth="1"/>
    <col min="3" max="3" width="34" style="66" customWidth="1"/>
    <col min="4" max="4" width="1" style="66" customWidth="1"/>
    <col min="5" max="58" width="2.7109375" style="66" customWidth="1"/>
    <col min="59" max="62" width="4.7109375" style="66" customWidth="1"/>
    <col min="63" max="63" width="11.42578125" style="66"/>
    <col min="64" max="64" width="1.140625" style="66" customWidth="1"/>
    <col min="65" max="16384" width="11.42578125" style="66"/>
  </cols>
  <sheetData>
    <row r="1" spans="1:64" ht="15.75" thickBot="1" x14ac:dyDescent="0.3">
      <c r="A1" s="72"/>
      <c r="B1" s="72"/>
      <c r="C1" s="72"/>
      <c r="D1" s="72"/>
      <c r="E1" s="72"/>
      <c r="F1" s="72"/>
      <c r="G1" s="72"/>
      <c r="H1" s="72"/>
      <c r="I1" s="72"/>
      <c r="J1" s="72"/>
      <c r="K1" s="72"/>
      <c r="L1" s="72"/>
      <c r="M1" s="72"/>
      <c r="N1" s="72"/>
      <c r="O1" s="72"/>
      <c r="P1" s="72"/>
      <c r="Q1" s="72"/>
      <c r="R1" s="72"/>
      <c r="S1" s="72"/>
      <c r="T1" s="72"/>
      <c r="U1" s="72"/>
      <c r="V1" s="72"/>
      <c r="W1" s="72"/>
      <c r="X1" s="72"/>
      <c r="Y1" s="72"/>
      <c r="Z1" s="7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2"/>
      <c r="AT1" s="72"/>
      <c r="AU1" s="7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</row>
    <row r="2" spans="1:64" x14ac:dyDescent="0.25">
      <c r="A2" s="72"/>
      <c r="B2" s="583" t="s">
        <v>83</v>
      </c>
      <c r="C2" s="584"/>
      <c r="D2" s="584"/>
      <c r="E2" s="584"/>
      <c r="F2" s="584"/>
      <c r="G2" s="584"/>
      <c r="H2" s="584"/>
      <c r="I2" s="584"/>
      <c r="J2" s="584"/>
      <c r="K2" s="584"/>
      <c r="L2" s="584"/>
      <c r="M2" s="584"/>
      <c r="N2" s="584"/>
      <c r="O2" s="584"/>
      <c r="P2" s="584"/>
      <c r="Q2" s="584"/>
      <c r="R2" s="584"/>
      <c r="S2" s="584"/>
      <c r="T2" s="584"/>
      <c r="U2" s="584"/>
      <c r="V2" s="584"/>
      <c r="W2" s="584"/>
      <c r="X2" s="584"/>
      <c r="Y2" s="584"/>
      <c r="Z2" s="584"/>
      <c r="AA2" s="584"/>
      <c r="AB2" s="584"/>
      <c r="AC2" s="584"/>
      <c r="AD2" s="584"/>
      <c r="AE2" s="584"/>
      <c r="AF2" s="584"/>
      <c r="AG2" s="584"/>
      <c r="AH2" s="584"/>
      <c r="AI2" s="584"/>
      <c r="AJ2" s="584"/>
      <c r="AK2" s="584"/>
      <c r="AL2" s="584"/>
      <c r="AM2" s="584"/>
      <c r="AN2" s="584"/>
      <c r="AO2" s="584"/>
      <c r="AP2" s="584"/>
      <c r="AQ2" s="584"/>
      <c r="AR2" s="584"/>
      <c r="AS2" s="584"/>
      <c r="AT2" s="584"/>
      <c r="AU2" s="584"/>
      <c r="AV2" s="584"/>
      <c r="AW2" s="584"/>
      <c r="AX2" s="584"/>
      <c r="AY2" s="584"/>
      <c r="AZ2" s="584"/>
      <c r="BA2" s="584"/>
      <c r="BB2" s="584"/>
      <c r="BC2" s="584"/>
      <c r="BD2" s="584"/>
      <c r="BE2" s="584"/>
      <c r="BF2" s="584"/>
      <c r="BG2" s="584"/>
      <c r="BH2" s="584"/>
      <c r="BI2" s="584"/>
      <c r="BJ2" s="584"/>
      <c r="BK2" s="585"/>
      <c r="BL2" s="72"/>
    </row>
    <row r="3" spans="1:64" x14ac:dyDescent="0.25">
      <c r="A3" s="72"/>
      <c r="B3" s="586"/>
      <c r="C3" s="587"/>
      <c r="D3" s="587"/>
      <c r="E3" s="587"/>
      <c r="F3" s="587"/>
      <c r="G3" s="587"/>
      <c r="H3" s="587"/>
      <c r="I3" s="587"/>
      <c r="J3" s="587"/>
      <c r="K3" s="587"/>
      <c r="L3" s="587"/>
      <c r="M3" s="587"/>
      <c r="N3" s="587"/>
      <c r="O3" s="587"/>
      <c r="P3" s="587"/>
      <c r="Q3" s="587"/>
      <c r="R3" s="587"/>
      <c r="S3" s="587"/>
      <c r="T3" s="587"/>
      <c r="U3" s="587"/>
      <c r="V3" s="587"/>
      <c r="W3" s="587"/>
      <c r="X3" s="587"/>
      <c r="Y3" s="587"/>
      <c r="Z3" s="587"/>
      <c r="AA3" s="587"/>
      <c r="AB3" s="587"/>
      <c r="AC3" s="587"/>
      <c r="AD3" s="587"/>
      <c r="AE3" s="587"/>
      <c r="AF3" s="587"/>
      <c r="AG3" s="587"/>
      <c r="AH3" s="587"/>
      <c r="AI3" s="587"/>
      <c r="AJ3" s="587"/>
      <c r="AK3" s="587"/>
      <c r="AL3" s="587"/>
      <c r="AM3" s="587"/>
      <c r="AN3" s="587"/>
      <c r="AO3" s="587"/>
      <c r="AP3" s="587"/>
      <c r="AQ3" s="587"/>
      <c r="AR3" s="587"/>
      <c r="AS3" s="587"/>
      <c r="AT3" s="587"/>
      <c r="AU3" s="587"/>
      <c r="AV3" s="587"/>
      <c r="AW3" s="587"/>
      <c r="AX3" s="587"/>
      <c r="AY3" s="587"/>
      <c r="AZ3" s="587"/>
      <c r="BA3" s="587"/>
      <c r="BB3" s="587"/>
      <c r="BC3" s="587"/>
      <c r="BD3" s="587"/>
      <c r="BE3" s="587"/>
      <c r="BF3" s="587"/>
      <c r="BG3" s="587"/>
      <c r="BH3" s="587"/>
      <c r="BI3" s="587"/>
      <c r="BJ3" s="587"/>
      <c r="BK3" s="588"/>
      <c r="BL3" s="72"/>
    </row>
    <row r="4" spans="1:64" ht="2.25" customHeight="1" x14ac:dyDescent="0.25">
      <c r="A4" s="72"/>
      <c r="B4" s="592"/>
      <c r="C4" s="593"/>
      <c r="D4" s="593"/>
      <c r="E4" s="593"/>
      <c r="F4" s="593"/>
      <c r="G4" s="593"/>
      <c r="H4" s="593"/>
      <c r="I4" s="593"/>
      <c r="J4" s="593"/>
      <c r="K4" s="593"/>
      <c r="L4" s="593"/>
      <c r="M4" s="593"/>
      <c r="N4" s="593"/>
      <c r="O4" s="593"/>
      <c r="P4" s="593"/>
      <c r="Q4" s="593"/>
      <c r="R4" s="593"/>
      <c r="S4" s="593"/>
      <c r="T4" s="593"/>
      <c r="U4" s="593"/>
      <c r="V4" s="593"/>
      <c r="W4" s="593"/>
      <c r="X4" s="593"/>
      <c r="Y4" s="593"/>
      <c r="Z4" s="593"/>
      <c r="AA4" s="593"/>
      <c r="AB4" s="593"/>
      <c r="AC4" s="593"/>
      <c r="AD4" s="593"/>
      <c r="AE4" s="593"/>
      <c r="AF4" s="593"/>
      <c r="AG4" s="593"/>
      <c r="AH4" s="593"/>
      <c r="AI4" s="593"/>
      <c r="AJ4" s="593"/>
      <c r="AK4" s="593"/>
      <c r="AL4" s="593"/>
      <c r="AM4" s="593"/>
      <c r="AN4" s="593"/>
      <c r="AO4" s="593"/>
      <c r="AP4" s="593"/>
      <c r="AQ4" s="593"/>
      <c r="AR4" s="593"/>
      <c r="AS4" s="593"/>
      <c r="AT4" s="593"/>
      <c r="AU4" s="593"/>
      <c r="AV4" s="593"/>
      <c r="AW4" s="593"/>
      <c r="AX4" s="593"/>
      <c r="AY4" s="593"/>
      <c r="AZ4" s="593"/>
      <c r="BA4" s="593"/>
      <c r="BB4" s="593"/>
      <c r="BC4" s="593"/>
      <c r="BD4" s="593"/>
      <c r="BE4" s="593"/>
      <c r="BF4" s="593"/>
      <c r="BG4" s="593"/>
      <c r="BH4" s="593"/>
      <c r="BI4" s="593"/>
      <c r="BJ4" s="593"/>
      <c r="BK4" s="594"/>
      <c r="BL4" s="72"/>
    </row>
    <row r="5" spans="1:64" ht="15.75" x14ac:dyDescent="0.25">
      <c r="A5" s="72"/>
      <c r="B5" s="73"/>
      <c r="C5" s="74" t="s">
        <v>1</v>
      </c>
      <c r="D5" s="75" t="s">
        <v>6</v>
      </c>
      <c r="E5" s="486">
        <f>CARATULA!G20</f>
        <v>0</v>
      </c>
      <c r="F5" s="292"/>
      <c r="G5" s="292"/>
      <c r="H5" s="292"/>
      <c r="I5" s="292"/>
      <c r="J5" s="292"/>
      <c r="K5" s="292"/>
      <c r="L5" s="292"/>
      <c r="M5" s="292"/>
      <c r="N5" s="292"/>
      <c r="O5" s="292"/>
      <c r="P5" s="292"/>
      <c r="Q5" s="292"/>
      <c r="R5" s="292"/>
      <c r="S5" s="292"/>
      <c r="T5" s="292"/>
      <c r="U5" s="292"/>
      <c r="V5" s="292"/>
      <c r="W5" s="292"/>
      <c r="X5" s="292"/>
      <c r="Y5" s="292"/>
      <c r="Z5" s="292"/>
      <c r="AA5" s="292"/>
      <c r="AB5" s="292"/>
      <c r="AC5" s="292"/>
      <c r="AD5" s="292"/>
      <c r="AE5" s="292"/>
      <c r="AF5" s="292"/>
      <c r="AG5" s="292"/>
      <c r="AH5" s="292"/>
      <c r="AI5" s="292"/>
      <c r="AJ5" s="292"/>
      <c r="AK5" s="292"/>
      <c r="AL5" s="292"/>
      <c r="AM5" s="292"/>
      <c r="AN5" s="292"/>
      <c r="AO5" s="292"/>
      <c r="AP5" s="292"/>
      <c r="AQ5" s="292"/>
      <c r="AR5" s="292"/>
      <c r="AS5" s="292"/>
      <c r="AT5" s="292"/>
      <c r="AU5" s="292"/>
      <c r="AV5" s="292"/>
      <c r="AW5" s="292"/>
      <c r="AX5" s="292"/>
      <c r="AY5" s="292"/>
      <c r="AZ5" s="292"/>
      <c r="BA5" s="76"/>
      <c r="BB5" s="589" t="s">
        <v>44</v>
      </c>
      <c r="BC5" s="589"/>
      <c r="BD5" s="589"/>
      <c r="BE5" s="589"/>
      <c r="BF5" s="589"/>
      <c r="BG5" s="589"/>
      <c r="BH5" s="590">
        <f>CARATULA!P13</f>
        <v>43578</v>
      </c>
      <c r="BI5" s="591"/>
      <c r="BJ5" s="591"/>
      <c r="BK5" s="77"/>
      <c r="BL5" s="72"/>
    </row>
    <row r="6" spans="1:64" ht="15.75" x14ac:dyDescent="0.25">
      <c r="A6" s="72"/>
      <c r="B6" s="73"/>
      <c r="C6" s="74" t="s">
        <v>2</v>
      </c>
      <c r="D6" s="75" t="s">
        <v>6</v>
      </c>
      <c r="E6" s="486">
        <f>CARATULA!G26</f>
        <v>0</v>
      </c>
      <c r="F6" s="286"/>
      <c r="G6" s="286"/>
      <c r="H6" s="286"/>
      <c r="I6" s="286"/>
      <c r="J6" s="286"/>
      <c r="K6" s="286"/>
      <c r="L6" s="286"/>
      <c r="M6" s="286"/>
      <c r="N6" s="286"/>
      <c r="O6" s="286"/>
      <c r="P6" s="286"/>
      <c r="Q6" s="286"/>
      <c r="R6" s="286"/>
      <c r="S6" s="286"/>
      <c r="T6" s="286"/>
      <c r="U6" s="286"/>
      <c r="V6" s="286"/>
      <c r="W6" s="286"/>
      <c r="X6" s="286"/>
      <c r="Y6" s="286"/>
      <c r="Z6" s="286"/>
      <c r="AA6" s="286"/>
      <c r="AB6" s="286"/>
      <c r="AC6" s="286"/>
      <c r="AD6" s="286"/>
      <c r="AE6" s="286"/>
      <c r="AF6" s="286"/>
      <c r="AG6" s="286"/>
      <c r="AH6" s="286"/>
      <c r="AI6" s="286"/>
      <c r="AJ6" s="286"/>
      <c r="AK6" s="286"/>
      <c r="AL6" s="286"/>
      <c r="AM6" s="286"/>
      <c r="AN6" s="286"/>
      <c r="AO6" s="286"/>
      <c r="AP6" s="286"/>
      <c r="AQ6" s="286"/>
      <c r="AR6" s="286"/>
      <c r="AS6" s="286"/>
      <c r="AT6" s="286"/>
      <c r="AU6" s="286"/>
      <c r="AV6" s="286"/>
      <c r="AW6" s="286"/>
      <c r="AX6" s="286"/>
      <c r="AY6" s="286"/>
      <c r="AZ6" s="286"/>
      <c r="BA6" s="76"/>
      <c r="BB6" s="78"/>
      <c r="BC6" s="78"/>
      <c r="BD6" s="78"/>
      <c r="BE6" s="78"/>
      <c r="BF6" s="78"/>
      <c r="BG6" s="78"/>
      <c r="BH6" s="296"/>
      <c r="BI6" s="296"/>
      <c r="BJ6" s="296"/>
      <c r="BK6" s="77"/>
      <c r="BL6" s="72"/>
    </row>
    <row r="7" spans="1:64" ht="15.75" x14ac:dyDescent="0.25">
      <c r="A7" s="72"/>
      <c r="B7" s="73"/>
      <c r="C7" s="74" t="s">
        <v>99</v>
      </c>
      <c r="D7" s="75" t="s">
        <v>6</v>
      </c>
      <c r="E7" s="504" t="str">
        <f>CONCATENATE(CARATULA!G28," ",CARATULA!H28)</f>
        <v xml:space="preserve"> </v>
      </c>
      <c r="F7" s="293"/>
      <c r="G7" s="293"/>
      <c r="H7" s="293"/>
      <c r="I7" s="293"/>
      <c r="J7" s="293"/>
      <c r="K7" s="293"/>
      <c r="L7" s="293"/>
      <c r="M7" s="286"/>
      <c r="N7" s="292"/>
      <c r="O7" s="292"/>
      <c r="P7" s="286"/>
      <c r="Q7" s="286"/>
      <c r="R7" s="293"/>
      <c r="S7" s="293"/>
      <c r="T7" s="293"/>
      <c r="U7" s="293"/>
      <c r="V7" s="293"/>
      <c r="W7" s="293"/>
      <c r="X7" s="293"/>
      <c r="Y7" s="293"/>
      <c r="Z7" s="293"/>
      <c r="AA7" s="293"/>
      <c r="AB7" s="293"/>
      <c r="AC7" s="293"/>
      <c r="AD7" s="293"/>
      <c r="AE7" s="293"/>
      <c r="AF7" s="293"/>
      <c r="AG7" s="293"/>
      <c r="AH7" s="293"/>
      <c r="AI7" s="293"/>
      <c r="AJ7" s="293"/>
      <c r="AK7" s="293"/>
      <c r="AL7" s="293"/>
      <c r="AM7" s="293"/>
      <c r="AN7" s="293"/>
      <c r="AO7" s="293"/>
      <c r="AP7" s="293"/>
      <c r="AQ7" s="293"/>
      <c r="AR7" s="293"/>
      <c r="AS7" s="293"/>
      <c r="AT7" s="293"/>
      <c r="AU7" s="293"/>
      <c r="AV7" s="293"/>
      <c r="AW7" s="293"/>
      <c r="AX7" s="286"/>
      <c r="AY7" s="286"/>
      <c r="AZ7" s="286"/>
      <c r="BA7" s="76"/>
      <c r="BB7" s="589" t="s">
        <v>45</v>
      </c>
      <c r="BC7" s="589"/>
      <c r="BD7" s="589"/>
      <c r="BE7" s="589"/>
      <c r="BF7" s="589"/>
      <c r="BG7" s="589"/>
      <c r="BH7" s="590">
        <f>CARATULA!R13</f>
        <v>43646</v>
      </c>
      <c r="BI7" s="591"/>
      <c r="BJ7" s="591"/>
      <c r="BK7" s="77"/>
      <c r="BL7" s="72"/>
    </row>
    <row r="8" spans="1:64" ht="15.75" x14ac:dyDescent="0.25">
      <c r="A8" s="72"/>
      <c r="B8" s="73"/>
      <c r="C8" s="74" t="s">
        <v>382</v>
      </c>
      <c r="D8" s="75" t="s">
        <v>6</v>
      </c>
      <c r="E8" s="486">
        <f>CARATULA!G22</f>
        <v>0</v>
      </c>
      <c r="F8" s="292"/>
      <c r="G8" s="292"/>
      <c r="H8" s="292"/>
      <c r="I8" s="292"/>
      <c r="J8" s="292"/>
      <c r="K8" s="292"/>
      <c r="L8" s="292"/>
      <c r="M8" s="292"/>
      <c r="N8" s="292"/>
      <c r="O8" s="292"/>
      <c r="P8" s="292"/>
      <c r="Q8" s="292"/>
      <c r="R8" s="292"/>
      <c r="S8" s="292"/>
      <c r="T8" s="292"/>
      <c r="U8" s="292"/>
      <c r="V8" s="292"/>
      <c r="W8" s="292"/>
      <c r="X8" s="292"/>
      <c r="Y8" s="292"/>
      <c r="Z8" s="292"/>
      <c r="AA8" s="292"/>
      <c r="AB8" s="292"/>
      <c r="AC8" s="292"/>
      <c r="AD8" s="292"/>
      <c r="AE8" s="292"/>
      <c r="AF8" s="292"/>
      <c r="AG8" s="292"/>
      <c r="AH8" s="292"/>
      <c r="AI8" s="292"/>
      <c r="AJ8" s="292"/>
      <c r="AK8" s="292"/>
      <c r="AL8" s="292"/>
      <c r="AM8" s="292"/>
      <c r="AN8" s="292"/>
      <c r="AO8" s="292"/>
      <c r="AP8" s="292"/>
      <c r="AQ8" s="292"/>
      <c r="AR8" s="292"/>
      <c r="AS8" s="292"/>
      <c r="AT8" s="292"/>
      <c r="AU8" s="292"/>
      <c r="AV8" s="292"/>
      <c r="AW8" s="292"/>
      <c r="AX8" s="286"/>
      <c r="AY8" s="286"/>
      <c r="AZ8" s="286"/>
      <c r="BA8" s="76"/>
      <c r="BB8" s="76"/>
      <c r="BC8" s="76"/>
      <c r="BD8" s="76"/>
      <c r="BE8" s="76"/>
      <c r="BF8" s="76"/>
      <c r="BG8" s="76"/>
      <c r="BH8" s="297"/>
      <c r="BI8" s="297"/>
      <c r="BJ8" s="297"/>
      <c r="BK8" s="77"/>
      <c r="BL8" s="72"/>
    </row>
    <row r="9" spans="1:64" ht="15.75" x14ac:dyDescent="0.25">
      <c r="A9" s="72"/>
      <c r="B9" s="73"/>
      <c r="C9" s="74" t="s">
        <v>383</v>
      </c>
      <c r="D9" s="75" t="s">
        <v>6</v>
      </c>
      <c r="E9" s="486">
        <f>CARATULA!G24</f>
        <v>0</v>
      </c>
      <c r="F9" s="292"/>
      <c r="G9" s="292"/>
      <c r="H9" s="292"/>
      <c r="I9" s="292"/>
      <c r="J9" s="292"/>
      <c r="K9" s="292"/>
      <c r="L9" s="292"/>
      <c r="M9" s="292"/>
      <c r="N9" s="292"/>
      <c r="O9" s="292"/>
      <c r="P9" s="292"/>
      <c r="Q9" s="292"/>
      <c r="R9" s="292"/>
      <c r="S9" s="292"/>
      <c r="T9" s="292"/>
      <c r="U9" s="292"/>
      <c r="V9" s="292"/>
      <c r="W9" s="292"/>
      <c r="X9" s="292"/>
      <c r="Y9" s="292"/>
      <c r="Z9" s="292"/>
      <c r="AA9" s="292"/>
      <c r="AB9" s="292"/>
      <c r="AC9" s="292"/>
      <c r="AD9" s="292"/>
      <c r="AE9" s="292"/>
      <c r="AF9" s="292"/>
      <c r="AG9" s="292"/>
      <c r="AH9" s="292"/>
      <c r="AI9" s="292"/>
      <c r="AJ9" s="292"/>
      <c r="AK9" s="292"/>
      <c r="AL9" s="292"/>
      <c r="AM9" s="292"/>
      <c r="AN9" s="292"/>
      <c r="AO9" s="292"/>
      <c r="AP9" s="292"/>
      <c r="AQ9" s="292"/>
      <c r="AR9" s="292"/>
      <c r="AS9" s="292"/>
      <c r="AT9" s="292"/>
      <c r="AU9" s="292"/>
      <c r="AV9" s="292"/>
      <c r="AW9" s="292"/>
      <c r="AX9" s="286"/>
      <c r="AY9" s="286"/>
      <c r="AZ9" s="286"/>
      <c r="BA9" s="76"/>
      <c r="BB9" s="601" t="s">
        <v>200</v>
      </c>
      <c r="BC9" s="601"/>
      <c r="BD9" s="601"/>
      <c r="BE9" s="601"/>
      <c r="BF9" s="601"/>
      <c r="BG9" s="601"/>
      <c r="BH9" s="681">
        <f ca="1">TODAY()</f>
        <v>43510</v>
      </c>
      <c r="BI9" s="682"/>
      <c r="BJ9" s="682"/>
      <c r="BK9" s="77"/>
      <c r="BL9" s="72"/>
    </row>
    <row r="10" spans="1:64" ht="15.75" x14ac:dyDescent="0.25">
      <c r="A10" s="72"/>
      <c r="B10" s="73"/>
      <c r="C10" s="74" t="s">
        <v>3</v>
      </c>
      <c r="D10" s="75" t="s">
        <v>6</v>
      </c>
      <c r="E10" s="486">
        <f>CARATULA!G30</f>
        <v>0</v>
      </c>
      <c r="F10" s="292"/>
      <c r="G10" s="292"/>
      <c r="H10" s="292"/>
      <c r="I10" s="292"/>
      <c r="J10" s="292"/>
      <c r="K10" s="292"/>
      <c r="L10" s="292"/>
      <c r="M10" s="292"/>
      <c r="N10" s="292"/>
      <c r="O10" s="292"/>
      <c r="P10" s="292"/>
      <c r="Q10" s="292"/>
      <c r="R10" s="292"/>
      <c r="S10" s="292"/>
      <c r="T10" s="292"/>
      <c r="U10" s="292"/>
      <c r="V10" s="292"/>
      <c r="W10" s="292"/>
      <c r="X10" s="292"/>
      <c r="Y10" s="292"/>
      <c r="Z10" s="292"/>
      <c r="AA10" s="292"/>
      <c r="AB10" s="292"/>
      <c r="AC10" s="292"/>
      <c r="AD10" s="292"/>
      <c r="AE10" s="292"/>
      <c r="AF10" s="292"/>
      <c r="AG10" s="292"/>
      <c r="AH10" s="292"/>
      <c r="AI10" s="292"/>
      <c r="AJ10" s="292"/>
      <c r="AK10" s="292"/>
      <c r="AL10" s="292"/>
      <c r="AM10" s="292"/>
      <c r="AN10" s="292"/>
      <c r="AO10" s="292"/>
      <c r="AP10" s="292"/>
      <c r="AQ10" s="292"/>
      <c r="AR10" s="292"/>
      <c r="AS10" s="292"/>
      <c r="AT10" s="292"/>
      <c r="AU10" s="292"/>
      <c r="AV10" s="292"/>
      <c r="AW10" s="292"/>
      <c r="AX10" s="286"/>
      <c r="AY10" s="286"/>
      <c r="AZ10" s="286"/>
      <c r="BA10" s="76"/>
      <c r="BB10" s="76"/>
      <c r="BC10" s="76"/>
      <c r="BD10" s="76"/>
      <c r="BE10" s="76"/>
      <c r="BF10" s="76"/>
      <c r="BG10" s="76"/>
      <c r="BH10" s="76"/>
      <c r="BI10" s="76"/>
      <c r="BJ10" s="76"/>
      <c r="BK10" s="77"/>
      <c r="BL10" s="72"/>
    </row>
    <row r="11" spans="1:64" ht="15.75" x14ac:dyDescent="0.25">
      <c r="A11" s="72"/>
      <c r="B11" s="73"/>
      <c r="C11" s="74" t="s">
        <v>21</v>
      </c>
      <c r="D11" s="75" t="s">
        <v>6</v>
      </c>
      <c r="E11" s="486">
        <f>CARATULA!G32</f>
        <v>0</v>
      </c>
      <c r="F11" s="292"/>
      <c r="G11" s="292"/>
      <c r="H11" s="292"/>
      <c r="I11" s="292"/>
      <c r="J11" s="292"/>
      <c r="K11" s="292"/>
      <c r="L11" s="292"/>
      <c r="M11" s="292"/>
      <c r="N11" s="292"/>
      <c r="O11" s="292"/>
      <c r="P11" s="292"/>
      <c r="Q11" s="286"/>
      <c r="R11" s="286"/>
      <c r="S11" s="286"/>
      <c r="T11" s="286"/>
      <c r="U11" s="286"/>
      <c r="V11" s="286"/>
      <c r="W11" s="286"/>
      <c r="X11" s="286"/>
      <c r="Y11" s="286"/>
      <c r="Z11" s="286"/>
      <c r="AA11" s="286"/>
      <c r="AB11" s="286"/>
      <c r="AC11" s="286"/>
      <c r="AD11" s="286"/>
      <c r="AE11" s="286"/>
      <c r="AF11" s="286"/>
      <c r="AG11" s="286"/>
      <c r="AH11" s="286"/>
      <c r="AI11" s="286"/>
      <c r="AJ11" s="286"/>
      <c r="AK11" s="286"/>
      <c r="AL11" s="286"/>
      <c r="AM11" s="286"/>
      <c r="AN11" s="286"/>
      <c r="AO11" s="286"/>
      <c r="AP11" s="286"/>
      <c r="AQ11" s="286"/>
      <c r="AR11" s="286"/>
      <c r="AS11" s="286"/>
      <c r="AT11" s="286"/>
      <c r="AU11" s="286"/>
      <c r="AV11" s="286"/>
      <c r="AW11" s="286"/>
      <c r="AX11" s="286"/>
      <c r="AY11" s="286"/>
      <c r="AZ11" s="286"/>
      <c r="BA11" s="76"/>
      <c r="BB11" s="76"/>
      <c r="BC11" s="76"/>
      <c r="BD11" s="76"/>
      <c r="BE11" s="76"/>
      <c r="BF11" s="76"/>
      <c r="BG11" s="76"/>
      <c r="BH11" s="76"/>
      <c r="BI11" s="76"/>
      <c r="BJ11" s="76"/>
      <c r="BK11" s="77"/>
      <c r="BL11" s="72"/>
    </row>
    <row r="12" spans="1:64" ht="1.5" customHeight="1" x14ac:dyDescent="0.25">
      <c r="B12" s="67"/>
      <c r="C12" s="68"/>
      <c r="D12" s="68"/>
      <c r="E12" s="68"/>
      <c r="F12" s="68"/>
      <c r="G12" s="68"/>
      <c r="H12" s="68"/>
      <c r="I12" s="68"/>
      <c r="J12" s="68"/>
      <c r="K12" s="68"/>
      <c r="L12" s="68"/>
      <c r="M12" s="68"/>
      <c r="N12" s="68"/>
      <c r="O12" s="68"/>
      <c r="P12" s="68"/>
      <c r="Q12" s="68"/>
      <c r="R12" s="68"/>
      <c r="S12" s="68"/>
      <c r="T12" s="68"/>
      <c r="U12" s="68"/>
      <c r="V12" s="68"/>
      <c r="W12" s="68"/>
      <c r="X12" s="68"/>
      <c r="Y12" s="68"/>
      <c r="Z12" s="68"/>
      <c r="AA12" s="68"/>
      <c r="AB12" s="68"/>
      <c r="AC12" s="68"/>
      <c r="AD12" s="68"/>
      <c r="AE12" s="68"/>
      <c r="AF12" s="68"/>
      <c r="AG12" s="68"/>
      <c r="AH12" s="68"/>
      <c r="AI12" s="68"/>
      <c r="AJ12" s="68"/>
      <c r="AK12" s="68"/>
      <c r="AL12" s="68"/>
      <c r="AM12" s="68"/>
      <c r="AN12" s="68"/>
      <c r="AO12" s="68"/>
      <c r="AP12" s="68"/>
      <c r="AQ12" s="68"/>
      <c r="AR12" s="68"/>
      <c r="AS12" s="68"/>
      <c r="AT12" s="68"/>
      <c r="AU12" s="68"/>
      <c r="AV12" s="68"/>
      <c r="AW12" s="68"/>
      <c r="AX12" s="68"/>
      <c r="AY12" s="68"/>
      <c r="AZ12" s="68"/>
      <c r="BA12" s="68"/>
      <c r="BB12" s="68"/>
      <c r="BC12" s="68"/>
      <c r="BD12" s="68"/>
      <c r="BE12" s="68"/>
      <c r="BF12" s="68"/>
      <c r="BG12" s="68"/>
      <c r="BH12" s="68"/>
      <c r="BI12" s="68"/>
      <c r="BJ12" s="68"/>
      <c r="BK12" s="69"/>
    </row>
    <row r="13" spans="1:64" x14ac:dyDescent="0.25">
      <c r="A13" s="72"/>
      <c r="B13" s="595" t="s">
        <v>41</v>
      </c>
      <c r="C13" s="608" t="s">
        <v>23</v>
      </c>
      <c r="D13" s="608"/>
      <c r="E13" s="597" t="s">
        <v>239</v>
      </c>
      <c r="F13" s="597"/>
      <c r="G13" s="597"/>
      <c r="H13" s="597"/>
      <c r="I13" s="597"/>
      <c r="J13" s="597"/>
      <c r="K13" s="597"/>
      <c r="L13" s="597"/>
      <c r="M13" s="597"/>
      <c r="N13" s="597"/>
      <c r="O13" s="597"/>
      <c r="P13" s="597"/>
      <c r="Q13" s="597"/>
      <c r="R13" s="597"/>
      <c r="S13" s="597"/>
      <c r="T13" s="597"/>
      <c r="U13" s="597"/>
      <c r="V13" s="597"/>
      <c r="W13" s="597"/>
      <c r="X13" s="597"/>
      <c r="Y13" s="597"/>
      <c r="Z13" s="597"/>
      <c r="AA13" s="597"/>
      <c r="AB13" s="597"/>
      <c r="AC13" s="597"/>
      <c r="AD13" s="597"/>
      <c r="AE13" s="597"/>
      <c r="AF13" s="597"/>
      <c r="AG13" s="597"/>
      <c r="AH13" s="597"/>
      <c r="AI13" s="597"/>
      <c r="AJ13" s="597"/>
      <c r="AK13" s="597"/>
      <c r="AL13" s="597"/>
      <c r="AM13" s="597"/>
      <c r="AN13" s="597"/>
      <c r="AO13" s="597"/>
      <c r="AP13" s="597"/>
      <c r="AQ13" s="597"/>
      <c r="AR13" s="597"/>
      <c r="AS13" s="597"/>
      <c r="AT13" s="597"/>
      <c r="AU13" s="597"/>
      <c r="AV13" s="597"/>
      <c r="AW13" s="597"/>
      <c r="AX13" s="597"/>
      <c r="AY13" s="597"/>
      <c r="AZ13" s="597"/>
      <c r="BA13" s="597"/>
      <c r="BB13" s="597"/>
      <c r="BC13" s="597"/>
      <c r="BD13" s="597"/>
      <c r="BE13" s="597"/>
      <c r="BF13" s="598"/>
      <c r="BG13" s="599" t="s">
        <v>42</v>
      </c>
      <c r="BH13" s="599"/>
      <c r="BI13" s="599"/>
      <c r="BJ13" s="600"/>
      <c r="BK13" s="679" t="s">
        <v>237</v>
      </c>
    </row>
    <row r="14" spans="1:64" ht="68.25" customHeight="1" thickBot="1" x14ac:dyDescent="0.3">
      <c r="A14" s="72"/>
      <c r="B14" s="596"/>
      <c r="C14" s="609"/>
      <c r="D14" s="609"/>
      <c r="E14" s="260"/>
      <c r="F14" s="260"/>
      <c r="G14" s="260"/>
      <c r="H14" s="260"/>
      <c r="I14" s="260"/>
      <c r="J14" s="260"/>
      <c r="K14" s="260"/>
      <c r="L14" s="260"/>
      <c r="M14" s="260"/>
      <c r="N14" s="260"/>
      <c r="O14" s="260"/>
      <c r="P14" s="260"/>
      <c r="Q14" s="260"/>
      <c r="R14" s="260"/>
      <c r="S14" s="260"/>
      <c r="T14" s="260"/>
      <c r="U14" s="260"/>
      <c r="V14" s="260"/>
      <c r="W14" s="260"/>
      <c r="X14" s="260"/>
      <c r="Y14" s="260"/>
      <c r="Z14" s="260"/>
      <c r="AA14" s="260"/>
      <c r="AB14" s="260"/>
      <c r="AC14" s="260"/>
      <c r="AD14" s="260"/>
      <c r="AE14" s="260"/>
      <c r="AF14" s="260"/>
      <c r="AG14" s="260"/>
      <c r="AH14" s="260"/>
      <c r="AI14" s="260"/>
      <c r="AJ14" s="260"/>
      <c r="AK14" s="260"/>
      <c r="AL14" s="260"/>
      <c r="AM14" s="260"/>
      <c r="AN14" s="260"/>
      <c r="AO14" s="260"/>
      <c r="AP14" s="260"/>
      <c r="AQ14" s="260"/>
      <c r="AR14" s="260"/>
      <c r="AS14" s="260"/>
      <c r="AT14" s="260"/>
      <c r="AU14" s="260"/>
      <c r="AV14" s="260"/>
      <c r="AW14" s="260"/>
      <c r="AX14" s="260"/>
      <c r="AY14" s="260"/>
      <c r="AZ14" s="260"/>
      <c r="BA14" s="260"/>
      <c r="BB14" s="260"/>
      <c r="BC14" s="260"/>
      <c r="BD14" s="260"/>
      <c r="BE14" s="267"/>
      <c r="BF14" s="261"/>
      <c r="BG14" s="79" t="s">
        <v>50</v>
      </c>
      <c r="BH14" s="79" t="s">
        <v>51</v>
      </c>
      <c r="BI14" s="79" t="s">
        <v>52</v>
      </c>
      <c r="BJ14" s="80" t="s">
        <v>53</v>
      </c>
      <c r="BK14" s="680"/>
    </row>
    <row r="15" spans="1:64" x14ac:dyDescent="0.25">
      <c r="A15" s="72"/>
      <c r="B15" s="81">
        <v>1</v>
      </c>
      <c r="C15" s="610" t="str">
        <f>'C. FILIACION'!C14</f>
        <v>SUAREZ EVELIN ISELA</v>
      </c>
      <c r="D15" s="610"/>
      <c r="E15" s="266"/>
      <c r="F15" s="266"/>
      <c r="G15" s="266"/>
      <c r="H15" s="266"/>
      <c r="I15" s="266"/>
      <c r="J15" s="266"/>
      <c r="K15" s="266"/>
      <c r="L15" s="266"/>
      <c r="M15" s="266"/>
      <c r="N15" s="266"/>
      <c r="O15" s="266"/>
      <c r="P15" s="266"/>
      <c r="Q15" s="266"/>
      <c r="R15" s="266"/>
      <c r="S15" s="266"/>
      <c r="T15" s="266"/>
      <c r="U15" s="266"/>
      <c r="V15" s="266"/>
      <c r="W15" s="266"/>
      <c r="X15" s="266"/>
      <c r="Y15" s="266"/>
      <c r="Z15" s="266"/>
      <c r="AA15" s="266"/>
      <c r="AB15" s="266"/>
      <c r="AC15" s="266"/>
      <c r="AD15" s="266"/>
      <c r="AE15" s="266"/>
      <c r="AF15" s="266"/>
      <c r="AG15" s="266"/>
      <c r="AH15" s="266"/>
      <c r="AI15" s="266"/>
      <c r="AJ15" s="266"/>
      <c r="AK15" s="266"/>
      <c r="AL15" s="266"/>
      <c r="AM15" s="266"/>
      <c r="AN15" s="266"/>
      <c r="AO15" s="266"/>
      <c r="AP15" s="266"/>
      <c r="AQ15" s="266"/>
      <c r="AR15" s="266"/>
      <c r="AS15" s="266"/>
      <c r="AT15" s="266"/>
      <c r="AU15" s="266"/>
      <c r="AV15" s="266"/>
      <c r="AW15" s="266"/>
      <c r="AX15" s="266"/>
      <c r="AY15" s="266"/>
      <c r="AZ15" s="266"/>
      <c r="BA15" s="266"/>
      <c r="BB15" s="266"/>
      <c r="BC15" s="266"/>
      <c r="BD15" s="266"/>
      <c r="BE15" s="266"/>
      <c r="BF15" s="266"/>
      <c r="BG15" s="487" t="str">
        <f>IF(COUNTIF(E15:BF15,"A")=0,"",COUNTIF(E15:BF15,"A"))</f>
        <v/>
      </c>
      <c r="BH15" s="487" t="str">
        <f>IF(COUNTIF(E15:BF15,"F")=0,"",COUNTIF(E15:BF15,"F"))</f>
        <v/>
      </c>
      <c r="BI15" s="487" t="str">
        <f>IF(COUNTIF(E15:BF15,"R")=0,"",COUNTIF(E15:BF15,"R"))</f>
        <v/>
      </c>
      <c r="BJ15" s="488" t="str">
        <f>IF(COUNTIF(E15:BF15,"L")=0,"",COUNTIF(E15:BF15,"L"))</f>
        <v/>
      </c>
      <c r="BK15" s="489" t="str">
        <f>IF((IF(BG15="",0,BG15)+IF(BI15="",0,BI15))=0,"",(IF(BG15="",0,BG15)+IF(BI15="",0,BI15)))</f>
        <v/>
      </c>
    </row>
    <row r="16" spans="1:64" x14ac:dyDescent="0.25">
      <c r="A16" s="72"/>
      <c r="B16" s="82">
        <v>2</v>
      </c>
      <c r="C16" s="604" t="str">
        <f>'C. FILIACION'!C15</f>
        <v>ALARCON  VARGAS JAIR ALEXIS</v>
      </c>
      <c r="D16" s="604"/>
      <c r="E16" s="262"/>
      <c r="F16" s="262"/>
      <c r="G16" s="262"/>
      <c r="H16" s="262"/>
      <c r="I16" s="262"/>
      <c r="J16" s="262"/>
      <c r="K16" s="262"/>
      <c r="L16" s="262"/>
      <c r="M16" s="262"/>
      <c r="N16" s="262"/>
      <c r="O16" s="262"/>
      <c r="P16" s="262"/>
      <c r="Q16" s="262"/>
      <c r="R16" s="262"/>
      <c r="S16" s="262"/>
      <c r="T16" s="262"/>
      <c r="U16" s="262"/>
      <c r="V16" s="262"/>
      <c r="W16" s="262"/>
      <c r="X16" s="262"/>
      <c r="Y16" s="262"/>
      <c r="Z16" s="262"/>
      <c r="AA16" s="262"/>
      <c r="AB16" s="262"/>
      <c r="AC16" s="262"/>
      <c r="AD16" s="262"/>
      <c r="AE16" s="262"/>
      <c r="AF16" s="262"/>
      <c r="AG16" s="262"/>
      <c r="AH16" s="262"/>
      <c r="AI16" s="262"/>
      <c r="AJ16" s="262"/>
      <c r="AK16" s="262"/>
      <c r="AL16" s="262"/>
      <c r="AM16" s="262"/>
      <c r="AN16" s="262"/>
      <c r="AO16" s="262"/>
      <c r="AP16" s="262"/>
      <c r="AQ16" s="262"/>
      <c r="AR16" s="262"/>
      <c r="AS16" s="262"/>
      <c r="AT16" s="262"/>
      <c r="AU16" s="262"/>
      <c r="AV16" s="262"/>
      <c r="AW16" s="262"/>
      <c r="AX16" s="262"/>
      <c r="AY16" s="262"/>
      <c r="AZ16" s="262"/>
      <c r="BA16" s="262"/>
      <c r="BB16" s="262"/>
      <c r="BC16" s="262"/>
      <c r="BD16" s="262"/>
      <c r="BE16" s="262"/>
      <c r="BF16" s="263"/>
      <c r="BG16" s="490" t="str">
        <f t="shared" ref="BG16:BG59" si="0">IF(COUNTIF(E16:BF16,"A")=0,"",COUNTIF(E16:BF16,"A"))</f>
        <v/>
      </c>
      <c r="BH16" s="490" t="str">
        <f t="shared" ref="BH16:BH59" si="1">IF(COUNTIF(E16:BF16,"F")=0,"",COUNTIF(E16:BF16,"F"))</f>
        <v/>
      </c>
      <c r="BI16" s="490" t="str">
        <f t="shared" ref="BI16:BI59" si="2">IF(COUNTIF(E16:BF16,"R")=0,"",COUNTIF(E16:BF16,"R"))</f>
        <v/>
      </c>
      <c r="BJ16" s="491" t="str">
        <f t="shared" ref="BJ16:BJ59" si="3">IF(COUNTIF(E16:BF16,"L")=0,"",COUNTIF(E16:BF16,"L"))</f>
        <v/>
      </c>
      <c r="BK16" s="492" t="str">
        <f t="shared" ref="BK16:BK59" si="4">IF((IF(BG16="",0,BG16)+IF(BI16="",0,BI16))=0,"",(IF(BG16="",0,BG16)+IF(BI16="",0,BI16)))</f>
        <v/>
      </c>
    </row>
    <row r="17" spans="1:63" x14ac:dyDescent="0.25">
      <c r="A17" s="72"/>
      <c r="B17" s="82">
        <v>3</v>
      </c>
      <c r="C17" s="604" t="str">
        <f>'C. FILIACION'!C16</f>
        <v>AÑAZGO  VARGAS NOELIA</v>
      </c>
      <c r="D17" s="604"/>
      <c r="E17" s="262"/>
      <c r="F17" s="262"/>
      <c r="G17" s="262"/>
      <c r="H17" s="262"/>
      <c r="I17" s="262"/>
      <c r="J17" s="262"/>
      <c r="K17" s="262"/>
      <c r="L17" s="262"/>
      <c r="M17" s="262"/>
      <c r="N17" s="262"/>
      <c r="O17" s="262"/>
      <c r="P17" s="262"/>
      <c r="Q17" s="262"/>
      <c r="R17" s="262"/>
      <c r="S17" s="262"/>
      <c r="T17" s="262"/>
      <c r="U17" s="262"/>
      <c r="V17" s="262"/>
      <c r="W17" s="262"/>
      <c r="X17" s="262"/>
      <c r="Y17" s="262"/>
      <c r="Z17" s="262"/>
      <c r="AA17" s="262"/>
      <c r="AB17" s="262"/>
      <c r="AC17" s="262"/>
      <c r="AD17" s="262"/>
      <c r="AE17" s="262"/>
      <c r="AF17" s="262"/>
      <c r="AG17" s="262"/>
      <c r="AH17" s="262"/>
      <c r="AI17" s="262"/>
      <c r="AJ17" s="262"/>
      <c r="AK17" s="262"/>
      <c r="AL17" s="262"/>
      <c r="AM17" s="262"/>
      <c r="AN17" s="262"/>
      <c r="AO17" s="262"/>
      <c r="AP17" s="262"/>
      <c r="AQ17" s="262"/>
      <c r="AR17" s="262"/>
      <c r="AS17" s="262"/>
      <c r="AT17" s="262"/>
      <c r="AU17" s="262"/>
      <c r="AV17" s="262"/>
      <c r="AW17" s="262"/>
      <c r="AX17" s="262"/>
      <c r="AY17" s="262"/>
      <c r="AZ17" s="262"/>
      <c r="BA17" s="262"/>
      <c r="BB17" s="262"/>
      <c r="BC17" s="262"/>
      <c r="BD17" s="262"/>
      <c r="BE17" s="262"/>
      <c r="BF17" s="263"/>
      <c r="BG17" s="490" t="str">
        <f t="shared" si="0"/>
        <v/>
      </c>
      <c r="BH17" s="490" t="str">
        <f t="shared" si="1"/>
        <v/>
      </c>
      <c r="BI17" s="490" t="str">
        <f t="shared" si="2"/>
        <v/>
      </c>
      <c r="BJ17" s="491" t="str">
        <f t="shared" si="3"/>
        <v/>
      </c>
      <c r="BK17" s="492" t="str">
        <f t="shared" si="4"/>
        <v/>
      </c>
    </row>
    <row r="18" spans="1:63" x14ac:dyDescent="0.25">
      <c r="A18" s="72"/>
      <c r="B18" s="82">
        <v>4</v>
      </c>
      <c r="C18" s="604" t="str">
        <f>'C. FILIACION'!C17</f>
        <v>AQUISE HINOJOSA YHAMIR FABIO</v>
      </c>
      <c r="D18" s="604"/>
      <c r="E18" s="262"/>
      <c r="F18" s="262"/>
      <c r="G18" s="262"/>
      <c r="H18" s="262"/>
      <c r="I18" s="262"/>
      <c r="J18" s="262"/>
      <c r="K18" s="262"/>
      <c r="L18" s="262"/>
      <c r="M18" s="262"/>
      <c r="N18" s="262"/>
      <c r="O18" s="262"/>
      <c r="P18" s="262"/>
      <c r="Q18" s="262"/>
      <c r="R18" s="262"/>
      <c r="S18" s="262"/>
      <c r="T18" s="262"/>
      <c r="U18" s="262"/>
      <c r="V18" s="262"/>
      <c r="W18" s="262"/>
      <c r="X18" s="262"/>
      <c r="Y18" s="262"/>
      <c r="Z18" s="262"/>
      <c r="AA18" s="262"/>
      <c r="AB18" s="262"/>
      <c r="AC18" s="262"/>
      <c r="AD18" s="262"/>
      <c r="AE18" s="262"/>
      <c r="AF18" s="262"/>
      <c r="AG18" s="262"/>
      <c r="AH18" s="262"/>
      <c r="AI18" s="262"/>
      <c r="AJ18" s="262"/>
      <c r="AK18" s="262"/>
      <c r="AL18" s="262"/>
      <c r="AM18" s="262"/>
      <c r="AN18" s="262"/>
      <c r="AO18" s="262"/>
      <c r="AP18" s="262"/>
      <c r="AQ18" s="262"/>
      <c r="AR18" s="262"/>
      <c r="AS18" s="262"/>
      <c r="AT18" s="262"/>
      <c r="AU18" s="262"/>
      <c r="AV18" s="262"/>
      <c r="AW18" s="262"/>
      <c r="AX18" s="262"/>
      <c r="AY18" s="262"/>
      <c r="AZ18" s="262"/>
      <c r="BA18" s="262"/>
      <c r="BB18" s="262"/>
      <c r="BC18" s="262"/>
      <c r="BD18" s="262"/>
      <c r="BE18" s="262"/>
      <c r="BF18" s="263"/>
      <c r="BG18" s="490" t="str">
        <f t="shared" si="0"/>
        <v/>
      </c>
      <c r="BH18" s="490" t="str">
        <f t="shared" si="1"/>
        <v/>
      </c>
      <c r="BI18" s="490" t="str">
        <f t="shared" si="2"/>
        <v/>
      </c>
      <c r="BJ18" s="491" t="str">
        <f t="shared" si="3"/>
        <v/>
      </c>
      <c r="BK18" s="492" t="str">
        <f t="shared" si="4"/>
        <v/>
      </c>
    </row>
    <row r="19" spans="1:63" x14ac:dyDescent="0.25">
      <c r="A19" s="72"/>
      <c r="B19" s="82">
        <v>5</v>
      </c>
      <c r="C19" s="604" t="str">
        <f>'C. FILIACION'!C18</f>
        <v>ARGANI  LAREDO MARIA JESUS</v>
      </c>
      <c r="D19" s="604"/>
      <c r="E19" s="262"/>
      <c r="F19" s="262"/>
      <c r="G19" s="262"/>
      <c r="H19" s="262"/>
      <c r="I19" s="262"/>
      <c r="J19" s="262"/>
      <c r="K19" s="262"/>
      <c r="L19" s="262"/>
      <c r="M19" s="262"/>
      <c r="N19" s="262"/>
      <c r="O19" s="262"/>
      <c r="P19" s="262"/>
      <c r="Q19" s="262"/>
      <c r="R19" s="262"/>
      <c r="S19" s="262"/>
      <c r="T19" s="262"/>
      <c r="U19" s="262"/>
      <c r="V19" s="262"/>
      <c r="W19" s="262"/>
      <c r="X19" s="262"/>
      <c r="Y19" s="262"/>
      <c r="Z19" s="262"/>
      <c r="AA19" s="262"/>
      <c r="AB19" s="262"/>
      <c r="AC19" s="262"/>
      <c r="AD19" s="262"/>
      <c r="AE19" s="262"/>
      <c r="AF19" s="262"/>
      <c r="AG19" s="262"/>
      <c r="AH19" s="262"/>
      <c r="AI19" s="262"/>
      <c r="AJ19" s="262"/>
      <c r="AK19" s="262"/>
      <c r="AL19" s="262"/>
      <c r="AM19" s="262"/>
      <c r="AN19" s="262"/>
      <c r="AO19" s="262"/>
      <c r="AP19" s="262"/>
      <c r="AQ19" s="262"/>
      <c r="AR19" s="262"/>
      <c r="AS19" s="262"/>
      <c r="AT19" s="262"/>
      <c r="AU19" s="262"/>
      <c r="AV19" s="262"/>
      <c r="AW19" s="262"/>
      <c r="AX19" s="262"/>
      <c r="AY19" s="262"/>
      <c r="AZ19" s="262"/>
      <c r="BA19" s="262"/>
      <c r="BB19" s="262"/>
      <c r="BC19" s="262"/>
      <c r="BD19" s="262"/>
      <c r="BE19" s="262"/>
      <c r="BF19" s="263"/>
      <c r="BG19" s="490" t="str">
        <f t="shared" si="0"/>
        <v/>
      </c>
      <c r="BH19" s="490" t="str">
        <f t="shared" si="1"/>
        <v/>
      </c>
      <c r="BI19" s="490" t="str">
        <f t="shared" si="2"/>
        <v/>
      </c>
      <c r="BJ19" s="491" t="str">
        <f t="shared" si="3"/>
        <v/>
      </c>
      <c r="BK19" s="492" t="str">
        <f t="shared" si="4"/>
        <v/>
      </c>
    </row>
    <row r="20" spans="1:63" x14ac:dyDescent="0.25">
      <c r="A20" s="72"/>
      <c r="B20" s="82">
        <v>6</v>
      </c>
      <c r="C20" s="604" t="str">
        <f>'C. FILIACION'!C19</f>
        <v>AYLLON MOLLO RONNY BRUCE</v>
      </c>
      <c r="D20" s="604"/>
      <c r="E20" s="262"/>
      <c r="F20" s="262"/>
      <c r="G20" s="262"/>
      <c r="H20" s="262"/>
      <c r="I20" s="262"/>
      <c r="J20" s="262"/>
      <c r="K20" s="262"/>
      <c r="L20" s="262"/>
      <c r="M20" s="262"/>
      <c r="N20" s="262"/>
      <c r="O20" s="262"/>
      <c r="P20" s="262"/>
      <c r="Q20" s="262"/>
      <c r="R20" s="262"/>
      <c r="S20" s="262"/>
      <c r="T20" s="262"/>
      <c r="U20" s="262"/>
      <c r="V20" s="262"/>
      <c r="W20" s="262"/>
      <c r="X20" s="262"/>
      <c r="Y20" s="262"/>
      <c r="Z20" s="262"/>
      <c r="AA20" s="262"/>
      <c r="AB20" s="262"/>
      <c r="AC20" s="262"/>
      <c r="AD20" s="262"/>
      <c r="AE20" s="262"/>
      <c r="AF20" s="262"/>
      <c r="AG20" s="262"/>
      <c r="AH20" s="262"/>
      <c r="AI20" s="262"/>
      <c r="AJ20" s="262"/>
      <c r="AK20" s="262"/>
      <c r="AL20" s="262"/>
      <c r="AM20" s="262"/>
      <c r="AN20" s="262"/>
      <c r="AO20" s="262"/>
      <c r="AP20" s="262"/>
      <c r="AQ20" s="262"/>
      <c r="AR20" s="262"/>
      <c r="AS20" s="262"/>
      <c r="AT20" s="262"/>
      <c r="AU20" s="262"/>
      <c r="AV20" s="262"/>
      <c r="AW20" s="262"/>
      <c r="AX20" s="262"/>
      <c r="AY20" s="262"/>
      <c r="AZ20" s="262"/>
      <c r="BA20" s="262"/>
      <c r="BB20" s="262"/>
      <c r="BC20" s="262"/>
      <c r="BD20" s="262"/>
      <c r="BE20" s="262"/>
      <c r="BF20" s="263"/>
      <c r="BG20" s="490" t="str">
        <f t="shared" si="0"/>
        <v/>
      </c>
      <c r="BH20" s="490" t="str">
        <f t="shared" si="1"/>
        <v/>
      </c>
      <c r="BI20" s="490" t="str">
        <f t="shared" si="2"/>
        <v/>
      </c>
      <c r="BJ20" s="491" t="str">
        <f t="shared" si="3"/>
        <v/>
      </c>
      <c r="BK20" s="492" t="str">
        <f t="shared" si="4"/>
        <v/>
      </c>
    </row>
    <row r="21" spans="1:63" x14ac:dyDescent="0.25">
      <c r="A21" s="72"/>
      <c r="B21" s="82">
        <v>7</v>
      </c>
      <c r="C21" s="604" t="str">
        <f>'C. FILIACION'!C20</f>
        <v>BALBOA  PAZ ANTHONY JR</v>
      </c>
      <c r="D21" s="604"/>
      <c r="E21" s="262"/>
      <c r="F21" s="262"/>
      <c r="G21" s="262"/>
      <c r="H21" s="262"/>
      <c r="I21" s="262"/>
      <c r="J21" s="262"/>
      <c r="K21" s="262"/>
      <c r="L21" s="262"/>
      <c r="M21" s="262"/>
      <c r="N21" s="262"/>
      <c r="O21" s="262"/>
      <c r="P21" s="262"/>
      <c r="Q21" s="262"/>
      <c r="R21" s="262"/>
      <c r="S21" s="262"/>
      <c r="T21" s="262"/>
      <c r="U21" s="262"/>
      <c r="V21" s="262"/>
      <c r="W21" s="262"/>
      <c r="X21" s="262"/>
      <c r="Y21" s="262"/>
      <c r="Z21" s="262"/>
      <c r="AA21" s="262"/>
      <c r="AB21" s="262"/>
      <c r="AC21" s="262"/>
      <c r="AD21" s="262"/>
      <c r="AE21" s="262"/>
      <c r="AF21" s="262"/>
      <c r="AG21" s="262"/>
      <c r="AH21" s="262"/>
      <c r="AI21" s="262"/>
      <c r="AJ21" s="262"/>
      <c r="AK21" s="262"/>
      <c r="AL21" s="262"/>
      <c r="AM21" s="262"/>
      <c r="AN21" s="262"/>
      <c r="AO21" s="262"/>
      <c r="AP21" s="262"/>
      <c r="AQ21" s="262"/>
      <c r="AR21" s="262"/>
      <c r="AS21" s="262"/>
      <c r="AT21" s="262"/>
      <c r="AU21" s="262"/>
      <c r="AV21" s="262"/>
      <c r="AW21" s="262"/>
      <c r="AX21" s="262"/>
      <c r="AY21" s="262"/>
      <c r="AZ21" s="262"/>
      <c r="BA21" s="262"/>
      <c r="BB21" s="262"/>
      <c r="BC21" s="262"/>
      <c r="BD21" s="262"/>
      <c r="BE21" s="262"/>
      <c r="BF21" s="263"/>
      <c r="BG21" s="490" t="str">
        <f t="shared" si="0"/>
        <v/>
      </c>
      <c r="BH21" s="490" t="str">
        <f t="shared" si="1"/>
        <v/>
      </c>
      <c r="BI21" s="490" t="str">
        <f t="shared" si="2"/>
        <v/>
      </c>
      <c r="BJ21" s="491" t="str">
        <f t="shared" si="3"/>
        <v/>
      </c>
      <c r="BK21" s="492" t="str">
        <f t="shared" si="4"/>
        <v/>
      </c>
    </row>
    <row r="22" spans="1:63" x14ac:dyDescent="0.25">
      <c r="A22" s="72"/>
      <c r="B22" s="82">
        <v>8</v>
      </c>
      <c r="C22" s="604" t="str">
        <f>'C. FILIACION'!C21</f>
        <v>CAMACHO SALGADO LEONARDO</v>
      </c>
      <c r="D22" s="604"/>
      <c r="E22" s="262"/>
      <c r="F22" s="262"/>
      <c r="G22" s="262"/>
      <c r="H22" s="262"/>
      <c r="I22" s="262"/>
      <c r="J22" s="262"/>
      <c r="K22" s="262"/>
      <c r="L22" s="262"/>
      <c r="M22" s="262"/>
      <c r="N22" s="262"/>
      <c r="O22" s="262"/>
      <c r="P22" s="262"/>
      <c r="Q22" s="262"/>
      <c r="R22" s="262"/>
      <c r="S22" s="262"/>
      <c r="T22" s="262"/>
      <c r="U22" s="262"/>
      <c r="V22" s="262"/>
      <c r="W22" s="262"/>
      <c r="X22" s="262"/>
      <c r="Y22" s="262"/>
      <c r="Z22" s="262"/>
      <c r="AA22" s="262"/>
      <c r="AB22" s="262"/>
      <c r="AC22" s="262"/>
      <c r="AD22" s="262"/>
      <c r="AE22" s="262"/>
      <c r="AF22" s="262"/>
      <c r="AG22" s="262"/>
      <c r="AH22" s="262"/>
      <c r="AI22" s="262"/>
      <c r="AJ22" s="262"/>
      <c r="AK22" s="262"/>
      <c r="AL22" s="262"/>
      <c r="AM22" s="262"/>
      <c r="AN22" s="262"/>
      <c r="AO22" s="262"/>
      <c r="AP22" s="262"/>
      <c r="AQ22" s="262"/>
      <c r="AR22" s="262"/>
      <c r="AS22" s="262"/>
      <c r="AT22" s="262"/>
      <c r="AU22" s="262"/>
      <c r="AV22" s="262"/>
      <c r="AW22" s="262"/>
      <c r="AX22" s="262"/>
      <c r="AY22" s="262"/>
      <c r="AZ22" s="262"/>
      <c r="BA22" s="262"/>
      <c r="BB22" s="262"/>
      <c r="BC22" s="262"/>
      <c r="BD22" s="262"/>
      <c r="BE22" s="262"/>
      <c r="BF22" s="263"/>
      <c r="BG22" s="490" t="str">
        <f t="shared" si="0"/>
        <v/>
      </c>
      <c r="BH22" s="490" t="str">
        <f t="shared" si="1"/>
        <v/>
      </c>
      <c r="BI22" s="490" t="str">
        <f t="shared" si="2"/>
        <v/>
      </c>
      <c r="BJ22" s="491" t="str">
        <f t="shared" si="3"/>
        <v/>
      </c>
      <c r="BK22" s="492" t="str">
        <f t="shared" si="4"/>
        <v/>
      </c>
    </row>
    <row r="23" spans="1:63" x14ac:dyDescent="0.25">
      <c r="A23" s="72"/>
      <c r="B23" s="82">
        <v>9</v>
      </c>
      <c r="C23" s="604" t="str">
        <f>'C. FILIACION'!C22</f>
        <v>CARRION MARGUAY FABIANA ALEXANDRA</v>
      </c>
      <c r="D23" s="604"/>
      <c r="E23" s="262"/>
      <c r="F23" s="262"/>
      <c r="G23" s="262"/>
      <c r="H23" s="262"/>
      <c r="I23" s="262"/>
      <c r="J23" s="262"/>
      <c r="K23" s="262"/>
      <c r="L23" s="262"/>
      <c r="M23" s="262"/>
      <c r="N23" s="262"/>
      <c r="O23" s="262"/>
      <c r="P23" s="262"/>
      <c r="Q23" s="262"/>
      <c r="R23" s="262"/>
      <c r="S23" s="262"/>
      <c r="T23" s="262"/>
      <c r="U23" s="262"/>
      <c r="V23" s="262"/>
      <c r="W23" s="262"/>
      <c r="X23" s="262"/>
      <c r="Y23" s="262"/>
      <c r="Z23" s="262"/>
      <c r="AA23" s="262"/>
      <c r="AB23" s="262"/>
      <c r="AC23" s="262"/>
      <c r="AD23" s="262"/>
      <c r="AE23" s="262"/>
      <c r="AF23" s="262"/>
      <c r="AG23" s="262"/>
      <c r="AH23" s="262"/>
      <c r="AI23" s="262"/>
      <c r="AJ23" s="262"/>
      <c r="AK23" s="262"/>
      <c r="AL23" s="262"/>
      <c r="AM23" s="262"/>
      <c r="AN23" s="262"/>
      <c r="AO23" s="262"/>
      <c r="AP23" s="262"/>
      <c r="AQ23" s="262"/>
      <c r="AR23" s="262"/>
      <c r="AS23" s="262"/>
      <c r="AT23" s="262"/>
      <c r="AU23" s="262"/>
      <c r="AV23" s="262"/>
      <c r="AW23" s="262"/>
      <c r="AX23" s="262"/>
      <c r="AY23" s="262"/>
      <c r="AZ23" s="262"/>
      <c r="BA23" s="262"/>
      <c r="BB23" s="262"/>
      <c r="BC23" s="262"/>
      <c r="BD23" s="262"/>
      <c r="BE23" s="262"/>
      <c r="BF23" s="263"/>
      <c r="BG23" s="490" t="str">
        <f t="shared" si="0"/>
        <v/>
      </c>
      <c r="BH23" s="490" t="str">
        <f t="shared" si="1"/>
        <v/>
      </c>
      <c r="BI23" s="490" t="str">
        <f t="shared" si="2"/>
        <v/>
      </c>
      <c r="BJ23" s="491" t="str">
        <f t="shared" si="3"/>
        <v/>
      </c>
      <c r="BK23" s="492" t="str">
        <f t="shared" si="4"/>
        <v/>
      </c>
    </row>
    <row r="24" spans="1:63" x14ac:dyDescent="0.25">
      <c r="A24" s="72"/>
      <c r="B24" s="82">
        <v>10</v>
      </c>
      <c r="C24" s="604" t="str">
        <f>'C. FILIACION'!C23</f>
        <v>CAYO CALLE JUAN PABLO</v>
      </c>
      <c r="D24" s="604"/>
      <c r="E24" s="262"/>
      <c r="F24" s="262"/>
      <c r="G24" s="262"/>
      <c r="H24" s="262"/>
      <c r="I24" s="262"/>
      <c r="J24" s="262"/>
      <c r="K24" s="262"/>
      <c r="L24" s="262"/>
      <c r="M24" s="262"/>
      <c r="N24" s="262"/>
      <c r="O24" s="262"/>
      <c r="P24" s="262"/>
      <c r="Q24" s="262"/>
      <c r="R24" s="262"/>
      <c r="S24" s="262"/>
      <c r="T24" s="262"/>
      <c r="U24" s="262"/>
      <c r="V24" s="262"/>
      <c r="W24" s="262"/>
      <c r="X24" s="262"/>
      <c r="Y24" s="262"/>
      <c r="Z24" s="262"/>
      <c r="AA24" s="262"/>
      <c r="AB24" s="262"/>
      <c r="AC24" s="262"/>
      <c r="AD24" s="262"/>
      <c r="AE24" s="262"/>
      <c r="AF24" s="262"/>
      <c r="AG24" s="262"/>
      <c r="AH24" s="262"/>
      <c r="AI24" s="262"/>
      <c r="AJ24" s="262"/>
      <c r="AK24" s="262"/>
      <c r="AL24" s="262"/>
      <c r="AM24" s="262"/>
      <c r="AN24" s="262"/>
      <c r="AO24" s="262"/>
      <c r="AP24" s="262"/>
      <c r="AQ24" s="262"/>
      <c r="AR24" s="262"/>
      <c r="AS24" s="262"/>
      <c r="AT24" s="262"/>
      <c r="AU24" s="262"/>
      <c r="AV24" s="262"/>
      <c r="AW24" s="262"/>
      <c r="AX24" s="262"/>
      <c r="AY24" s="262"/>
      <c r="AZ24" s="262"/>
      <c r="BA24" s="262"/>
      <c r="BB24" s="262"/>
      <c r="BC24" s="262"/>
      <c r="BD24" s="262"/>
      <c r="BE24" s="262"/>
      <c r="BF24" s="263"/>
      <c r="BG24" s="490" t="str">
        <f t="shared" si="0"/>
        <v/>
      </c>
      <c r="BH24" s="490" t="str">
        <f t="shared" si="1"/>
        <v/>
      </c>
      <c r="BI24" s="490" t="str">
        <f t="shared" si="2"/>
        <v/>
      </c>
      <c r="BJ24" s="491" t="str">
        <f t="shared" si="3"/>
        <v/>
      </c>
      <c r="BK24" s="492" t="str">
        <f t="shared" si="4"/>
        <v/>
      </c>
    </row>
    <row r="25" spans="1:63" x14ac:dyDescent="0.25">
      <c r="A25" s="72"/>
      <c r="B25" s="82">
        <v>11</v>
      </c>
      <c r="C25" s="604" t="str">
        <f>'C. FILIACION'!C24</f>
        <v>CONDE ZARATE ASHLY OTHANY</v>
      </c>
      <c r="D25" s="604"/>
      <c r="E25" s="262"/>
      <c r="F25" s="262"/>
      <c r="G25" s="262"/>
      <c r="H25" s="262"/>
      <c r="I25" s="262"/>
      <c r="J25" s="262"/>
      <c r="K25" s="262"/>
      <c r="L25" s="262"/>
      <c r="M25" s="262"/>
      <c r="N25" s="262"/>
      <c r="O25" s="262"/>
      <c r="P25" s="262"/>
      <c r="Q25" s="262"/>
      <c r="R25" s="262"/>
      <c r="S25" s="262"/>
      <c r="T25" s="262"/>
      <c r="U25" s="262"/>
      <c r="V25" s="262"/>
      <c r="W25" s="262"/>
      <c r="X25" s="262"/>
      <c r="Y25" s="262"/>
      <c r="Z25" s="262"/>
      <c r="AA25" s="262"/>
      <c r="AB25" s="262"/>
      <c r="AC25" s="262"/>
      <c r="AD25" s="262"/>
      <c r="AE25" s="262"/>
      <c r="AF25" s="262"/>
      <c r="AG25" s="262"/>
      <c r="AH25" s="262"/>
      <c r="AI25" s="262"/>
      <c r="AJ25" s="262"/>
      <c r="AK25" s="262"/>
      <c r="AL25" s="262"/>
      <c r="AM25" s="262"/>
      <c r="AN25" s="262"/>
      <c r="AO25" s="262"/>
      <c r="AP25" s="262"/>
      <c r="AQ25" s="262"/>
      <c r="AR25" s="262"/>
      <c r="AS25" s="262"/>
      <c r="AT25" s="262"/>
      <c r="AU25" s="262"/>
      <c r="AV25" s="262"/>
      <c r="AW25" s="262"/>
      <c r="AX25" s="262"/>
      <c r="AY25" s="262"/>
      <c r="AZ25" s="262"/>
      <c r="BA25" s="262"/>
      <c r="BB25" s="262"/>
      <c r="BC25" s="262"/>
      <c r="BD25" s="262"/>
      <c r="BE25" s="262"/>
      <c r="BF25" s="263"/>
      <c r="BG25" s="490" t="str">
        <f t="shared" si="0"/>
        <v/>
      </c>
      <c r="BH25" s="490" t="str">
        <f t="shared" si="1"/>
        <v/>
      </c>
      <c r="BI25" s="490" t="str">
        <f t="shared" si="2"/>
        <v/>
      </c>
      <c r="BJ25" s="491" t="str">
        <f t="shared" si="3"/>
        <v/>
      </c>
      <c r="BK25" s="492" t="str">
        <f t="shared" si="4"/>
        <v/>
      </c>
    </row>
    <row r="26" spans="1:63" x14ac:dyDescent="0.25">
      <c r="A26" s="72"/>
      <c r="B26" s="82">
        <v>12</v>
      </c>
      <c r="C26" s="604" t="str">
        <f>'C. FILIACION'!C25</f>
        <v>CORTEZ RODRIGUEZ  GONZALO AXCELL</v>
      </c>
      <c r="D26" s="604"/>
      <c r="E26" s="262"/>
      <c r="F26" s="262"/>
      <c r="G26" s="262"/>
      <c r="H26" s="262"/>
      <c r="I26" s="262"/>
      <c r="J26" s="262"/>
      <c r="K26" s="262"/>
      <c r="L26" s="262"/>
      <c r="M26" s="262"/>
      <c r="N26" s="262"/>
      <c r="O26" s="262"/>
      <c r="P26" s="262"/>
      <c r="Q26" s="262"/>
      <c r="R26" s="262"/>
      <c r="S26" s="262"/>
      <c r="T26" s="262"/>
      <c r="U26" s="262"/>
      <c r="V26" s="262"/>
      <c r="W26" s="262"/>
      <c r="X26" s="262"/>
      <c r="Y26" s="262"/>
      <c r="Z26" s="262"/>
      <c r="AA26" s="262"/>
      <c r="AB26" s="262"/>
      <c r="AC26" s="262"/>
      <c r="AD26" s="262"/>
      <c r="AE26" s="262"/>
      <c r="AF26" s="262"/>
      <c r="AG26" s="262"/>
      <c r="AH26" s="262"/>
      <c r="AI26" s="262"/>
      <c r="AJ26" s="262"/>
      <c r="AK26" s="262"/>
      <c r="AL26" s="262"/>
      <c r="AM26" s="262"/>
      <c r="AN26" s="262"/>
      <c r="AO26" s="262"/>
      <c r="AP26" s="262"/>
      <c r="AQ26" s="262"/>
      <c r="AR26" s="262"/>
      <c r="AS26" s="262"/>
      <c r="AT26" s="262"/>
      <c r="AU26" s="262"/>
      <c r="AV26" s="262"/>
      <c r="AW26" s="262"/>
      <c r="AX26" s="262"/>
      <c r="AY26" s="262"/>
      <c r="AZ26" s="262"/>
      <c r="BA26" s="262"/>
      <c r="BB26" s="262"/>
      <c r="BC26" s="262"/>
      <c r="BD26" s="262"/>
      <c r="BE26" s="262"/>
      <c r="BF26" s="263"/>
      <c r="BG26" s="490" t="str">
        <f t="shared" si="0"/>
        <v/>
      </c>
      <c r="BH26" s="490" t="str">
        <f t="shared" si="1"/>
        <v/>
      </c>
      <c r="BI26" s="490" t="str">
        <f t="shared" si="2"/>
        <v/>
      </c>
      <c r="BJ26" s="491" t="str">
        <f t="shared" si="3"/>
        <v/>
      </c>
      <c r="BK26" s="492" t="str">
        <f t="shared" si="4"/>
        <v/>
      </c>
    </row>
    <row r="27" spans="1:63" x14ac:dyDescent="0.25">
      <c r="A27" s="72"/>
      <c r="B27" s="82">
        <v>13</v>
      </c>
      <c r="C27" s="604" t="str">
        <f>'C. FILIACION'!C26</f>
        <v>HILAYA  TORREZ CARLA JHULIANA</v>
      </c>
      <c r="D27" s="604"/>
      <c r="E27" s="262"/>
      <c r="F27" s="262"/>
      <c r="G27" s="262"/>
      <c r="H27" s="262"/>
      <c r="I27" s="262"/>
      <c r="J27" s="262"/>
      <c r="K27" s="262"/>
      <c r="L27" s="262"/>
      <c r="M27" s="262"/>
      <c r="N27" s="262"/>
      <c r="O27" s="262"/>
      <c r="P27" s="262"/>
      <c r="Q27" s="262"/>
      <c r="R27" s="262"/>
      <c r="S27" s="262"/>
      <c r="T27" s="262"/>
      <c r="U27" s="262"/>
      <c r="V27" s="262"/>
      <c r="W27" s="262"/>
      <c r="X27" s="262"/>
      <c r="Y27" s="262"/>
      <c r="Z27" s="262"/>
      <c r="AA27" s="262"/>
      <c r="AB27" s="262"/>
      <c r="AC27" s="262"/>
      <c r="AD27" s="262"/>
      <c r="AE27" s="262"/>
      <c r="AF27" s="262"/>
      <c r="AG27" s="262"/>
      <c r="AH27" s="262"/>
      <c r="AI27" s="262"/>
      <c r="AJ27" s="262"/>
      <c r="AK27" s="262"/>
      <c r="AL27" s="262"/>
      <c r="AM27" s="262"/>
      <c r="AN27" s="262"/>
      <c r="AO27" s="262"/>
      <c r="AP27" s="262"/>
      <c r="AQ27" s="262"/>
      <c r="AR27" s="262"/>
      <c r="AS27" s="262"/>
      <c r="AT27" s="262"/>
      <c r="AU27" s="262"/>
      <c r="AV27" s="262"/>
      <c r="AW27" s="262"/>
      <c r="AX27" s="262"/>
      <c r="AY27" s="262"/>
      <c r="AZ27" s="262"/>
      <c r="BA27" s="262"/>
      <c r="BB27" s="262"/>
      <c r="BC27" s="262"/>
      <c r="BD27" s="262"/>
      <c r="BE27" s="262"/>
      <c r="BF27" s="263"/>
      <c r="BG27" s="490" t="str">
        <f t="shared" si="0"/>
        <v/>
      </c>
      <c r="BH27" s="490" t="str">
        <f t="shared" si="1"/>
        <v/>
      </c>
      <c r="BI27" s="490" t="str">
        <f t="shared" si="2"/>
        <v/>
      </c>
      <c r="BJ27" s="491" t="str">
        <f t="shared" si="3"/>
        <v/>
      </c>
      <c r="BK27" s="492" t="str">
        <f t="shared" si="4"/>
        <v/>
      </c>
    </row>
    <row r="28" spans="1:63" x14ac:dyDescent="0.25">
      <c r="A28" s="72"/>
      <c r="B28" s="82">
        <v>14</v>
      </c>
      <c r="C28" s="604" t="str">
        <f>'C. FILIACION'!C27</f>
        <v>HUANCA CALLISAYA  PATRICIA</v>
      </c>
      <c r="D28" s="604"/>
      <c r="E28" s="262"/>
      <c r="F28" s="262"/>
      <c r="G28" s="262"/>
      <c r="H28" s="262"/>
      <c r="I28" s="262"/>
      <c r="J28" s="262"/>
      <c r="K28" s="262"/>
      <c r="L28" s="262"/>
      <c r="M28" s="262"/>
      <c r="N28" s="262"/>
      <c r="O28" s="262"/>
      <c r="P28" s="262"/>
      <c r="Q28" s="262"/>
      <c r="R28" s="262"/>
      <c r="S28" s="262"/>
      <c r="T28" s="262"/>
      <c r="U28" s="262"/>
      <c r="V28" s="262"/>
      <c r="W28" s="262"/>
      <c r="X28" s="262"/>
      <c r="Y28" s="262"/>
      <c r="Z28" s="262"/>
      <c r="AA28" s="262"/>
      <c r="AB28" s="262"/>
      <c r="AC28" s="262"/>
      <c r="AD28" s="262"/>
      <c r="AE28" s="262"/>
      <c r="AF28" s="262"/>
      <c r="AG28" s="262"/>
      <c r="AH28" s="262"/>
      <c r="AI28" s="262"/>
      <c r="AJ28" s="262"/>
      <c r="AK28" s="262"/>
      <c r="AL28" s="262"/>
      <c r="AM28" s="262"/>
      <c r="AN28" s="262"/>
      <c r="AO28" s="262"/>
      <c r="AP28" s="262"/>
      <c r="AQ28" s="262"/>
      <c r="AR28" s="262"/>
      <c r="AS28" s="262"/>
      <c r="AT28" s="262"/>
      <c r="AU28" s="262"/>
      <c r="AV28" s="262"/>
      <c r="AW28" s="262"/>
      <c r="AX28" s="262"/>
      <c r="AY28" s="262"/>
      <c r="AZ28" s="262"/>
      <c r="BA28" s="262"/>
      <c r="BB28" s="262"/>
      <c r="BC28" s="262"/>
      <c r="BD28" s="262"/>
      <c r="BE28" s="262"/>
      <c r="BF28" s="263"/>
      <c r="BG28" s="490" t="str">
        <f t="shared" si="0"/>
        <v/>
      </c>
      <c r="BH28" s="490" t="str">
        <f t="shared" si="1"/>
        <v/>
      </c>
      <c r="BI28" s="490" t="str">
        <f t="shared" si="2"/>
        <v/>
      </c>
      <c r="BJ28" s="491" t="str">
        <f t="shared" si="3"/>
        <v/>
      </c>
      <c r="BK28" s="492" t="str">
        <f t="shared" si="4"/>
        <v/>
      </c>
    </row>
    <row r="29" spans="1:63" x14ac:dyDescent="0.25">
      <c r="A29" s="72"/>
      <c r="B29" s="82">
        <v>15</v>
      </c>
      <c r="C29" s="604" t="str">
        <f>'C. FILIACION'!C28</f>
        <v>LIMACHI RADA GERMAN DOMINGO</v>
      </c>
      <c r="D29" s="604"/>
      <c r="E29" s="262"/>
      <c r="F29" s="262"/>
      <c r="G29" s="262"/>
      <c r="H29" s="262"/>
      <c r="I29" s="262"/>
      <c r="J29" s="262"/>
      <c r="K29" s="262"/>
      <c r="L29" s="262"/>
      <c r="M29" s="262"/>
      <c r="N29" s="262"/>
      <c r="O29" s="262"/>
      <c r="P29" s="262"/>
      <c r="Q29" s="262"/>
      <c r="R29" s="262"/>
      <c r="S29" s="262"/>
      <c r="T29" s="262"/>
      <c r="U29" s="262"/>
      <c r="V29" s="262"/>
      <c r="W29" s="262"/>
      <c r="X29" s="262"/>
      <c r="Y29" s="262"/>
      <c r="Z29" s="262"/>
      <c r="AA29" s="262"/>
      <c r="AB29" s="262"/>
      <c r="AC29" s="262"/>
      <c r="AD29" s="262"/>
      <c r="AE29" s="262"/>
      <c r="AF29" s="262"/>
      <c r="AG29" s="262"/>
      <c r="AH29" s="262"/>
      <c r="AI29" s="262"/>
      <c r="AJ29" s="262"/>
      <c r="AK29" s="262"/>
      <c r="AL29" s="262"/>
      <c r="AM29" s="262"/>
      <c r="AN29" s="262"/>
      <c r="AO29" s="262"/>
      <c r="AP29" s="262"/>
      <c r="AQ29" s="262"/>
      <c r="AR29" s="262"/>
      <c r="AS29" s="262"/>
      <c r="AT29" s="262"/>
      <c r="AU29" s="262"/>
      <c r="AV29" s="262"/>
      <c r="AW29" s="262"/>
      <c r="AX29" s="262"/>
      <c r="AY29" s="262"/>
      <c r="AZ29" s="262"/>
      <c r="BA29" s="262"/>
      <c r="BB29" s="262"/>
      <c r="BC29" s="262"/>
      <c r="BD29" s="262"/>
      <c r="BE29" s="262"/>
      <c r="BF29" s="263"/>
      <c r="BG29" s="490" t="str">
        <f t="shared" si="0"/>
        <v/>
      </c>
      <c r="BH29" s="490" t="str">
        <f t="shared" si="1"/>
        <v/>
      </c>
      <c r="BI29" s="490" t="str">
        <f t="shared" si="2"/>
        <v/>
      </c>
      <c r="BJ29" s="491" t="str">
        <f t="shared" si="3"/>
        <v/>
      </c>
      <c r="BK29" s="492" t="str">
        <f t="shared" si="4"/>
        <v/>
      </c>
    </row>
    <row r="30" spans="1:63" x14ac:dyDescent="0.25">
      <c r="A30" s="72"/>
      <c r="B30" s="82">
        <v>16</v>
      </c>
      <c r="C30" s="604" t="str">
        <f>'C. FILIACION'!C29</f>
        <v>MANTILLA SANCHEZ CAROLINA VALERIA</v>
      </c>
      <c r="D30" s="604"/>
      <c r="E30" s="262"/>
      <c r="F30" s="262"/>
      <c r="G30" s="262"/>
      <c r="H30" s="262"/>
      <c r="I30" s="262"/>
      <c r="J30" s="262"/>
      <c r="K30" s="262"/>
      <c r="L30" s="262"/>
      <c r="M30" s="262"/>
      <c r="N30" s="262"/>
      <c r="O30" s="262"/>
      <c r="P30" s="262"/>
      <c r="Q30" s="262"/>
      <c r="R30" s="262"/>
      <c r="S30" s="262"/>
      <c r="T30" s="262"/>
      <c r="U30" s="262"/>
      <c r="V30" s="262"/>
      <c r="W30" s="262"/>
      <c r="X30" s="262"/>
      <c r="Y30" s="262"/>
      <c r="Z30" s="262"/>
      <c r="AA30" s="262"/>
      <c r="AB30" s="262"/>
      <c r="AC30" s="262"/>
      <c r="AD30" s="262"/>
      <c r="AE30" s="262"/>
      <c r="AF30" s="262"/>
      <c r="AG30" s="262"/>
      <c r="AH30" s="262"/>
      <c r="AI30" s="262"/>
      <c r="AJ30" s="262"/>
      <c r="AK30" s="262"/>
      <c r="AL30" s="262"/>
      <c r="AM30" s="262"/>
      <c r="AN30" s="262"/>
      <c r="AO30" s="262"/>
      <c r="AP30" s="262"/>
      <c r="AQ30" s="262"/>
      <c r="AR30" s="262"/>
      <c r="AS30" s="262"/>
      <c r="AT30" s="262"/>
      <c r="AU30" s="262"/>
      <c r="AV30" s="262"/>
      <c r="AW30" s="262"/>
      <c r="AX30" s="262"/>
      <c r="AY30" s="262"/>
      <c r="AZ30" s="262"/>
      <c r="BA30" s="262"/>
      <c r="BB30" s="262"/>
      <c r="BC30" s="262"/>
      <c r="BD30" s="262"/>
      <c r="BE30" s="262"/>
      <c r="BF30" s="263"/>
      <c r="BG30" s="490" t="str">
        <f t="shared" si="0"/>
        <v/>
      </c>
      <c r="BH30" s="490" t="str">
        <f t="shared" si="1"/>
        <v/>
      </c>
      <c r="BI30" s="490" t="str">
        <f t="shared" si="2"/>
        <v/>
      </c>
      <c r="BJ30" s="491" t="str">
        <f t="shared" si="3"/>
        <v/>
      </c>
      <c r="BK30" s="492" t="str">
        <f t="shared" si="4"/>
        <v/>
      </c>
    </row>
    <row r="31" spans="1:63" x14ac:dyDescent="0.25">
      <c r="A31" s="72"/>
      <c r="B31" s="82">
        <v>17</v>
      </c>
      <c r="C31" s="604" t="str">
        <f>'C. FILIACION'!C30</f>
        <v>MULLER  ESCOBAR MARCIA BIBIANA</v>
      </c>
      <c r="D31" s="604"/>
      <c r="E31" s="262"/>
      <c r="F31" s="262"/>
      <c r="G31" s="262"/>
      <c r="H31" s="262"/>
      <c r="I31" s="262"/>
      <c r="J31" s="262"/>
      <c r="K31" s="262"/>
      <c r="L31" s="262"/>
      <c r="M31" s="262"/>
      <c r="N31" s="262"/>
      <c r="O31" s="262"/>
      <c r="P31" s="262"/>
      <c r="Q31" s="262"/>
      <c r="R31" s="262"/>
      <c r="S31" s="262"/>
      <c r="T31" s="262"/>
      <c r="U31" s="262"/>
      <c r="V31" s="262"/>
      <c r="W31" s="262"/>
      <c r="X31" s="262"/>
      <c r="Y31" s="262"/>
      <c r="Z31" s="262"/>
      <c r="AA31" s="262"/>
      <c r="AB31" s="262"/>
      <c r="AC31" s="262"/>
      <c r="AD31" s="262"/>
      <c r="AE31" s="262"/>
      <c r="AF31" s="262"/>
      <c r="AG31" s="262"/>
      <c r="AH31" s="262"/>
      <c r="AI31" s="262"/>
      <c r="AJ31" s="262"/>
      <c r="AK31" s="262"/>
      <c r="AL31" s="262"/>
      <c r="AM31" s="262"/>
      <c r="AN31" s="262"/>
      <c r="AO31" s="262"/>
      <c r="AP31" s="262"/>
      <c r="AQ31" s="262"/>
      <c r="AR31" s="262"/>
      <c r="AS31" s="262"/>
      <c r="AT31" s="262"/>
      <c r="AU31" s="262"/>
      <c r="AV31" s="262"/>
      <c r="AW31" s="262"/>
      <c r="AX31" s="262"/>
      <c r="AY31" s="262"/>
      <c r="AZ31" s="262"/>
      <c r="BA31" s="262"/>
      <c r="BB31" s="262"/>
      <c r="BC31" s="262"/>
      <c r="BD31" s="262"/>
      <c r="BE31" s="262"/>
      <c r="BF31" s="263"/>
      <c r="BG31" s="490" t="str">
        <f t="shared" si="0"/>
        <v/>
      </c>
      <c r="BH31" s="490" t="str">
        <f t="shared" si="1"/>
        <v/>
      </c>
      <c r="BI31" s="490" t="str">
        <f t="shared" si="2"/>
        <v/>
      </c>
      <c r="BJ31" s="491" t="str">
        <f t="shared" si="3"/>
        <v/>
      </c>
      <c r="BK31" s="492" t="str">
        <f t="shared" si="4"/>
        <v/>
      </c>
    </row>
    <row r="32" spans="1:63" x14ac:dyDescent="0.25">
      <c r="A32" s="72"/>
      <c r="B32" s="82">
        <v>18</v>
      </c>
      <c r="C32" s="604" t="str">
        <f>'C. FILIACION'!C31</f>
        <v xml:space="preserve">POMA MAMANI ADRIAN </v>
      </c>
      <c r="D32" s="604"/>
      <c r="E32" s="262"/>
      <c r="F32" s="262"/>
      <c r="G32" s="262"/>
      <c r="H32" s="262"/>
      <c r="I32" s="262"/>
      <c r="J32" s="262"/>
      <c r="K32" s="262"/>
      <c r="L32" s="262"/>
      <c r="M32" s="262"/>
      <c r="N32" s="262"/>
      <c r="O32" s="262"/>
      <c r="P32" s="262"/>
      <c r="Q32" s="262"/>
      <c r="R32" s="262"/>
      <c r="S32" s="262"/>
      <c r="T32" s="262"/>
      <c r="U32" s="262"/>
      <c r="V32" s="262"/>
      <c r="W32" s="262"/>
      <c r="X32" s="262"/>
      <c r="Y32" s="262"/>
      <c r="Z32" s="262"/>
      <c r="AA32" s="262"/>
      <c r="AB32" s="262"/>
      <c r="AC32" s="262"/>
      <c r="AD32" s="262"/>
      <c r="AE32" s="262"/>
      <c r="AF32" s="262"/>
      <c r="AG32" s="262"/>
      <c r="AH32" s="262"/>
      <c r="AI32" s="262"/>
      <c r="AJ32" s="262"/>
      <c r="AK32" s="262"/>
      <c r="AL32" s="262"/>
      <c r="AM32" s="262"/>
      <c r="AN32" s="262"/>
      <c r="AO32" s="262"/>
      <c r="AP32" s="262"/>
      <c r="AQ32" s="262"/>
      <c r="AR32" s="262"/>
      <c r="AS32" s="262"/>
      <c r="AT32" s="262"/>
      <c r="AU32" s="262"/>
      <c r="AV32" s="262"/>
      <c r="AW32" s="262"/>
      <c r="AX32" s="262"/>
      <c r="AY32" s="262"/>
      <c r="AZ32" s="262"/>
      <c r="BA32" s="262"/>
      <c r="BB32" s="262"/>
      <c r="BC32" s="262"/>
      <c r="BD32" s="262"/>
      <c r="BE32" s="262"/>
      <c r="BF32" s="263"/>
      <c r="BG32" s="490" t="str">
        <f t="shared" si="0"/>
        <v/>
      </c>
      <c r="BH32" s="490" t="str">
        <f t="shared" si="1"/>
        <v/>
      </c>
      <c r="BI32" s="490" t="str">
        <f t="shared" si="2"/>
        <v/>
      </c>
      <c r="BJ32" s="491" t="str">
        <f t="shared" si="3"/>
        <v/>
      </c>
      <c r="BK32" s="492" t="str">
        <f t="shared" si="4"/>
        <v/>
      </c>
    </row>
    <row r="33" spans="1:63" x14ac:dyDescent="0.25">
      <c r="A33" s="72"/>
      <c r="B33" s="82">
        <v>19</v>
      </c>
      <c r="C33" s="604" t="str">
        <f>'C. FILIACION'!C32</f>
        <v>PORTILLO  JALJA JHOSEP ERLAN</v>
      </c>
      <c r="D33" s="604"/>
      <c r="E33" s="262"/>
      <c r="F33" s="262"/>
      <c r="G33" s="262"/>
      <c r="H33" s="262"/>
      <c r="I33" s="262"/>
      <c r="J33" s="262"/>
      <c r="K33" s="262"/>
      <c r="L33" s="262"/>
      <c r="M33" s="262"/>
      <c r="N33" s="262"/>
      <c r="O33" s="262"/>
      <c r="P33" s="262"/>
      <c r="Q33" s="262"/>
      <c r="R33" s="262"/>
      <c r="S33" s="262"/>
      <c r="T33" s="262"/>
      <c r="U33" s="262"/>
      <c r="V33" s="262"/>
      <c r="W33" s="262"/>
      <c r="X33" s="262"/>
      <c r="Y33" s="262"/>
      <c r="Z33" s="262"/>
      <c r="AA33" s="262"/>
      <c r="AB33" s="262"/>
      <c r="AC33" s="262"/>
      <c r="AD33" s="262"/>
      <c r="AE33" s="262"/>
      <c r="AF33" s="262"/>
      <c r="AG33" s="262"/>
      <c r="AH33" s="262"/>
      <c r="AI33" s="262"/>
      <c r="AJ33" s="262"/>
      <c r="AK33" s="262"/>
      <c r="AL33" s="262"/>
      <c r="AM33" s="262"/>
      <c r="AN33" s="262"/>
      <c r="AO33" s="262"/>
      <c r="AP33" s="262"/>
      <c r="AQ33" s="262"/>
      <c r="AR33" s="262"/>
      <c r="AS33" s="262"/>
      <c r="AT33" s="262"/>
      <c r="AU33" s="262"/>
      <c r="AV33" s="262"/>
      <c r="AW33" s="262"/>
      <c r="AX33" s="262"/>
      <c r="AY33" s="262"/>
      <c r="AZ33" s="262"/>
      <c r="BA33" s="262"/>
      <c r="BB33" s="262"/>
      <c r="BC33" s="262"/>
      <c r="BD33" s="262"/>
      <c r="BE33" s="262"/>
      <c r="BF33" s="263"/>
      <c r="BG33" s="490" t="str">
        <f t="shared" si="0"/>
        <v/>
      </c>
      <c r="BH33" s="490" t="str">
        <f t="shared" si="1"/>
        <v/>
      </c>
      <c r="BI33" s="490" t="str">
        <f t="shared" si="2"/>
        <v/>
      </c>
      <c r="BJ33" s="491" t="str">
        <f t="shared" si="3"/>
        <v/>
      </c>
      <c r="BK33" s="492" t="str">
        <f t="shared" si="4"/>
        <v/>
      </c>
    </row>
    <row r="34" spans="1:63" x14ac:dyDescent="0.25">
      <c r="A34" s="72"/>
      <c r="B34" s="82">
        <v>20</v>
      </c>
      <c r="C34" s="604" t="str">
        <f>'C. FILIACION'!C33</f>
        <v>PUJRO  CHAUCA DIANA MARIBEL</v>
      </c>
      <c r="D34" s="604"/>
      <c r="E34" s="262"/>
      <c r="F34" s="262"/>
      <c r="G34" s="262"/>
      <c r="H34" s="262"/>
      <c r="I34" s="262"/>
      <c r="J34" s="262"/>
      <c r="K34" s="262"/>
      <c r="L34" s="262"/>
      <c r="M34" s="262"/>
      <c r="N34" s="262"/>
      <c r="O34" s="262"/>
      <c r="P34" s="262"/>
      <c r="Q34" s="262"/>
      <c r="R34" s="262"/>
      <c r="S34" s="262"/>
      <c r="T34" s="262"/>
      <c r="U34" s="262"/>
      <c r="V34" s="262"/>
      <c r="W34" s="262"/>
      <c r="X34" s="262"/>
      <c r="Y34" s="262"/>
      <c r="Z34" s="262"/>
      <c r="AA34" s="262"/>
      <c r="AB34" s="262"/>
      <c r="AC34" s="262"/>
      <c r="AD34" s="262"/>
      <c r="AE34" s="262"/>
      <c r="AF34" s="262"/>
      <c r="AG34" s="262"/>
      <c r="AH34" s="262"/>
      <c r="AI34" s="262"/>
      <c r="AJ34" s="262"/>
      <c r="AK34" s="262"/>
      <c r="AL34" s="262"/>
      <c r="AM34" s="262"/>
      <c r="AN34" s="262"/>
      <c r="AO34" s="262"/>
      <c r="AP34" s="262"/>
      <c r="AQ34" s="262"/>
      <c r="AR34" s="262"/>
      <c r="AS34" s="262"/>
      <c r="AT34" s="262"/>
      <c r="AU34" s="262"/>
      <c r="AV34" s="262"/>
      <c r="AW34" s="262"/>
      <c r="AX34" s="262"/>
      <c r="AY34" s="262"/>
      <c r="AZ34" s="262"/>
      <c r="BA34" s="262"/>
      <c r="BB34" s="262"/>
      <c r="BC34" s="262"/>
      <c r="BD34" s="262"/>
      <c r="BE34" s="262"/>
      <c r="BF34" s="263"/>
      <c r="BG34" s="490" t="str">
        <f t="shared" si="0"/>
        <v/>
      </c>
      <c r="BH34" s="490" t="str">
        <f t="shared" si="1"/>
        <v/>
      </c>
      <c r="BI34" s="490" t="str">
        <f t="shared" si="2"/>
        <v/>
      </c>
      <c r="BJ34" s="491" t="str">
        <f t="shared" si="3"/>
        <v/>
      </c>
      <c r="BK34" s="492" t="str">
        <f t="shared" si="4"/>
        <v/>
      </c>
    </row>
    <row r="35" spans="1:63" x14ac:dyDescent="0.25">
      <c r="A35" s="72"/>
      <c r="B35" s="82">
        <v>21</v>
      </c>
      <c r="C35" s="604" t="str">
        <f>'C. FILIACION'!C34</f>
        <v>SANCHEZ  MOLINA ALEXIS VHADIR</v>
      </c>
      <c r="D35" s="604"/>
      <c r="E35" s="262"/>
      <c r="F35" s="262"/>
      <c r="G35" s="262"/>
      <c r="H35" s="262"/>
      <c r="I35" s="262"/>
      <c r="J35" s="262"/>
      <c r="K35" s="262"/>
      <c r="L35" s="262"/>
      <c r="M35" s="262"/>
      <c r="N35" s="262"/>
      <c r="O35" s="262"/>
      <c r="P35" s="262"/>
      <c r="Q35" s="262"/>
      <c r="R35" s="262"/>
      <c r="S35" s="262"/>
      <c r="T35" s="262"/>
      <c r="U35" s="262"/>
      <c r="V35" s="262"/>
      <c r="W35" s="262"/>
      <c r="X35" s="262"/>
      <c r="Y35" s="262"/>
      <c r="Z35" s="262"/>
      <c r="AA35" s="262"/>
      <c r="AB35" s="262"/>
      <c r="AC35" s="262"/>
      <c r="AD35" s="262"/>
      <c r="AE35" s="262"/>
      <c r="AF35" s="262"/>
      <c r="AG35" s="262"/>
      <c r="AH35" s="262"/>
      <c r="AI35" s="262"/>
      <c r="AJ35" s="262"/>
      <c r="AK35" s="262"/>
      <c r="AL35" s="262"/>
      <c r="AM35" s="262"/>
      <c r="AN35" s="262"/>
      <c r="AO35" s="262"/>
      <c r="AP35" s="262"/>
      <c r="AQ35" s="262"/>
      <c r="AR35" s="262"/>
      <c r="AS35" s="262"/>
      <c r="AT35" s="262"/>
      <c r="AU35" s="262"/>
      <c r="AV35" s="262"/>
      <c r="AW35" s="262"/>
      <c r="AX35" s="262"/>
      <c r="AY35" s="262"/>
      <c r="AZ35" s="262"/>
      <c r="BA35" s="262"/>
      <c r="BB35" s="262"/>
      <c r="BC35" s="262"/>
      <c r="BD35" s="262"/>
      <c r="BE35" s="262"/>
      <c r="BF35" s="263"/>
      <c r="BG35" s="490" t="str">
        <f t="shared" si="0"/>
        <v/>
      </c>
      <c r="BH35" s="490" t="str">
        <f t="shared" si="1"/>
        <v/>
      </c>
      <c r="BI35" s="490" t="str">
        <f t="shared" si="2"/>
        <v/>
      </c>
      <c r="BJ35" s="491" t="str">
        <f t="shared" si="3"/>
        <v/>
      </c>
      <c r="BK35" s="492" t="str">
        <f t="shared" si="4"/>
        <v/>
      </c>
    </row>
    <row r="36" spans="1:63" x14ac:dyDescent="0.25">
      <c r="A36" s="72"/>
      <c r="B36" s="82">
        <v>22</v>
      </c>
      <c r="C36" s="604" t="str">
        <f>'C. FILIACION'!C35</f>
        <v>SARAVIA SALVATIERRA JOSSE AMED</v>
      </c>
      <c r="D36" s="604"/>
      <c r="E36" s="262"/>
      <c r="F36" s="262"/>
      <c r="G36" s="262"/>
      <c r="H36" s="262"/>
      <c r="I36" s="262"/>
      <c r="J36" s="262"/>
      <c r="K36" s="262"/>
      <c r="L36" s="262"/>
      <c r="M36" s="262"/>
      <c r="N36" s="262"/>
      <c r="O36" s="262"/>
      <c r="P36" s="262"/>
      <c r="Q36" s="262"/>
      <c r="R36" s="262"/>
      <c r="S36" s="262"/>
      <c r="T36" s="262"/>
      <c r="U36" s="262"/>
      <c r="V36" s="262"/>
      <c r="W36" s="262"/>
      <c r="X36" s="262"/>
      <c r="Y36" s="262"/>
      <c r="Z36" s="262"/>
      <c r="AA36" s="262"/>
      <c r="AB36" s="262"/>
      <c r="AC36" s="262"/>
      <c r="AD36" s="262"/>
      <c r="AE36" s="262"/>
      <c r="AF36" s="262"/>
      <c r="AG36" s="262"/>
      <c r="AH36" s="262"/>
      <c r="AI36" s="262"/>
      <c r="AJ36" s="262"/>
      <c r="AK36" s="262"/>
      <c r="AL36" s="262"/>
      <c r="AM36" s="262"/>
      <c r="AN36" s="262"/>
      <c r="AO36" s="262"/>
      <c r="AP36" s="262"/>
      <c r="AQ36" s="262"/>
      <c r="AR36" s="262"/>
      <c r="AS36" s="262"/>
      <c r="AT36" s="262"/>
      <c r="AU36" s="262"/>
      <c r="AV36" s="262"/>
      <c r="AW36" s="262"/>
      <c r="AX36" s="262"/>
      <c r="AY36" s="262"/>
      <c r="AZ36" s="262"/>
      <c r="BA36" s="262"/>
      <c r="BB36" s="262"/>
      <c r="BC36" s="262"/>
      <c r="BD36" s="262"/>
      <c r="BE36" s="262"/>
      <c r="BF36" s="263"/>
      <c r="BG36" s="490" t="str">
        <f t="shared" si="0"/>
        <v/>
      </c>
      <c r="BH36" s="490" t="str">
        <f t="shared" si="1"/>
        <v/>
      </c>
      <c r="BI36" s="490" t="str">
        <f t="shared" si="2"/>
        <v/>
      </c>
      <c r="BJ36" s="491" t="str">
        <f t="shared" si="3"/>
        <v/>
      </c>
      <c r="BK36" s="492" t="str">
        <f t="shared" si="4"/>
        <v/>
      </c>
    </row>
    <row r="37" spans="1:63" x14ac:dyDescent="0.25">
      <c r="A37" s="72"/>
      <c r="B37" s="82">
        <v>23</v>
      </c>
      <c r="C37" s="604" t="str">
        <f>'C. FILIACION'!C36</f>
        <v>SIERRA LUNA GABRIEL  GERMAN</v>
      </c>
      <c r="D37" s="604"/>
      <c r="E37" s="262"/>
      <c r="F37" s="262"/>
      <c r="G37" s="262"/>
      <c r="H37" s="262"/>
      <c r="I37" s="262"/>
      <c r="J37" s="262"/>
      <c r="K37" s="262"/>
      <c r="L37" s="262"/>
      <c r="M37" s="262"/>
      <c r="N37" s="262"/>
      <c r="O37" s="262"/>
      <c r="P37" s="262"/>
      <c r="Q37" s="262"/>
      <c r="R37" s="262"/>
      <c r="S37" s="262"/>
      <c r="T37" s="262"/>
      <c r="U37" s="262"/>
      <c r="V37" s="262"/>
      <c r="W37" s="262"/>
      <c r="X37" s="262"/>
      <c r="Y37" s="262"/>
      <c r="Z37" s="262"/>
      <c r="AA37" s="262"/>
      <c r="AB37" s="262"/>
      <c r="AC37" s="262"/>
      <c r="AD37" s="262"/>
      <c r="AE37" s="262"/>
      <c r="AF37" s="262"/>
      <c r="AG37" s="262"/>
      <c r="AH37" s="262"/>
      <c r="AI37" s="262"/>
      <c r="AJ37" s="262"/>
      <c r="AK37" s="262"/>
      <c r="AL37" s="262"/>
      <c r="AM37" s="262"/>
      <c r="AN37" s="262"/>
      <c r="AO37" s="262"/>
      <c r="AP37" s="262"/>
      <c r="AQ37" s="262"/>
      <c r="AR37" s="262"/>
      <c r="AS37" s="262"/>
      <c r="AT37" s="262"/>
      <c r="AU37" s="262"/>
      <c r="AV37" s="262"/>
      <c r="AW37" s="262"/>
      <c r="AX37" s="262"/>
      <c r="AY37" s="262"/>
      <c r="AZ37" s="262"/>
      <c r="BA37" s="262"/>
      <c r="BB37" s="262"/>
      <c r="BC37" s="262"/>
      <c r="BD37" s="262"/>
      <c r="BE37" s="262"/>
      <c r="BF37" s="263"/>
      <c r="BG37" s="490" t="str">
        <f t="shared" si="0"/>
        <v/>
      </c>
      <c r="BH37" s="490" t="str">
        <f t="shared" si="1"/>
        <v/>
      </c>
      <c r="BI37" s="490" t="str">
        <f t="shared" si="2"/>
        <v/>
      </c>
      <c r="BJ37" s="491" t="str">
        <f t="shared" si="3"/>
        <v/>
      </c>
      <c r="BK37" s="492" t="str">
        <f t="shared" si="4"/>
        <v/>
      </c>
    </row>
    <row r="38" spans="1:63" x14ac:dyDescent="0.25">
      <c r="A38" s="72"/>
      <c r="B38" s="82">
        <v>24</v>
      </c>
      <c r="C38" s="604" t="str">
        <f>'C. FILIACION'!C37</f>
        <v>ZEWANE  MARTINEZ LINDA JHAMILETT</v>
      </c>
      <c r="D38" s="604"/>
      <c r="E38" s="262"/>
      <c r="F38" s="262"/>
      <c r="G38" s="262"/>
      <c r="H38" s="262"/>
      <c r="I38" s="262"/>
      <c r="J38" s="262"/>
      <c r="K38" s="262"/>
      <c r="L38" s="262"/>
      <c r="M38" s="262"/>
      <c r="N38" s="262"/>
      <c r="O38" s="262"/>
      <c r="P38" s="262"/>
      <c r="Q38" s="262"/>
      <c r="R38" s="262"/>
      <c r="S38" s="262"/>
      <c r="T38" s="262"/>
      <c r="U38" s="262"/>
      <c r="V38" s="262"/>
      <c r="W38" s="262"/>
      <c r="X38" s="262"/>
      <c r="Y38" s="262"/>
      <c r="Z38" s="262"/>
      <c r="AA38" s="262"/>
      <c r="AB38" s="262"/>
      <c r="AC38" s="262"/>
      <c r="AD38" s="262"/>
      <c r="AE38" s="262"/>
      <c r="AF38" s="262"/>
      <c r="AG38" s="262"/>
      <c r="AH38" s="262"/>
      <c r="AI38" s="262"/>
      <c r="AJ38" s="262"/>
      <c r="AK38" s="262"/>
      <c r="AL38" s="262"/>
      <c r="AM38" s="262"/>
      <c r="AN38" s="262"/>
      <c r="AO38" s="262"/>
      <c r="AP38" s="262"/>
      <c r="AQ38" s="262"/>
      <c r="AR38" s="262"/>
      <c r="AS38" s="262"/>
      <c r="AT38" s="262"/>
      <c r="AU38" s="262"/>
      <c r="AV38" s="262"/>
      <c r="AW38" s="262"/>
      <c r="AX38" s="262"/>
      <c r="AY38" s="262"/>
      <c r="AZ38" s="262"/>
      <c r="BA38" s="262"/>
      <c r="BB38" s="262"/>
      <c r="BC38" s="262"/>
      <c r="BD38" s="262"/>
      <c r="BE38" s="262"/>
      <c r="BF38" s="263"/>
      <c r="BG38" s="490" t="str">
        <f t="shared" si="0"/>
        <v/>
      </c>
      <c r="BH38" s="490" t="str">
        <f t="shared" si="1"/>
        <v/>
      </c>
      <c r="BI38" s="490" t="str">
        <f t="shared" si="2"/>
        <v/>
      </c>
      <c r="BJ38" s="491" t="str">
        <f t="shared" si="3"/>
        <v/>
      </c>
      <c r="BK38" s="492" t="str">
        <f t="shared" si="4"/>
        <v/>
      </c>
    </row>
    <row r="39" spans="1:63" x14ac:dyDescent="0.25">
      <c r="A39" s="72"/>
      <c r="B39" s="82">
        <v>25</v>
      </c>
      <c r="C39" s="604">
        <f>'C. FILIACION'!C38</f>
        <v>0</v>
      </c>
      <c r="D39" s="604"/>
      <c r="E39" s="262"/>
      <c r="F39" s="262"/>
      <c r="G39" s="262"/>
      <c r="H39" s="262"/>
      <c r="I39" s="262"/>
      <c r="J39" s="262"/>
      <c r="K39" s="262"/>
      <c r="L39" s="262"/>
      <c r="M39" s="262"/>
      <c r="N39" s="262"/>
      <c r="O39" s="262"/>
      <c r="P39" s="262"/>
      <c r="Q39" s="262"/>
      <c r="R39" s="262"/>
      <c r="S39" s="262"/>
      <c r="T39" s="262"/>
      <c r="U39" s="262"/>
      <c r="V39" s="262"/>
      <c r="W39" s="262"/>
      <c r="X39" s="262"/>
      <c r="Y39" s="262"/>
      <c r="Z39" s="262"/>
      <c r="AA39" s="262"/>
      <c r="AB39" s="262"/>
      <c r="AC39" s="262"/>
      <c r="AD39" s="262"/>
      <c r="AE39" s="262"/>
      <c r="AF39" s="262"/>
      <c r="AG39" s="262"/>
      <c r="AH39" s="262"/>
      <c r="AI39" s="262"/>
      <c r="AJ39" s="262"/>
      <c r="AK39" s="262"/>
      <c r="AL39" s="262"/>
      <c r="AM39" s="262"/>
      <c r="AN39" s="262"/>
      <c r="AO39" s="262"/>
      <c r="AP39" s="262"/>
      <c r="AQ39" s="262"/>
      <c r="AR39" s="262"/>
      <c r="AS39" s="262"/>
      <c r="AT39" s="262"/>
      <c r="AU39" s="262"/>
      <c r="AV39" s="262"/>
      <c r="AW39" s="262"/>
      <c r="AX39" s="262"/>
      <c r="AY39" s="262"/>
      <c r="AZ39" s="262"/>
      <c r="BA39" s="262"/>
      <c r="BB39" s="262"/>
      <c r="BC39" s="262"/>
      <c r="BD39" s="262"/>
      <c r="BE39" s="262"/>
      <c r="BF39" s="263"/>
      <c r="BG39" s="490" t="str">
        <f t="shared" si="0"/>
        <v/>
      </c>
      <c r="BH39" s="490" t="str">
        <f t="shared" si="1"/>
        <v/>
      </c>
      <c r="BI39" s="490" t="str">
        <f t="shared" si="2"/>
        <v/>
      </c>
      <c r="BJ39" s="491" t="str">
        <f t="shared" si="3"/>
        <v/>
      </c>
      <c r="BK39" s="492" t="str">
        <f t="shared" si="4"/>
        <v/>
      </c>
    </row>
    <row r="40" spans="1:63" x14ac:dyDescent="0.25">
      <c r="A40" s="72"/>
      <c r="B40" s="82">
        <v>26</v>
      </c>
      <c r="C40" s="604">
        <f>'C. FILIACION'!C39</f>
        <v>0</v>
      </c>
      <c r="D40" s="604"/>
      <c r="E40" s="262"/>
      <c r="F40" s="262"/>
      <c r="G40" s="262"/>
      <c r="H40" s="262"/>
      <c r="I40" s="262"/>
      <c r="J40" s="262"/>
      <c r="K40" s="262"/>
      <c r="L40" s="262"/>
      <c r="M40" s="262"/>
      <c r="N40" s="262"/>
      <c r="O40" s="262"/>
      <c r="P40" s="262"/>
      <c r="Q40" s="262"/>
      <c r="R40" s="262"/>
      <c r="S40" s="262"/>
      <c r="T40" s="262"/>
      <c r="U40" s="262"/>
      <c r="V40" s="262"/>
      <c r="W40" s="262"/>
      <c r="X40" s="262"/>
      <c r="Y40" s="262"/>
      <c r="Z40" s="262"/>
      <c r="AA40" s="262"/>
      <c r="AB40" s="262"/>
      <c r="AC40" s="262"/>
      <c r="AD40" s="262"/>
      <c r="AE40" s="262"/>
      <c r="AF40" s="262"/>
      <c r="AG40" s="262"/>
      <c r="AH40" s="262"/>
      <c r="AI40" s="262"/>
      <c r="AJ40" s="262"/>
      <c r="AK40" s="262"/>
      <c r="AL40" s="262"/>
      <c r="AM40" s="262"/>
      <c r="AN40" s="262"/>
      <c r="AO40" s="262"/>
      <c r="AP40" s="262"/>
      <c r="AQ40" s="262"/>
      <c r="AR40" s="262"/>
      <c r="AS40" s="262"/>
      <c r="AT40" s="262"/>
      <c r="AU40" s="262"/>
      <c r="AV40" s="262"/>
      <c r="AW40" s="262"/>
      <c r="AX40" s="262"/>
      <c r="AY40" s="262"/>
      <c r="AZ40" s="262"/>
      <c r="BA40" s="262"/>
      <c r="BB40" s="262"/>
      <c r="BC40" s="262"/>
      <c r="BD40" s="262"/>
      <c r="BE40" s="262"/>
      <c r="BF40" s="263"/>
      <c r="BG40" s="490" t="str">
        <f t="shared" si="0"/>
        <v/>
      </c>
      <c r="BH40" s="490" t="str">
        <f t="shared" si="1"/>
        <v/>
      </c>
      <c r="BI40" s="490" t="str">
        <f t="shared" si="2"/>
        <v/>
      </c>
      <c r="BJ40" s="491" t="str">
        <f t="shared" si="3"/>
        <v/>
      </c>
      <c r="BK40" s="492" t="str">
        <f t="shared" si="4"/>
        <v/>
      </c>
    </row>
    <row r="41" spans="1:63" x14ac:dyDescent="0.25">
      <c r="A41" s="72"/>
      <c r="B41" s="82">
        <v>27</v>
      </c>
      <c r="C41" s="604">
        <f>'C. FILIACION'!C40</f>
        <v>0</v>
      </c>
      <c r="D41" s="604"/>
      <c r="E41" s="262"/>
      <c r="F41" s="262"/>
      <c r="G41" s="262"/>
      <c r="H41" s="262"/>
      <c r="I41" s="262"/>
      <c r="J41" s="262"/>
      <c r="K41" s="262"/>
      <c r="L41" s="262"/>
      <c r="M41" s="262"/>
      <c r="N41" s="262"/>
      <c r="O41" s="262"/>
      <c r="P41" s="262"/>
      <c r="Q41" s="262"/>
      <c r="R41" s="262"/>
      <c r="S41" s="262"/>
      <c r="T41" s="262"/>
      <c r="U41" s="262"/>
      <c r="V41" s="262"/>
      <c r="W41" s="262"/>
      <c r="X41" s="262"/>
      <c r="Y41" s="262"/>
      <c r="Z41" s="262"/>
      <c r="AA41" s="262"/>
      <c r="AB41" s="262"/>
      <c r="AC41" s="262"/>
      <c r="AD41" s="262"/>
      <c r="AE41" s="262"/>
      <c r="AF41" s="262"/>
      <c r="AG41" s="262"/>
      <c r="AH41" s="262"/>
      <c r="AI41" s="262"/>
      <c r="AJ41" s="262"/>
      <c r="AK41" s="262"/>
      <c r="AL41" s="262"/>
      <c r="AM41" s="262"/>
      <c r="AN41" s="262"/>
      <c r="AO41" s="262"/>
      <c r="AP41" s="262"/>
      <c r="AQ41" s="262"/>
      <c r="AR41" s="262"/>
      <c r="AS41" s="262"/>
      <c r="AT41" s="262"/>
      <c r="AU41" s="262"/>
      <c r="AV41" s="262"/>
      <c r="AW41" s="262"/>
      <c r="AX41" s="262"/>
      <c r="AY41" s="262"/>
      <c r="AZ41" s="262"/>
      <c r="BA41" s="262"/>
      <c r="BB41" s="262"/>
      <c r="BC41" s="262"/>
      <c r="BD41" s="262"/>
      <c r="BE41" s="262"/>
      <c r="BF41" s="263"/>
      <c r="BG41" s="490" t="str">
        <f t="shared" si="0"/>
        <v/>
      </c>
      <c r="BH41" s="490" t="str">
        <f t="shared" si="1"/>
        <v/>
      </c>
      <c r="BI41" s="490" t="str">
        <f t="shared" si="2"/>
        <v/>
      </c>
      <c r="BJ41" s="491" t="str">
        <f t="shared" si="3"/>
        <v/>
      </c>
      <c r="BK41" s="492" t="str">
        <f t="shared" si="4"/>
        <v/>
      </c>
    </row>
    <row r="42" spans="1:63" x14ac:dyDescent="0.25">
      <c r="A42" s="72"/>
      <c r="B42" s="82">
        <v>28</v>
      </c>
      <c r="C42" s="604">
        <f>'C. FILIACION'!C41</f>
        <v>0</v>
      </c>
      <c r="D42" s="604"/>
      <c r="E42" s="262"/>
      <c r="F42" s="262"/>
      <c r="G42" s="262"/>
      <c r="H42" s="262"/>
      <c r="I42" s="262"/>
      <c r="J42" s="262"/>
      <c r="K42" s="262"/>
      <c r="L42" s="262"/>
      <c r="M42" s="262"/>
      <c r="N42" s="262"/>
      <c r="O42" s="262"/>
      <c r="P42" s="262"/>
      <c r="Q42" s="262"/>
      <c r="R42" s="262"/>
      <c r="S42" s="262"/>
      <c r="T42" s="262"/>
      <c r="U42" s="262"/>
      <c r="V42" s="262"/>
      <c r="W42" s="262"/>
      <c r="X42" s="262"/>
      <c r="Y42" s="262"/>
      <c r="Z42" s="262"/>
      <c r="AA42" s="262"/>
      <c r="AB42" s="262"/>
      <c r="AC42" s="262"/>
      <c r="AD42" s="262"/>
      <c r="AE42" s="262"/>
      <c r="AF42" s="262"/>
      <c r="AG42" s="262"/>
      <c r="AH42" s="262"/>
      <c r="AI42" s="262"/>
      <c r="AJ42" s="262"/>
      <c r="AK42" s="262"/>
      <c r="AL42" s="262"/>
      <c r="AM42" s="262"/>
      <c r="AN42" s="262"/>
      <c r="AO42" s="262"/>
      <c r="AP42" s="262"/>
      <c r="AQ42" s="262"/>
      <c r="AR42" s="262"/>
      <c r="AS42" s="262"/>
      <c r="AT42" s="262"/>
      <c r="AU42" s="262"/>
      <c r="AV42" s="262"/>
      <c r="AW42" s="262"/>
      <c r="AX42" s="262"/>
      <c r="AY42" s="262"/>
      <c r="AZ42" s="262"/>
      <c r="BA42" s="262"/>
      <c r="BB42" s="262"/>
      <c r="BC42" s="262"/>
      <c r="BD42" s="262"/>
      <c r="BE42" s="262"/>
      <c r="BF42" s="263"/>
      <c r="BG42" s="490" t="str">
        <f t="shared" si="0"/>
        <v/>
      </c>
      <c r="BH42" s="490" t="str">
        <f t="shared" si="1"/>
        <v/>
      </c>
      <c r="BI42" s="490" t="str">
        <f t="shared" si="2"/>
        <v/>
      </c>
      <c r="BJ42" s="491" t="str">
        <f t="shared" si="3"/>
        <v/>
      </c>
      <c r="BK42" s="492" t="str">
        <f t="shared" si="4"/>
        <v/>
      </c>
    </row>
    <row r="43" spans="1:63" x14ac:dyDescent="0.25">
      <c r="A43" s="72"/>
      <c r="B43" s="82">
        <v>29</v>
      </c>
      <c r="C43" s="604">
        <f>'C. FILIACION'!C42</f>
        <v>0</v>
      </c>
      <c r="D43" s="604"/>
      <c r="E43" s="262"/>
      <c r="F43" s="262"/>
      <c r="G43" s="262"/>
      <c r="H43" s="262"/>
      <c r="I43" s="262"/>
      <c r="J43" s="262"/>
      <c r="K43" s="262"/>
      <c r="L43" s="262"/>
      <c r="M43" s="262"/>
      <c r="N43" s="262"/>
      <c r="O43" s="262"/>
      <c r="P43" s="262"/>
      <c r="Q43" s="262"/>
      <c r="R43" s="262"/>
      <c r="S43" s="262"/>
      <c r="T43" s="262"/>
      <c r="U43" s="262"/>
      <c r="V43" s="262"/>
      <c r="W43" s="262"/>
      <c r="X43" s="262"/>
      <c r="Y43" s="262"/>
      <c r="Z43" s="262"/>
      <c r="AA43" s="262"/>
      <c r="AB43" s="262"/>
      <c r="AC43" s="262"/>
      <c r="AD43" s="262"/>
      <c r="AE43" s="262"/>
      <c r="AF43" s="262"/>
      <c r="AG43" s="262"/>
      <c r="AH43" s="262"/>
      <c r="AI43" s="262"/>
      <c r="AJ43" s="262"/>
      <c r="AK43" s="262"/>
      <c r="AL43" s="262"/>
      <c r="AM43" s="262"/>
      <c r="AN43" s="262"/>
      <c r="AO43" s="262"/>
      <c r="AP43" s="262"/>
      <c r="AQ43" s="262"/>
      <c r="AR43" s="262"/>
      <c r="AS43" s="262"/>
      <c r="AT43" s="262"/>
      <c r="AU43" s="262"/>
      <c r="AV43" s="262"/>
      <c r="AW43" s="262"/>
      <c r="AX43" s="262"/>
      <c r="AY43" s="262"/>
      <c r="AZ43" s="262"/>
      <c r="BA43" s="262"/>
      <c r="BB43" s="262"/>
      <c r="BC43" s="262"/>
      <c r="BD43" s="262"/>
      <c r="BE43" s="262"/>
      <c r="BF43" s="263"/>
      <c r="BG43" s="490" t="str">
        <f t="shared" si="0"/>
        <v/>
      </c>
      <c r="BH43" s="490" t="str">
        <f t="shared" si="1"/>
        <v/>
      </c>
      <c r="BI43" s="490" t="str">
        <f t="shared" si="2"/>
        <v/>
      </c>
      <c r="BJ43" s="491" t="str">
        <f t="shared" si="3"/>
        <v/>
      </c>
      <c r="BK43" s="492" t="str">
        <f t="shared" si="4"/>
        <v/>
      </c>
    </row>
    <row r="44" spans="1:63" x14ac:dyDescent="0.25">
      <c r="A44" s="72"/>
      <c r="B44" s="82">
        <v>30</v>
      </c>
      <c r="C44" s="604">
        <f>'C. FILIACION'!C43</f>
        <v>0</v>
      </c>
      <c r="D44" s="604"/>
      <c r="E44" s="262"/>
      <c r="F44" s="262"/>
      <c r="G44" s="262"/>
      <c r="H44" s="262"/>
      <c r="I44" s="262"/>
      <c r="J44" s="262"/>
      <c r="K44" s="262"/>
      <c r="L44" s="262"/>
      <c r="M44" s="262"/>
      <c r="N44" s="262"/>
      <c r="O44" s="262"/>
      <c r="P44" s="262"/>
      <c r="Q44" s="262"/>
      <c r="R44" s="262"/>
      <c r="S44" s="262"/>
      <c r="T44" s="262"/>
      <c r="U44" s="262"/>
      <c r="V44" s="262"/>
      <c r="W44" s="262"/>
      <c r="X44" s="262"/>
      <c r="Y44" s="262"/>
      <c r="Z44" s="262"/>
      <c r="AA44" s="262"/>
      <c r="AB44" s="262"/>
      <c r="AC44" s="262"/>
      <c r="AD44" s="262"/>
      <c r="AE44" s="262"/>
      <c r="AF44" s="262"/>
      <c r="AG44" s="262"/>
      <c r="AH44" s="262"/>
      <c r="AI44" s="262"/>
      <c r="AJ44" s="262"/>
      <c r="AK44" s="262"/>
      <c r="AL44" s="262"/>
      <c r="AM44" s="262"/>
      <c r="AN44" s="262"/>
      <c r="AO44" s="262"/>
      <c r="AP44" s="262"/>
      <c r="AQ44" s="262"/>
      <c r="AR44" s="262"/>
      <c r="AS44" s="262"/>
      <c r="AT44" s="262"/>
      <c r="AU44" s="262"/>
      <c r="AV44" s="262"/>
      <c r="AW44" s="262"/>
      <c r="AX44" s="262"/>
      <c r="AY44" s="262"/>
      <c r="AZ44" s="262"/>
      <c r="BA44" s="262"/>
      <c r="BB44" s="262"/>
      <c r="BC44" s="262"/>
      <c r="BD44" s="262"/>
      <c r="BE44" s="262"/>
      <c r="BF44" s="263"/>
      <c r="BG44" s="490" t="str">
        <f t="shared" si="0"/>
        <v/>
      </c>
      <c r="BH44" s="490" t="str">
        <f t="shared" si="1"/>
        <v/>
      </c>
      <c r="BI44" s="490" t="str">
        <f t="shared" si="2"/>
        <v/>
      </c>
      <c r="BJ44" s="491" t="str">
        <f t="shared" si="3"/>
        <v/>
      </c>
      <c r="BK44" s="492" t="str">
        <f t="shared" si="4"/>
        <v/>
      </c>
    </row>
    <row r="45" spans="1:63" x14ac:dyDescent="0.25">
      <c r="A45" s="72"/>
      <c r="B45" s="82">
        <v>31</v>
      </c>
      <c r="C45" s="604">
        <f>'C. FILIACION'!C44</f>
        <v>0</v>
      </c>
      <c r="D45" s="604"/>
      <c r="E45" s="262"/>
      <c r="F45" s="262"/>
      <c r="G45" s="262"/>
      <c r="H45" s="262"/>
      <c r="I45" s="262"/>
      <c r="J45" s="262"/>
      <c r="K45" s="262"/>
      <c r="L45" s="262"/>
      <c r="M45" s="262"/>
      <c r="N45" s="262"/>
      <c r="O45" s="262"/>
      <c r="P45" s="262"/>
      <c r="Q45" s="262"/>
      <c r="R45" s="262"/>
      <c r="S45" s="262"/>
      <c r="T45" s="262"/>
      <c r="U45" s="262"/>
      <c r="V45" s="262"/>
      <c r="W45" s="262"/>
      <c r="X45" s="262"/>
      <c r="Y45" s="262"/>
      <c r="Z45" s="262"/>
      <c r="AA45" s="262"/>
      <c r="AB45" s="262"/>
      <c r="AC45" s="262"/>
      <c r="AD45" s="262"/>
      <c r="AE45" s="262"/>
      <c r="AF45" s="262"/>
      <c r="AG45" s="262"/>
      <c r="AH45" s="262"/>
      <c r="AI45" s="262"/>
      <c r="AJ45" s="262"/>
      <c r="AK45" s="262"/>
      <c r="AL45" s="262"/>
      <c r="AM45" s="262"/>
      <c r="AN45" s="262"/>
      <c r="AO45" s="262"/>
      <c r="AP45" s="262"/>
      <c r="AQ45" s="262"/>
      <c r="AR45" s="262"/>
      <c r="AS45" s="262"/>
      <c r="AT45" s="262"/>
      <c r="AU45" s="262"/>
      <c r="AV45" s="262"/>
      <c r="AW45" s="262"/>
      <c r="AX45" s="262"/>
      <c r="AY45" s="262"/>
      <c r="AZ45" s="262"/>
      <c r="BA45" s="262"/>
      <c r="BB45" s="262"/>
      <c r="BC45" s="262"/>
      <c r="BD45" s="262"/>
      <c r="BE45" s="262"/>
      <c r="BF45" s="263"/>
      <c r="BG45" s="490" t="str">
        <f t="shared" si="0"/>
        <v/>
      </c>
      <c r="BH45" s="490" t="str">
        <f t="shared" si="1"/>
        <v/>
      </c>
      <c r="BI45" s="490" t="str">
        <f t="shared" si="2"/>
        <v/>
      </c>
      <c r="BJ45" s="491" t="str">
        <f t="shared" si="3"/>
        <v/>
      </c>
      <c r="BK45" s="492" t="str">
        <f t="shared" si="4"/>
        <v/>
      </c>
    </row>
    <row r="46" spans="1:63" x14ac:dyDescent="0.25">
      <c r="A46" s="72"/>
      <c r="B46" s="82">
        <v>32</v>
      </c>
      <c r="C46" s="604">
        <f>'C. FILIACION'!C45</f>
        <v>0</v>
      </c>
      <c r="D46" s="604"/>
      <c r="E46" s="262"/>
      <c r="F46" s="262"/>
      <c r="G46" s="262"/>
      <c r="H46" s="262"/>
      <c r="I46" s="262"/>
      <c r="J46" s="262"/>
      <c r="K46" s="262"/>
      <c r="L46" s="262"/>
      <c r="M46" s="262"/>
      <c r="N46" s="262"/>
      <c r="O46" s="262"/>
      <c r="P46" s="262"/>
      <c r="Q46" s="262"/>
      <c r="R46" s="262"/>
      <c r="S46" s="262"/>
      <c r="T46" s="262"/>
      <c r="U46" s="262"/>
      <c r="V46" s="262"/>
      <c r="W46" s="262"/>
      <c r="X46" s="262"/>
      <c r="Y46" s="262"/>
      <c r="Z46" s="262"/>
      <c r="AA46" s="262"/>
      <c r="AB46" s="262"/>
      <c r="AC46" s="262"/>
      <c r="AD46" s="262"/>
      <c r="AE46" s="262"/>
      <c r="AF46" s="262"/>
      <c r="AG46" s="262"/>
      <c r="AH46" s="262"/>
      <c r="AI46" s="262"/>
      <c r="AJ46" s="262"/>
      <c r="AK46" s="262"/>
      <c r="AL46" s="262"/>
      <c r="AM46" s="262"/>
      <c r="AN46" s="262"/>
      <c r="AO46" s="262"/>
      <c r="AP46" s="262"/>
      <c r="AQ46" s="262"/>
      <c r="AR46" s="262"/>
      <c r="AS46" s="262"/>
      <c r="AT46" s="262"/>
      <c r="AU46" s="262"/>
      <c r="AV46" s="262"/>
      <c r="AW46" s="262"/>
      <c r="AX46" s="262"/>
      <c r="AY46" s="262"/>
      <c r="AZ46" s="262"/>
      <c r="BA46" s="262"/>
      <c r="BB46" s="262"/>
      <c r="BC46" s="262"/>
      <c r="BD46" s="262"/>
      <c r="BE46" s="262"/>
      <c r="BF46" s="263"/>
      <c r="BG46" s="490" t="str">
        <f t="shared" si="0"/>
        <v/>
      </c>
      <c r="BH46" s="490" t="str">
        <f t="shared" si="1"/>
        <v/>
      </c>
      <c r="BI46" s="490" t="str">
        <f t="shared" si="2"/>
        <v/>
      </c>
      <c r="BJ46" s="491" t="str">
        <f t="shared" si="3"/>
        <v/>
      </c>
      <c r="BK46" s="492" t="str">
        <f t="shared" si="4"/>
        <v/>
      </c>
    </row>
    <row r="47" spans="1:63" x14ac:dyDescent="0.25">
      <c r="A47" s="72"/>
      <c r="B47" s="82">
        <v>33</v>
      </c>
      <c r="C47" s="604">
        <f>'C. FILIACION'!C46</f>
        <v>0</v>
      </c>
      <c r="D47" s="604"/>
      <c r="E47" s="262"/>
      <c r="F47" s="262"/>
      <c r="G47" s="262"/>
      <c r="H47" s="262"/>
      <c r="I47" s="262"/>
      <c r="J47" s="262"/>
      <c r="K47" s="262"/>
      <c r="L47" s="262"/>
      <c r="M47" s="262"/>
      <c r="N47" s="262"/>
      <c r="O47" s="262"/>
      <c r="P47" s="262"/>
      <c r="Q47" s="262"/>
      <c r="R47" s="262"/>
      <c r="S47" s="262"/>
      <c r="T47" s="262"/>
      <c r="U47" s="262"/>
      <c r="V47" s="262"/>
      <c r="W47" s="262"/>
      <c r="X47" s="262"/>
      <c r="Y47" s="262"/>
      <c r="Z47" s="262"/>
      <c r="AA47" s="262"/>
      <c r="AB47" s="262"/>
      <c r="AC47" s="262"/>
      <c r="AD47" s="262"/>
      <c r="AE47" s="262"/>
      <c r="AF47" s="262"/>
      <c r="AG47" s="262"/>
      <c r="AH47" s="262"/>
      <c r="AI47" s="262"/>
      <c r="AJ47" s="262"/>
      <c r="AK47" s="262"/>
      <c r="AL47" s="262"/>
      <c r="AM47" s="262"/>
      <c r="AN47" s="262"/>
      <c r="AO47" s="262"/>
      <c r="AP47" s="262"/>
      <c r="AQ47" s="262"/>
      <c r="AR47" s="262"/>
      <c r="AS47" s="262"/>
      <c r="AT47" s="262"/>
      <c r="AU47" s="262"/>
      <c r="AV47" s="262"/>
      <c r="AW47" s="262"/>
      <c r="AX47" s="262"/>
      <c r="AY47" s="262"/>
      <c r="AZ47" s="262"/>
      <c r="BA47" s="262"/>
      <c r="BB47" s="262"/>
      <c r="BC47" s="262"/>
      <c r="BD47" s="262"/>
      <c r="BE47" s="262"/>
      <c r="BF47" s="263"/>
      <c r="BG47" s="490" t="str">
        <f t="shared" si="0"/>
        <v/>
      </c>
      <c r="BH47" s="490" t="str">
        <f t="shared" si="1"/>
        <v/>
      </c>
      <c r="BI47" s="490" t="str">
        <f t="shared" si="2"/>
        <v/>
      </c>
      <c r="BJ47" s="491" t="str">
        <f t="shared" si="3"/>
        <v/>
      </c>
      <c r="BK47" s="492" t="str">
        <f t="shared" si="4"/>
        <v/>
      </c>
    </row>
    <row r="48" spans="1:63" x14ac:dyDescent="0.25">
      <c r="A48" s="72"/>
      <c r="B48" s="82">
        <v>34</v>
      </c>
      <c r="C48" s="604">
        <f>'C. FILIACION'!C47</f>
        <v>0</v>
      </c>
      <c r="D48" s="604"/>
      <c r="E48" s="262"/>
      <c r="F48" s="262"/>
      <c r="G48" s="262"/>
      <c r="H48" s="262"/>
      <c r="I48" s="262"/>
      <c r="J48" s="262"/>
      <c r="K48" s="262"/>
      <c r="L48" s="262"/>
      <c r="M48" s="262"/>
      <c r="N48" s="262"/>
      <c r="O48" s="262"/>
      <c r="P48" s="262"/>
      <c r="Q48" s="262"/>
      <c r="R48" s="262"/>
      <c r="S48" s="262"/>
      <c r="T48" s="262"/>
      <c r="U48" s="262"/>
      <c r="V48" s="262"/>
      <c r="W48" s="262"/>
      <c r="X48" s="262"/>
      <c r="Y48" s="262"/>
      <c r="Z48" s="262"/>
      <c r="AA48" s="262"/>
      <c r="AB48" s="262"/>
      <c r="AC48" s="262"/>
      <c r="AD48" s="262"/>
      <c r="AE48" s="262"/>
      <c r="AF48" s="262"/>
      <c r="AG48" s="262"/>
      <c r="AH48" s="262"/>
      <c r="AI48" s="262"/>
      <c r="AJ48" s="262"/>
      <c r="AK48" s="262"/>
      <c r="AL48" s="262"/>
      <c r="AM48" s="262"/>
      <c r="AN48" s="262"/>
      <c r="AO48" s="262"/>
      <c r="AP48" s="262"/>
      <c r="AQ48" s="262"/>
      <c r="AR48" s="262"/>
      <c r="AS48" s="262"/>
      <c r="AT48" s="262"/>
      <c r="AU48" s="262"/>
      <c r="AV48" s="262"/>
      <c r="AW48" s="262"/>
      <c r="AX48" s="262"/>
      <c r="AY48" s="262"/>
      <c r="AZ48" s="262"/>
      <c r="BA48" s="262"/>
      <c r="BB48" s="262"/>
      <c r="BC48" s="262"/>
      <c r="BD48" s="262"/>
      <c r="BE48" s="262"/>
      <c r="BF48" s="263"/>
      <c r="BG48" s="490" t="str">
        <f t="shared" si="0"/>
        <v/>
      </c>
      <c r="BH48" s="490" t="str">
        <f t="shared" si="1"/>
        <v/>
      </c>
      <c r="BI48" s="490" t="str">
        <f t="shared" si="2"/>
        <v/>
      </c>
      <c r="BJ48" s="491" t="str">
        <f t="shared" si="3"/>
        <v/>
      </c>
      <c r="BK48" s="492" t="str">
        <f t="shared" si="4"/>
        <v/>
      </c>
    </row>
    <row r="49" spans="1:63" x14ac:dyDescent="0.25">
      <c r="A49" s="72"/>
      <c r="B49" s="82">
        <v>35</v>
      </c>
      <c r="C49" s="604">
        <f>'C. FILIACION'!C48</f>
        <v>0</v>
      </c>
      <c r="D49" s="604"/>
      <c r="E49" s="262"/>
      <c r="F49" s="262"/>
      <c r="G49" s="262"/>
      <c r="H49" s="262"/>
      <c r="I49" s="262"/>
      <c r="J49" s="262"/>
      <c r="K49" s="262"/>
      <c r="L49" s="262"/>
      <c r="M49" s="262"/>
      <c r="N49" s="262"/>
      <c r="O49" s="262"/>
      <c r="P49" s="262"/>
      <c r="Q49" s="262"/>
      <c r="R49" s="262"/>
      <c r="S49" s="262"/>
      <c r="T49" s="262"/>
      <c r="U49" s="262"/>
      <c r="V49" s="262"/>
      <c r="W49" s="262"/>
      <c r="X49" s="262"/>
      <c r="Y49" s="262"/>
      <c r="Z49" s="262"/>
      <c r="AA49" s="262"/>
      <c r="AB49" s="262"/>
      <c r="AC49" s="262"/>
      <c r="AD49" s="262"/>
      <c r="AE49" s="262"/>
      <c r="AF49" s="262"/>
      <c r="AG49" s="262"/>
      <c r="AH49" s="262"/>
      <c r="AI49" s="262"/>
      <c r="AJ49" s="262"/>
      <c r="AK49" s="262"/>
      <c r="AL49" s="262"/>
      <c r="AM49" s="262"/>
      <c r="AN49" s="262"/>
      <c r="AO49" s="262"/>
      <c r="AP49" s="262"/>
      <c r="AQ49" s="262"/>
      <c r="AR49" s="262"/>
      <c r="AS49" s="262"/>
      <c r="AT49" s="262"/>
      <c r="AU49" s="262"/>
      <c r="AV49" s="262"/>
      <c r="AW49" s="262"/>
      <c r="AX49" s="262"/>
      <c r="AY49" s="262"/>
      <c r="AZ49" s="262"/>
      <c r="BA49" s="262"/>
      <c r="BB49" s="262"/>
      <c r="BC49" s="262"/>
      <c r="BD49" s="262"/>
      <c r="BE49" s="262"/>
      <c r="BF49" s="263"/>
      <c r="BG49" s="490" t="str">
        <f t="shared" si="0"/>
        <v/>
      </c>
      <c r="BH49" s="490" t="str">
        <f t="shared" si="1"/>
        <v/>
      </c>
      <c r="BI49" s="490" t="str">
        <f t="shared" si="2"/>
        <v/>
      </c>
      <c r="BJ49" s="491" t="str">
        <f t="shared" si="3"/>
        <v/>
      </c>
      <c r="BK49" s="492" t="str">
        <f t="shared" si="4"/>
        <v/>
      </c>
    </row>
    <row r="50" spans="1:63" x14ac:dyDescent="0.25">
      <c r="A50" s="72"/>
      <c r="B50" s="82">
        <v>36</v>
      </c>
      <c r="C50" s="604">
        <f>'C. FILIACION'!C49</f>
        <v>0</v>
      </c>
      <c r="D50" s="604"/>
      <c r="E50" s="262"/>
      <c r="F50" s="262"/>
      <c r="G50" s="262"/>
      <c r="H50" s="262"/>
      <c r="I50" s="262"/>
      <c r="J50" s="262"/>
      <c r="K50" s="262"/>
      <c r="L50" s="262"/>
      <c r="M50" s="262"/>
      <c r="N50" s="262"/>
      <c r="O50" s="262"/>
      <c r="P50" s="262"/>
      <c r="Q50" s="262"/>
      <c r="R50" s="262"/>
      <c r="S50" s="262"/>
      <c r="T50" s="262"/>
      <c r="U50" s="262"/>
      <c r="V50" s="262"/>
      <c r="W50" s="262"/>
      <c r="X50" s="262"/>
      <c r="Y50" s="262"/>
      <c r="Z50" s="262"/>
      <c r="AA50" s="262"/>
      <c r="AB50" s="262"/>
      <c r="AC50" s="262"/>
      <c r="AD50" s="262"/>
      <c r="AE50" s="262"/>
      <c r="AF50" s="262"/>
      <c r="AG50" s="262"/>
      <c r="AH50" s="262"/>
      <c r="AI50" s="262"/>
      <c r="AJ50" s="262"/>
      <c r="AK50" s="262"/>
      <c r="AL50" s="262"/>
      <c r="AM50" s="262"/>
      <c r="AN50" s="262"/>
      <c r="AO50" s="262"/>
      <c r="AP50" s="262"/>
      <c r="AQ50" s="262"/>
      <c r="AR50" s="262"/>
      <c r="AS50" s="262"/>
      <c r="AT50" s="262"/>
      <c r="AU50" s="262"/>
      <c r="AV50" s="262"/>
      <c r="AW50" s="262"/>
      <c r="AX50" s="262"/>
      <c r="AY50" s="262"/>
      <c r="AZ50" s="262"/>
      <c r="BA50" s="262"/>
      <c r="BB50" s="262"/>
      <c r="BC50" s="262"/>
      <c r="BD50" s="262"/>
      <c r="BE50" s="262"/>
      <c r="BF50" s="263"/>
      <c r="BG50" s="490" t="str">
        <f t="shared" si="0"/>
        <v/>
      </c>
      <c r="BH50" s="490" t="str">
        <f t="shared" si="1"/>
        <v/>
      </c>
      <c r="BI50" s="490" t="str">
        <f t="shared" si="2"/>
        <v/>
      </c>
      <c r="BJ50" s="491" t="str">
        <f t="shared" si="3"/>
        <v/>
      </c>
      <c r="BK50" s="492" t="str">
        <f t="shared" si="4"/>
        <v/>
      </c>
    </row>
    <row r="51" spans="1:63" x14ac:dyDescent="0.25">
      <c r="A51" s="72"/>
      <c r="B51" s="82">
        <v>37</v>
      </c>
      <c r="C51" s="604">
        <f>'C. FILIACION'!C50</f>
        <v>0</v>
      </c>
      <c r="D51" s="604"/>
      <c r="E51" s="262"/>
      <c r="F51" s="262"/>
      <c r="G51" s="262"/>
      <c r="H51" s="262"/>
      <c r="I51" s="262"/>
      <c r="J51" s="262"/>
      <c r="K51" s="262"/>
      <c r="L51" s="262"/>
      <c r="M51" s="262"/>
      <c r="N51" s="262"/>
      <c r="O51" s="262"/>
      <c r="P51" s="262"/>
      <c r="Q51" s="262"/>
      <c r="R51" s="262"/>
      <c r="S51" s="262"/>
      <c r="T51" s="262"/>
      <c r="U51" s="262"/>
      <c r="V51" s="262"/>
      <c r="W51" s="262"/>
      <c r="X51" s="262"/>
      <c r="Y51" s="262"/>
      <c r="Z51" s="262"/>
      <c r="AA51" s="262"/>
      <c r="AB51" s="262"/>
      <c r="AC51" s="262"/>
      <c r="AD51" s="262"/>
      <c r="AE51" s="262"/>
      <c r="AF51" s="262"/>
      <c r="AG51" s="262"/>
      <c r="AH51" s="262"/>
      <c r="AI51" s="262"/>
      <c r="AJ51" s="262"/>
      <c r="AK51" s="262"/>
      <c r="AL51" s="262"/>
      <c r="AM51" s="262"/>
      <c r="AN51" s="262"/>
      <c r="AO51" s="262"/>
      <c r="AP51" s="262"/>
      <c r="AQ51" s="262"/>
      <c r="AR51" s="262"/>
      <c r="AS51" s="262"/>
      <c r="AT51" s="262"/>
      <c r="AU51" s="262"/>
      <c r="AV51" s="262"/>
      <c r="AW51" s="262"/>
      <c r="AX51" s="262"/>
      <c r="AY51" s="262"/>
      <c r="AZ51" s="262"/>
      <c r="BA51" s="262"/>
      <c r="BB51" s="262"/>
      <c r="BC51" s="262"/>
      <c r="BD51" s="262"/>
      <c r="BE51" s="262"/>
      <c r="BF51" s="263"/>
      <c r="BG51" s="490" t="str">
        <f t="shared" si="0"/>
        <v/>
      </c>
      <c r="BH51" s="490" t="str">
        <f t="shared" si="1"/>
        <v/>
      </c>
      <c r="BI51" s="490" t="str">
        <f t="shared" si="2"/>
        <v/>
      </c>
      <c r="BJ51" s="491" t="str">
        <f t="shared" si="3"/>
        <v/>
      </c>
      <c r="BK51" s="492" t="str">
        <f t="shared" si="4"/>
        <v/>
      </c>
    </row>
    <row r="52" spans="1:63" x14ac:dyDescent="0.25">
      <c r="A52" s="72"/>
      <c r="B52" s="82">
        <v>38</v>
      </c>
      <c r="C52" s="604">
        <f>'C. FILIACION'!C51</f>
        <v>0</v>
      </c>
      <c r="D52" s="604"/>
      <c r="E52" s="262"/>
      <c r="F52" s="262"/>
      <c r="G52" s="262"/>
      <c r="H52" s="262"/>
      <c r="I52" s="262"/>
      <c r="J52" s="262"/>
      <c r="K52" s="262"/>
      <c r="L52" s="262"/>
      <c r="M52" s="262"/>
      <c r="N52" s="262"/>
      <c r="O52" s="262"/>
      <c r="P52" s="262"/>
      <c r="Q52" s="262"/>
      <c r="R52" s="262"/>
      <c r="S52" s="262"/>
      <c r="T52" s="262"/>
      <c r="U52" s="262"/>
      <c r="V52" s="262"/>
      <c r="W52" s="262"/>
      <c r="X52" s="262"/>
      <c r="Y52" s="262"/>
      <c r="Z52" s="262"/>
      <c r="AA52" s="262"/>
      <c r="AB52" s="262"/>
      <c r="AC52" s="262"/>
      <c r="AD52" s="262"/>
      <c r="AE52" s="262"/>
      <c r="AF52" s="262"/>
      <c r="AG52" s="262"/>
      <c r="AH52" s="262"/>
      <c r="AI52" s="262"/>
      <c r="AJ52" s="262"/>
      <c r="AK52" s="262"/>
      <c r="AL52" s="262"/>
      <c r="AM52" s="262"/>
      <c r="AN52" s="262"/>
      <c r="AO52" s="262"/>
      <c r="AP52" s="262"/>
      <c r="AQ52" s="262"/>
      <c r="AR52" s="262"/>
      <c r="AS52" s="262"/>
      <c r="AT52" s="262"/>
      <c r="AU52" s="262"/>
      <c r="AV52" s="262"/>
      <c r="AW52" s="262"/>
      <c r="AX52" s="262"/>
      <c r="AY52" s="262"/>
      <c r="AZ52" s="262"/>
      <c r="BA52" s="262"/>
      <c r="BB52" s="262"/>
      <c r="BC52" s="262"/>
      <c r="BD52" s="262"/>
      <c r="BE52" s="262"/>
      <c r="BF52" s="263"/>
      <c r="BG52" s="490" t="str">
        <f t="shared" si="0"/>
        <v/>
      </c>
      <c r="BH52" s="490" t="str">
        <f t="shared" si="1"/>
        <v/>
      </c>
      <c r="BI52" s="490" t="str">
        <f t="shared" si="2"/>
        <v/>
      </c>
      <c r="BJ52" s="491" t="str">
        <f t="shared" si="3"/>
        <v/>
      </c>
      <c r="BK52" s="492" t="str">
        <f t="shared" si="4"/>
        <v/>
      </c>
    </row>
    <row r="53" spans="1:63" x14ac:dyDescent="0.25">
      <c r="A53" s="72"/>
      <c r="B53" s="82">
        <v>39</v>
      </c>
      <c r="C53" s="604">
        <f>'C. FILIACION'!C52</f>
        <v>0</v>
      </c>
      <c r="D53" s="604"/>
      <c r="E53" s="262"/>
      <c r="F53" s="262"/>
      <c r="G53" s="262"/>
      <c r="H53" s="262"/>
      <c r="I53" s="262"/>
      <c r="J53" s="262"/>
      <c r="K53" s="262"/>
      <c r="L53" s="262"/>
      <c r="M53" s="262"/>
      <c r="N53" s="262"/>
      <c r="O53" s="262"/>
      <c r="P53" s="262"/>
      <c r="Q53" s="262"/>
      <c r="R53" s="262"/>
      <c r="S53" s="262"/>
      <c r="T53" s="262"/>
      <c r="U53" s="262"/>
      <c r="V53" s="262"/>
      <c r="W53" s="262"/>
      <c r="X53" s="262"/>
      <c r="Y53" s="262"/>
      <c r="Z53" s="262"/>
      <c r="AA53" s="262"/>
      <c r="AB53" s="262"/>
      <c r="AC53" s="262"/>
      <c r="AD53" s="262"/>
      <c r="AE53" s="262"/>
      <c r="AF53" s="262"/>
      <c r="AG53" s="262"/>
      <c r="AH53" s="262"/>
      <c r="AI53" s="262"/>
      <c r="AJ53" s="262"/>
      <c r="AK53" s="262"/>
      <c r="AL53" s="262"/>
      <c r="AM53" s="262"/>
      <c r="AN53" s="262"/>
      <c r="AO53" s="262"/>
      <c r="AP53" s="262"/>
      <c r="AQ53" s="262"/>
      <c r="AR53" s="262"/>
      <c r="AS53" s="262"/>
      <c r="AT53" s="262"/>
      <c r="AU53" s="262"/>
      <c r="AV53" s="262"/>
      <c r="AW53" s="262"/>
      <c r="AX53" s="262"/>
      <c r="AY53" s="262"/>
      <c r="AZ53" s="262"/>
      <c r="BA53" s="262"/>
      <c r="BB53" s="262"/>
      <c r="BC53" s="262"/>
      <c r="BD53" s="262"/>
      <c r="BE53" s="262"/>
      <c r="BF53" s="263"/>
      <c r="BG53" s="490" t="str">
        <f t="shared" si="0"/>
        <v/>
      </c>
      <c r="BH53" s="490" t="str">
        <f t="shared" si="1"/>
        <v/>
      </c>
      <c r="BI53" s="490" t="str">
        <f t="shared" si="2"/>
        <v/>
      </c>
      <c r="BJ53" s="491" t="str">
        <f t="shared" si="3"/>
        <v/>
      </c>
      <c r="BK53" s="492" t="str">
        <f t="shared" si="4"/>
        <v/>
      </c>
    </row>
    <row r="54" spans="1:63" x14ac:dyDescent="0.25">
      <c r="A54" s="72"/>
      <c r="B54" s="82">
        <v>40</v>
      </c>
      <c r="C54" s="604">
        <f>'C. FILIACION'!C53</f>
        <v>0</v>
      </c>
      <c r="D54" s="604"/>
      <c r="E54" s="262"/>
      <c r="F54" s="262"/>
      <c r="G54" s="262"/>
      <c r="H54" s="262"/>
      <c r="I54" s="262"/>
      <c r="J54" s="262"/>
      <c r="K54" s="262"/>
      <c r="L54" s="262"/>
      <c r="M54" s="262"/>
      <c r="N54" s="262"/>
      <c r="O54" s="262"/>
      <c r="P54" s="262"/>
      <c r="Q54" s="262"/>
      <c r="R54" s="262"/>
      <c r="S54" s="262"/>
      <c r="T54" s="262"/>
      <c r="U54" s="262"/>
      <c r="V54" s="262"/>
      <c r="W54" s="262"/>
      <c r="X54" s="262"/>
      <c r="Y54" s="262"/>
      <c r="Z54" s="262"/>
      <c r="AA54" s="262"/>
      <c r="AB54" s="262"/>
      <c r="AC54" s="262"/>
      <c r="AD54" s="262"/>
      <c r="AE54" s="262"/>
      <c r="AF54" s="262"/>
      <c r="AG54" s="262"/>
      <c r="AH54" s="262"/>
      <c r="AI54" s="262"/>
      <c r="AJ54" s="262"/>
      <c r="AK54" s="262"/>
      <c r="AL54" s="262"/>
      <c r="AM54" s="262"/>
      <c r="AN54" s="262"/>
      <c r="AO54" s="262"/>
      <c r="AP54" s="262"/>
      <c r="AQ54" s="262"/>
      <c r="AR54" s="262"/>
      <c r="AS54" s="262"/>
      <c r="AT54" s="262"/>
      <c r="AU54" s="262"/>
      <c r="AV54" s="262"/>
      <c r="AW54" s="262"/>
      <c r="AX54" s="262"/>
      <c r="AY54" s="262"/>
      <c r="AZ54" s="262"/>
      <c r="BA54" s="262"/>
      <c r="BB54" s="262"/>
      <c r="BC54" s="262"/>
      <c r="BD54" s="262"/>
      <c r="BE54" s="262"/>
      <c r="BF54" s="263"/>
      <c r="BG54" s="490" t="str">
        <f t="shared" si="0"/>
        <v/>
      </c>
      <c r="BH54" s="490" t="str">
        <f t="shared" si="1"/>
        <v/>
      </c>
      <c r="BI54" s="490" t="str">
        <f t="shared" si="2"/>
        <v/>
      </c>
      <c r="BJ54" s="491" t="str">
        <f t="shared" si="3"/>
        <v/>
      </c>
      <c r="BK54" s="492" t="str">
        <f t="shared" si="4"/>
        <v/>
      </c>
    </row>
    <row r="55" spans="1:63" x14ac:dyDescent="0.25">
      <c r="A55" s="72"/>
      <c r="B55" s="82">
        <v>41</v>
      </c>
      <c r="C55" s="604">
        <f>'C. FILIACION'!C54</f>
        <v>0</v>
      </c>
      <c r="D55" s="604"/>
      <c r="E55" s="262"/>
      <c r="F55" s="262"/>
      <c r="G55" s="262"/>
      <c r="H55" s="262"/>
      <c r="I55" s="262"/>
      <c r="J55" s="262"/>
      <c r="K55" s="262"/>
      <c r="L55" s="262"/>
      <c r="M55" s="262"/>
      <c r="N55" s="262"/>
      <c r="O55" s="262"/>
      <c r="P55" s="262"/>
      <c r="Q55" s="262"/>
      <c r="R55" s="262"/>
      <c r="S55" s="262"/>
      <c r="T55" s="262"/>
      <c r="U55" s="262"/>
      <c r="V55" s="262"/>
      <c r="W55" s="262"/>
      <c r="X55" s="262"/>
      <c r="Y55" s="262"/>
      <c r="Z55" s="262"/>
      <c r="AA55" s="262"/>
      <c r="AB55" s="262"/>
      <c r="AC55" s="262"/>
      <c r="AD55" s="262"/>
      <c r="AE55" s="262"/>
      <c r="AF55" s="262"/>
      <c r="AG55" s="262"/>
      <c r="AH55" s="262"/>
      <c r="AI55" s="262"/>
      <c r="AJ55" s="262"/>
      <c r="AK55" s="262"/>
      <c r="AL55" s="262"/>
      <c r="AM55" s="262"/>
      <c r="AN55" s="262"/>
      <c r="AO55" s="262"/>
      <c r="AP55" s="262"/>
      <c r="AQ55" s="262"/>
      <c r="AR55" s="262"/>
      <c r="AS55" s="262"/>
      <c r="AT55" s="262"/>
      <c r="AU55" s="262"/>
      <c r="AV55" s="262"/>
      <c r="AW55" s="262"/>
      <c r="AX55" s="262"/>
      <c r="AY55" s="262"/>
      <c r="AZ55" s="262"/>
      <c r="BA55" s="262"/>
      <c r="BB55" s="262"/>
      <c r="BC55" s="262"/>
      <c r="BD55" s="262"/>
      <c r="BE55" s="262"/>
      <c r="BF55" s="263"/>
      <c r="BG55" s="490" t="str">
        <f t="shared" si="0"/>
        <v/>
      </c>
      <c r="BH55" s="490" t="str">
        <f t="shared" si="1"/>
        <v/>
      </c>
      <c r="BI55" s="490" t="str">
        <f t="shared" si="2"/>
        <v/>
      </c>
      <c r="BJ55" s="491" t="str">
        <f t="shared" si="3"/>
        <v/>
      </c>
      <c r="BK55" s="492" t="str">
        <f t="shared" si="4"/>
        <v/>
      </c>
    </row>
    <row r="56" spans="1:63" x14ac:dyDescent="0.25">
      <c r="A56" s="72"/>
      <c r="B56" s="82">
        <v>42</v>
      </c>
      <c r="C56" s="604">
        <f>'C. FILIACION'!C55</f>
        <v>0</v>
      </c>
      <c r="D56" s="604"/>
      <c r="E56" s="262"/>
      <c r="F56" s="262"/>
      <c r="G56" s="262"/>
      <c r="H56" s="262"/>
      <c r="I56" s="262"/>
      <c r="J56" s="262"/>
      <c r="K56" s="262"/>
      <c r="L56" s="262"/>
      <c r="M56" s="262"/>
      <c r="N56" s="262"/>
      <c r="O56" s="262"/>
      <c r="P56" s="262"/>
      <c r="Q56" s="262"/>
      <c r="R56" s="262"/>
      <c r="S56" s="262"/>
      <c r="T56" s="262"/>
      <c r="U56" s="262"/>
      <c r="V56" s="262"/>
      <c r="W56" s="262"/>
      <c r="X56" s="262"/>
      <c r="Y56" s="262"/>
      <c r="Z56" s="262"/>
      <c r="AA56" s="262"/>
      <c r="AB56" s="262"/>
      <c r="AC56" s="262"/>
      <c r="AD56" s="262"/>
      <c r="AE56" s="262"/>
      <c r="AF56" s="262"/>
      <c r="AG56" s="262"/>
      <c r="AH56" s="262"/>
      <c r="AI56" s="262"/>
      <c r="AJ56" s="262"/>
      <c r="AK56" s="262"/>
      <c r="AL56" s="262"/>
      <c r="AM56" s="262"/>
      <c r="AN56" s="262"/>
      <c r="AO56" s="262"/>
      <c r="AP56" s="262"/>
      <c r="AQ56" s="262"/>
      <c r="AR56" s="262"/>
      <c r="AS56" s="262"/>
      <c r="AT56" s="262"/>
      <c r="AU56" s="262"/>
      <c r="AV56" s="262"/>
      <c r="AW56" s="262"/>
      <c r="AX56" s="262"/>
      <c r="AY56" s="262"/>
      <c r="AZ56" s="262"/>
      <c r="BA56" s="262"/>
      <c r="BB56" s="262"/>
      <c r="BC56" s="262"/>
      <c r="BD56" s="262"/>
      <c r="BE56" s="262"/>
      <c r="BF56" s="263"/>
      <c r="BG56" s="490" t="str">
        <f t="shared" si="0"/>
        <v/>
      </c>
      <c r="BH56" s="490" t="str">
        <f t="shared" si="1"/>
        <v/>
      </c>
      <c r="BI56" s="490" t="str">
        <f t="shared" si="2"/>
        <v/>
      </c>
      <c r="BJ56" s="491" t="str">
        <f t="shared" si="3"/>
        <v/>
      </c>
      <c r="BK56" s="492" t="str">
        <f t="shared" si="4"/>
        <v/>
      </c>
    </row>
    <row r="57" spans="1:63" x14ac:dyDescent="0.25">
      <c r="A57" s="72"/>
      <c r="B57" s="82">
        <v>43</v>
      </c>
      <c r="C57" s="604">
        <f>'C. FILIACION'!C56</f>
        <v>0</v>
      </c>
      <c r="D57" s="604"/>
      <c r="E57" s="262"/>
      <c r="F57" s="262"/>
      <c r="G57" s="262"/>
      <c r="H57" s="262"/>
      <c r="I57" s="262"/>
      <c r="J57" s="262"/>
      <c r="K57" s="262"/>
      <c r="L57" s="262"/>
      <c r="M57" s="262"/>
      <c r="N57" s="262"/>
      <c r="O57" s="262"/>
      <c r="P57" s="262"/>
      <c r="Q57" s="262"/>
      <c r="R57" s="262"/>
      <c r="S57" s="262"/>
      <c r="T57" s="262"/>
      <c r="U57" s="262"/>
      <c r="V57" s="262"/>
      <c r="W57" s="262"/>
      <c r="X57" s="262"/>
      <c r="Y57" s="262"/>
      <c r="Z57" s="262"/>
      <c r="AA57" s="262"/>
      <c r="AB57" s="262"/>
      <c r="AC57" s="262"/>
      <c r="AD57" s="262"/>
      <c r="AE57" s="262"/>
      <c r="AF57" s="262"/>
      <c r="AG57" s="262"/>
      <c r="AH57" s="262"/>
      <c r="AI57" s="262"/>
      <c r="AJ57" s="262"/>
      <c r="AK57" s="262"/>
      <c r="AL57" s="262"/>
      <c r="AM57" s="262"/>
      <c r="AN57" s="262"/>
      <c r="AO57" s="262"/>
      <c r="AP57" s="262"/>
      <c r="AQ57" s="262"/>
      <c r="AR57" s="262"/>
      <c r="AS57" s="262"/>
      <c r="AT57" s="262"/>
      <c r="AU57" s="262"/>
      <c r="AV57" s="262"/>
      <c r="AW57" s="262"/>
      <c r="AX57" s="262"/>
      <c r="AY57" s="262"/>
      <c r="AZ57" s="262"/>
      <c r="BA57" s="262"/>
      <c r="BB57" s="262"/>
      <c r="BC57" s="262"/>
      <c r="BD57" s="262"/>
      <c r="BE57" s="262"/>
      <c r="BF57" s="263"/>
      <c r="BG57" s="490" t="str">
        <f t="shared" si="0"/>
        <v/>
      </c>
      <c r="BH57" s="490" t="str">
        <f t="shared" si="1"/>
        <v/>
      </c>
      <c r="BI57" s="490" t="str">
        <f t="shared" si="2"/>
        <v/>
      </c>
      <c r="BJ57" s="491" t="str">
        <f t="shared" si="3"/>
        <v/>
      </c>
      <c r="BK57" s="492" t="str">
        <f t="shared" si="4"/>
        <v/>
      </c>
    </row>
    <row r="58" spans="1:63" x14ac:dyDescent="0.25">
      <c r="A58" s="72"/>
      <c r="B58" s="82">
        <v>44</v>
      </c>
      <c r="C58" s="604">
        <f>'C. FILIACION'!C57</f>
        <v>0</v>
      </c>
      <c r="D58" s="604"/>
      <c r="E58" s="262"/>
      <c r="F58" s="262"/>
      <c r="G58" s="262"/>
      <c r="H58" s="262"/>
      <c r="I58" s="262"/>
      <c r="J58" s="262"/>
      <c r="K58" s="262"/>
      <c r="L58" s="262"/>
      <c r="M58" s="262"/>
      <c r="N58" s="262"/>
      <c r="O58" s="262"/>
      <c r="P58" s="262"/>
      <c r="Q58" s="262"/>
      <c r="R58" s="262"/>
      <c r="S58" s="262"/>
      <c r="T58" s="262"/>
      <c r="U58" s="262"/>
      <c r="V58" s="262"/>
      <c r="W58" s="262"/>
      <c r="X58" s="262"/>
      <c r="Y58" s="262"/>
      <c r="Z58" s="262"/>
      <c r="AA58" s="262"/>
      <c r="AB58" s="262"/>
      <c r="AC58" s="262"/>
      <c r="AD58" s="262"/>
      <c r="AE58" s="262"/>
      <c r="AF58" s="262"/>
      <c r="AG58" s="262"/>
      <c r="AH58" s="262"/>
      <c r="AI58" s="262"/>
      <c r="AJ58" s="262"/>
      <c r="AK58" s="262"/>
      <c r="AL58" s="262"/>
      <c r="AM58" s="262"/>
      <c r="AN58" s="262"/>
      <c r="AO58" s="262"/>
      <c r="AP58" s="262"/>
      <c r="AQ58" s="262"/>
      <c r="AR58" s="262"/>
      <c r="AS58" s="262"/>
      <c r="AT58" s="262"/>
      <c r="AU58" s="262"/>
      <c r="AV58" s="262"/>
      <c r="AW58" s="262"/>
      <c r="AX58" s="262"/>
      <c r="AY58" s="262"/>
      <c r="AZ58" s="262"/>
      <c r="BA58" s="262"/>
      <c r="BB58" s="262"/>
      <c r="BC58" s="262"/>
      <c r="BD58" s="262"/>
      <c r="BE58" s="262"/>
      <c r="BF58" s="263"/>
      <c r="BG58" s="490" t="str">
        <f t="shared" si="0"/>
        <v/>
      </c>
      <c r="BH58" s="490" t="str">
        <f t="shared" si="1"/>
        <v/>
      </c>
      <c r="BI58" s="490" t="str">
        <f t="shared" si="2"/>
        <v/>
      </c>
      <c r="BJ58" s="491" t="str">
        <f t="shared" si="3"/>
        <v/>
      </c>
      <c r="BK58" s="492" t="str">
        <f t="shared" si="4"/>
        <v/>
      </c>
    </row>
    <row r="59" spans="1:63" x14ac:dyDescent="0.25">
      <c r="A59" s="72"/>
      <c r="B59" s="82">
        <v>45</v>
      </c>
      <c r="C59" s="604">
        <f>'C. FILIACION'!C58</f>
        <v>0</v>
      </c>
      <c r="D59" s="604"/>
      <c r="E59" s="262"/>
      <c r="F59" s="262"/>
      <c r="G59" s="262"/>
      <c r="H59" s="262"/>
      <c r="I59" s="262"/>
      <c r="J59" s="262"/>
      <c r="K59" s="262"/>
      <c r="L59" s="262"/>
      <c r="M59" s="262"/>
      <c r="N59" s="262"/>
      <c r="O59" s="262"/>
      <c r="P59" s="262"/>
      <c r="Q59" s="262"/>
      <c r="R59" s="262"/>
      <c r="S59" s="262"/>
      <c r="T59" s="262"/>
      <c r="U59" s="262"/>
      <c r="V59" s="262"/>
      <c r="W59" s="262"/>
      <c r="X59" s="262"/>
      <c r="Y59" s="262"/>
      <c r="Z59" s="262"/>
      <c r="AA59" s="262"/>
      <c r="AB59" s="262"/>
      <c r="AC59" s="262"/>
      <c r="AD59" s="262"/>
      <c r="AE59" s="262"/>
      <c r="AF59" s="262"/>
      <c r="AG59" s="262"/>
      <c r="AH59" s="262"/>
      <c r="AI59" s="262"/>
      <c r="AJ59" s="262"/>
      <c r="AK59" s="262"/>
      <c r="AL59" s="262"/>
      <c r="AM59" s="262"/>
      <c r="AN59" s="262"/>
      <c r="AO59" s="262"/>
      <c r="AP59" s="262"/>
      <c r="AQ59" s="262"/>
      <c r="AR59" s="262"/>
      <c r="AS59" s="262"/>
      <c r="AT59" s="262"/>
      <c r="AU59" s="262"/>
      <c r="AV59" s="262"/>
      <c r="AW59" s="262"/>
      <c r="AX59" s="262"/>
      <c r="AY59" s="262"/>
      <c r="AZ59" s="262"/>
      <c r="BA59" s="262"/>
      <c r="BB59" s="262"/>
      <c r="BC59" s="262"/>
      <c r="BD59" s="262"/>
      <c r="BE59" s="262"/>
      <c r="BF59" s="263"/>
      <c r="BG59" s="490" t="str">
        <f t="shared" si="0"/>
        <v/>
      </c>
      <c r="BH59" s="490" t="str">
        <f t="shared" si="1"/>
        <v/>
      </c>
      <c r="BI59" s="490" t="str">
        <f t="shared" si="2"/>
        <v/>
      </c>
      <c r="BJ59" s="491" t="str">
        <f t="shared" si="3"/>
        <v/>
      </c>
      <c r="BK59" s="492" t="str">
        <f t="shared" si="4"/>
        <v/>
      </c>
    </row>
    <row r="60" spans="1:63" x14ac:dyDescent="0.25">
      <c r="A60" s="72"/>
      <c r="B60" s="83"/>
      <c r="C60" s="83"/>
      <c r="D60" s="83"/>
      <c r="E60" s="35"/>
      <c r="F60" s="35"/>
      <c r="G60" s="35"/>
      <c r="H60" s="35"/>
      <c r="I60" s="35"/>
      <c r="J60" s="35"/>
      <c r="K60" s="35"/>
      <c r="L60" s="35"/>
      <c r="M60" s="35"/>
      <c r="N60" s="35"/>
      <c r="O60" s="35"/>
      <c r="P60" s="35"/>
      <c r="Q60" s="35"/>
      <c r="R60" s="35"/>
      <c r="S60" s="35"/>
      <c r="T60" s="35"/>
      <c r="U60" s="35"/>
      <c r="V60" s="35"/>
      <c r="W60" s="35"/>
      <c r="X60" s="35"/>
      <c r="Y60" s="35"/>
      <c r="Z60" s="35"/>
      <c r="AA60" s="35"/>
      <c r="AB60" s="35"/>
      <c r="AC60" s="35"/>
      <c r="AD60" s="35"/>
      <c r="AE60" s="35"/>
      <c r="AF60" s="35"/>
      <c r="AG60" s="35"/>
      <c r="AH60" s="35"/>
      <c r="AI60" s="35"/>
      <c r="AJ60" s="35"/>
      <c r="AK60" s="35"/>
      <c r="AL60" s="35"/>
      <c r="AM60" s="35"/>
      <c r="AN60" s="35"/>
      <c r="AO60" s="35"/>
      <c r="AP60" s="35"/>
      <c r="AQ60" s="35"/>
      <c r="AR60" s="35"/>
      <c r="AS60" s="35"/>
      <c r="AT60" s="35"/>
      <c r="AU60" s="35"/>
      <c r="AV60" s="35"/>
      <c r="AW60" s="35"/>
      <c r="AX60" s="35"/>
      <c r="AY60" s="35"/>
      <c r="AZ60" s="35"/>
      <c r="BA60" s="35"/>
      <c r="BB60" s="35"/>
      <c r="BC60" s="35"/>
      <c r="BD60" s="35"/>
      <c r="BE60" s="35"/>
      <c r="BF60" s="35"/>
      <c r="BG60" s="83"/>
      <c r="BH60" s="83"/>
      <c r="BI60" s="83"/>
      <c r="BJ60" s="83"/>
      <c r="BK60" s="83"/>
    </row>
    <row r="61" spans="1:63" x14ac:dyDescent="0.25">
      <c r="A61" s="72"/>
      <c r="B61" s="83"/>
      <c r="C61" s="83"/>
      <c r="D61" s="83"/>
      <c r="E61" s="35"/>
      <c r="F61" s="35"/>
      <c r="G61" s="35"/>
      <c r="H61" s="35"/>
      <c r="I61" s="35"/>
      <c r="J61" s="35"/>
      <c r="K61" s="35"/>
      <c r="L61" s="35"/>
      <c r="M61" s="35"/>
      <c r="N61" s="35"/>
      <c r="O61" s="35"/>
      <c r="P61" s="35"/>
      <c r="Q61" s="35"/>
      <c r="R61" s="35"/>
      <c r="S61" s="35"/>
      <c r="T61" s="35"/>
      <c r="U61" s="35"/>
      <c r="V61" s="35"/>
      <c r="W61" s="35"/>
      <c r="X61" s="35"/>
      <c r="Y61" s="35"/>
      <c r="Z61" s="35"/>
      <c r="AA61" s="35"/>
      <c r="AB61" s="35"/>
      <c r="AC61" s="35"/>
      <c r="AD61" s="35"/>
      <c r="AE61" s="35"/>
      <c r="AF61" s="35"/>
      <c r="AG61" s="35"/>
      <c r="AH61" s="35"/>
      <c r="AI61" s="35"/>
      <c r="AJ61" s="35"/>
      <c r="AK61" s="35"/>
      <c r="AL61" s="35"/>
      <c r="AM61" s="35"/>
      <c r="AN61" s="35"/>
      <c r="AO61" s="35"/>
      <c r="AP61" s="35"/>
      <c r="AQ61" s="35"/>
      <c r="AR61" s="35"/>
      <c r="AS61" s="35"/>
      <c r="AT61" s="35"/>
      <c r="AU61" s="35"/>
      <c r="AV61" s="35"/>
      <c r="AW61" s="35"/>
      <c r="AX61" s="35"/>
      <c r="AY61" s="35"/>
      <c r="AZ61" s="35"/>
      <c r="BA61" s="35"/>
      <c r="BB61" s="35"/>
      <c r="BC61" s="35"/>
      <c r="BD61" s="35"/>
      <c r="BE61" s="35"/>
      <c r="BF61" s="35"/>
      <c r="BG61" s="83"/>
      <c r="BH61" s="83"/>
      <c r="BI61" s="83"/>
      <c r="BJ61" s="83"/>
      <c r="BK61" s="83"/>
    </row>
    <row r="62" spans="1:63" ht="15.75" thickBot="1" x14ac:dyDescent="0.3">
      <c r="A62" s="72"/>
      <c r="B62" s="83"/>
      <c r="C62" s="83"/>
      <c r="D62" s="83"/>
      <c r="E62" s="83"/>
      <c r="F62" s="83"/>
      <c r="G62" s="83"/>
      <c r="H62" s="83"/>
      <c r="I62" s="83"/>
      <c r="J62" s="83"/>
      <c r="K62" s="83"/>
      <c r="L62" s="83"/>
      <c r="M62" s="83"/>
      <c r="N62" s="83"/>
      <c r="O62" s="83"/>
      <c r="P62" s="35"/>
      <c r="Q62" s="35"/>
      <c r="R62" s="35"/>
      <c r="S62" s="35"/>
      <c r="T62" s="35"/>
      <c r="U62" s="35"/>
      <c r="V62" s="35"/>
      <c r="W62" s="35"/>
      <c r="X62" s="35"/>
      <c r="Y62" s="35"/>
      <c r="Z62" s="35"/>
      <c r="AA62" s="35"/>
      <c r="AB62" s="35"/>
      <c r="AC62" s="35"/>
      <c r="AD62" s="35"/>
      <c r="AE62" s="35"/>
      <c r="AF62" s="35"/>
      <c r="AG62" s="35"/>
      <c r="AH62" s="35"/>
      <c r="AI62" s="35"/>
      <c r="AJ62" s="35"/>
      <c r="AK62" s="35"/>
      <c r="AL62" s="35"/>
      <c r="AM62" s="35"/>
      <c r="AN62" s="35"/>
      <c r="AO62" s="35"/>
      <c r="AP62" s="35"/>
      <c r="AQ62" s="35"/>
      <c r="AR62" s="35"/>
      <c r="AS62" s="35"/>
      <c r="AT62" s="35"/>
      <c r="AU62" s="35"/>
      <c r="AV62" s="35"/>
      <c r="AW62" s="35"/>
      <c r="AX62" s="83"/>
      <c r="AY62" s="83"/>
      <c r="AZ62" s="83"/>
      <c r="BA62" s="83"/>
      <c r="BB62" s="83"/>
      <c r="BC62" s="83"/>
      <c r="BD62" s="83"/>
      <c r="BE62" s="83"/>
      <c r="BF62" s="83"/>
      <c r="BG62" s="83"/>
      <c r="BH62" s="35"/>
      <c r="BI62" s="35"/>
      <c r="BJ62" s="35"/>
      <c r="BK62" s="35"/>
    </row>
    <row r="63" spans="1:63" ht="25.5" customHeight="1" thickTop="1" x14ac:dyDescent="0.25">
      <c r="A63" s="72"/>
      <c r="B63" s="83"/>
      <c r="C63" s="83"/>
      <c r="D63" s="83"/>
      <c r="E63" s="678">
        <f>CARATULA!G22</f>
        <v>0</v>
      </c>
      <c r="F63" s="678"/>
      <c r="G63" s="678"/>
      <c r="H63" s="678"/>
      <c r="I63" s="678"/>
      <c r="J63" s="678"/>
      <c r="K63" s="678"/>
      <c r="L63" s="678"/>
      <c r="M63" s="678"/>
      <c r="N63" s="678"/>
      <c r="O63" s="678"/>
      <c r="P63" s="98"/>
      <c r="Q63" s="98"/>
      <c r="R63" s="98"/>
      <c r="S63" s="98"/>
      <c r="T63" s="98"/>
      <c r="U63" s="98"/>
      <c r="V63" s="98"/>
      <c r="W63" s="98"/>
      <c r="X63" s="98"/>
      <c r="Y63" s="98"/>
      <c r="Z63" s="98"/>
      <c r="AA63" s="98"/>
      <c r="AB63" s="98"/>
      <c r="AC63" s="98"/>
      <c r="AD63" s="98"/>
      <c r="AE63" s="98"/>
      <c r="AF63" s="98"/>
      <c r="AG63" s="98"/>
      <c r="AH63" s="98"/>
      <c r="AI63" s="98"/>
      <c r="AJ63" s="98"/>
      <c r="AK63" s="98"/>
      <c r="AL63" s="98"/>
      <c r="AM63" s="98"/>
      <c r="AN63" s="98"/>
      <c r="AO63" s="98"/>
      <c r="AP63" s="98"/>
      <c r="AQ63" s="98"/>
      <c r="AR63" s="98"/>
      <c r="AS63" s="98"/>
      <c r="AT63" s="98"/>
      <c r="AU63" s="98"/>
      <c r="AV63" s="98"/>
      <c r="AW63" s="98"/>
      <c r="AX63" s="607">
        <f>CARATULA!G24</f>
        <v>0</v>
      </c>
      <c r="AY63" s="607"/>
      <c r="AZ63" s="607"/>
      <c r="BA63" s="607"/>
      <c r="BB63" s="607"/>
      <c r="BC63" s="607"/>
      <c r="BD63" s="607"/>
      <c r="BE63" s="607"/>
      <c r="BF63" s="607"/>
      <c r="BG63" s="607"/>
      <c r="BH63" s="35"/>
      <c r="BI63" s="35"/>
      <c r="BJ63" s="35"/>
      <c r="BK63" s="35"/>
    </row>
    <row r="64" spans="1:63" ht="15" customHeight="1" x14ac:dyDescent="0.25">
      <c r="A64" s="72"/>
      <c r="B64" s="83"/>
      <c r="C64" s="83"/>
      <c r="D64" s="83"/>
      <c r="E64" s="99"/>
      <c r="F64" s="99"/>
      <c r="G64" s="99"/>
      <c r="H64" s="99"/>
      <c r="I64" s="99"/>
      <c r="J64" s="99"/>
      <c r="K64" s="99"/>
      <c r="L64" s="99"/>
      <c r="M64" s="99"/>
      <c r="N64" s="99"/>
      <c r="O64" s="99"/>
      <c r="P64" s="98"/>
      <c r="Q64" s="98"/>
      <c r="R64" s="98"/>
      <c r="S64" s="98"/>
      <c r="T64" s="98"/>
      <c r="U64" s="98"/>
      <c r="V64" s="98"/>
      <c r="W64" s="98"/>
      <c r="X64" s="98"/>
      <c r="Y64" s="98"/>
      <c r="Z64" s="98"/>
      <c r="AA64" s="98"/>
      <c r="AB64" s="98"/>
      <c r="AC64" s="98"/>
      <c r="AD64" s="98"/>
      <c r="AE64" s="98"/>
      <c r="AF64" s="98"/>
      <c r="AG64" s="98"/>
      <c r="AH64" s="98"/>
      <c r="AI64" s="98"/>
      <c r="AJ64" s="98"/>
      <c r="AK64" s="98"/>
      <c r="AL64" s="98"/>
      <c r="AM64" s="98"/>
      <c r="AN64" s="98"/>
      <c r="AO64" s="98"/>
      <c r="AP64" s="98"/>
      <c r="AQ64" s="98"/>
      <c r="AR64" s="98"/>
      <c r="AS64" s="98"/>
      <c r="AT64" s="98"/>
      <c r="AU64" s="98"/>
      <c r="AV64" s="98"/>
      <c r="AW64" s="98"/>
      <c r="AX64" s="100"/>
      <c r="AY64" s="100"/>
      <c r="AZ64" s="100"/>
      <c r="BA64" s="100"/>
      <c r="BB64" s="100"/>
      <c r="BC64" s="100"/>
      <c r="BD64" s="100"/>
      <c r="BE64" s="100"/>
      <c r="BF64" s="100"/>
      <c r="BG64" s="100"/>
      <c r="BH64" s="35"/>
      <c r="BI64" s="35"/>
      <c r="BJ64" s="35"/>
      <c r="BK64" s="35"/>
    </row>
    <row r="65" spans="1:4" x14ac:dyDescent="0.25">
      <c r="A65" s="72"/>
      <c r="B65" s="72"/>
      <c r="C65" s="72"/>
      <c r="D65" s="72"/>
    </row>
    <row r="66" spans="1:4" x14ac:dyDescent="0.25">
      <c r="A66" s="72"/>
      <c r="B66" s="87"/>
      <c r="C66" s="87"/>
      <c r="D66" s="72"/>
    </row>
    <row r="67" spans="1:4" x14ac:dyDescent="0.25">
      <c r="A67" s="72"/>
      <c r="B67" s="87"/>
      <c r="C67" s="87" t="s">
        <v>46</v>
      </c>
      <c r="D67" s="72"/>
    </row>
    <row r="68" spans="1:4" x14ac:dyDescent="0.25">
      <c r="A68" s="72"/>
      <c r="B68" s="87"/>
      <c r="C68" s="87" t="s">
        <v>47</v>
      </c>
      <c r="D68" s="72"/>
    </row>
    <row r="69" spans="1:4" x14ac:dyDescent="0.25">
      <c r="A69" s="72"/>
      <c r="B69" s="87"/>
      <c r="C69" s="87" t="s">
        <v>48</v>
      </c>
      <c r="D69" s="72"/>
    </row>
    <row r="70" spans="1:4" x14ac:dyDescent="0.25">
      <c r="A70" s="72"/>
      <c r="B70" s="87"/>
      <c r="C70" s="87" t="s">
        <v>49</v>
      </c>
      <c r="D70" s="72"/>
    </row>
    <row r="71" spans="1:4" x14ac:dyDescent="0.25">
      <c r="A71" s="72"/>
      <c r="B71" s="87"/>
      <c r="C71" s="87"/>
      <c r="D71" s="72"/>
    </row>
    <row r="72" spans="1:4" x14ac:dyDescent="0.25">
      <c r="A72" s="72"/>
      <c r="B72" s="72"/>
      <c r="C72" s="102"/>
      <c r="D72" s="72"/>
    </row>
    <row r="73" spans="1:4" x14ac:dyDescent="0.25">
      <c r="A73" s="72"/>
      <c r="B73" s="72"/>
      <c r="C73" s="102"/>
      <c r="D73" s="72"/>
    </row>
    <row r="74" spans="1:4" x14ac:dyDescent="0.25">
      <c r="A74" s="72"/>
      <c r="B74" s="72"/>
      <c r="C74" s="72"/>
      <c r="D74" s="72"/>
    </row>
    <row r="75" spans="1:4" x14ac:dyDescent="0.25">
      <c r="A75" s="72"/>
      <c r="B75" s="72"/>
      <c r="C75" s="72"/>
      <c r="D75" s="72"/>
    </row>
    <row r="76" spans="1:4" x14ac:dyDescent="0.25">
      <c r="A76" s="72"/>
      <c r="B76" s="72"/>
      <c r="C76" s="72"/>
      <c r="D76" s="72"/>
    </row>
    <row r="77" spans="1:4" x14ac:dyDescent="0.25">
      <c r="A77" s="72"/>
      <c r="B77" s="72"/>
      <c r="C77" s="72"/>
      <c r="D77" s="72"/>
    </row>
  </sheetData>
  <sheetProtection password="D989" sheet="1" objects="1" scenarios="1"/>
  <mergeCells count="60">
    <mergeCell ref="B2:BK3"/>
    <mergeCell ref="B4:BK4"/>
    <mergeCell ref="BB5:BG5"/>
    <mergeCell ref="BH5:BJ5"/>
    <mergeCell ref="BB7:BG7"/>
    <mergeCell ref="BH7:BJ7"/>
    <mergeCell ref="C18:D18"/>
    <mergeCell ref="B13:B14"/>
    <mergeCell ref="C13:D14"/>
    <mergeCell ref="E13:BF13"/>
    <mergeCell ref="BB9:BG9"/>
    <mergeCell ref="BG13:BJ13"/>
    <mergeCell ref="BH9:BJ9"/>
    <mergeCell ref="BK13:BK14"/>
    <mergeCell ref="C15:D15"/>
    <mergeCell ref="C16:D16"/>
    <mergeCell ref="C17:D17"/>
    <mergeCell ref="C30:D30"/>
    <mergeCell ref="C19:D19"/>
    <mergeCell ref="C20:D20"/>
    <mergeCell ref="C21:D21"/>
    <mergeCell ref="C22:D22"/>
    <mergeCell ref="C23:D23"/>
    <mergeCell ref="C24:D24"/>
    <mergeCell ref="C25:D25"/>
    <mergeCell ref="C26:D26"/>
    <mergeCell ref="C27:D27"/>
    <mergeCell ref="C28:D28"/>
    <mergeCell ref="C29:D29"/>
    <mergeCell ref="C42:D42"/>
    <mergeCell ref="C31:D31"/>
    <mergeCell ref="C32:D32"/>
    <mergeCell ref="C33:D33"/>
    <mergeCell ref="C34:D34"/>
    <mergeCell ref="C35:D35"/>
    <mergeCell ref="C36:D36"/>
    <mergeCell ref="C37:D37"/>
    <mergeCell ref="C38:D38"/>
    <mergeCell ref="C39:D39"/>
    <mergeCell ref="C40:D40"/>
    <mergeCell ref="C41:D41"/>
    <mergeCell ref="C54:D54"/>
    <mergeCell ref="C43:D43"/>
    <mergeCell ref="C44:D44"/>
    <mergeCell ref="C45:D45"/>
    <mergeCell ref="C46:D46"/>
    <mergeCell ref="C47:D47"/>
    <mergeCell ref="C48:D48"/>
    <mergeCell ref="C49:D49"/>
    <mergeCell ref="C50:D50"/>
    <mergeCell ref="C51:D51"/>
    <mergeCell ref="C52:D52"/>
    <mergeCell ref="C53:D53"/>
    <mergeCell ref="AX63:BG63"/>
    <mergeCell ref="C55:D55"/>
    <mergeCell ref="C56:D56"/>
    <mergeCell ref="C57:D57"/>
    <mergeCell ref="C58:D58"/>
    <mergeCell ref="C59:D59"/>
    <mergeCell ref="E63:O63"/>
  </mergeCells>
  <conditionalFormatting sqref="BK15:BK59">
    <cfRule type="containsErrors" priority="2">
      <formula>ISERROR(BK15)</formula>
    </cfRule>
  </conditionalFormatting>
  <conditionalFormatting sqref="BK15:BK59">
    <cfRule type="containsText" dxfId="72" priority="1" operator="containsText" text="#¡VALOR!">
      <formula>NOT(ISERROR(SEARCH("#¡VALOR!",BK15)))</formula>
    </cfRule>
  </conditionalFormatting>
  <pageMargins left="0.25" right="0.25" top="0.75" bottom="0.75" header="0.3" footer="0.3"/>
  <pageSetup scale="71" orientation="portrait" r:id="rId1"/>
  <drawing r:id="rId2"/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>
    <tabColor rgb="FF00B0F0"/>
    <pageSetUpPr fitToPage="1"/>
  </sheetPr>
  <dimension ref="A1:BC83"/>
  <sheetViews>
    <sheetView showZeros="0" zoomScale="80" zoomScaleNormal="80" workbookViewId="0">
      <pane ySplit="18" topLeftCell="A22" activePane="bottomLeft" state="frozen"/>
      <selection pane="bottomLeft" activeCell="F24" sqref="F24"/>
    </sheetView>
  </sheetViews>
  <sheetFormatPr baseColWidth="10" defaultColWidth="11.42578125" defaultRowHeight="15" x14ac:dyDescent="0.25"/>
  <cols>
    <col min="1" max="1" width="1.28515625" style="66" customWidth="1"/>
    <col min="2" max="2" width="3.5703125" style="66" customWidth="1"/>
    <col min="3" max="3" width="28.5703125" style="66" customWidth="1"/>
    <col min="4" max="4" width="4" style="66" customWidth="1"/>
    <col min="5" max="9" width="2.7109375" style="66" customWidth="1"/>
    <col min="10" max="10" width="5.7109375" style="66" customWidth="1"/>
    <col min="11" max="25" width="2.7109375" style="66" customWidth="1"/>
    <col min="26" max="26" width="5.7109375" style="66" customWidth="1"/>
    <col min="27" max="41" width="2.7109375" style="66" customWidth="1"/>
    <col min="42" max="42" width="5.7109375" style="66" customWidth="1"/>
    <col min="43" max="47" width="2.7109375" style="66" customWidth="1"/>
    <col min="48" max="48" width="5.7109375" style="66" customWidth="1"/>
    <col min="49" max="49" width="8.7109375" style="66" customWidth="1"/>
    <col min="50" max="50" width="9.42578125" style="66" customWidth="1"/>
    <col min="51" max="51" width="8.85546875" style="66" customWidth="1"/>
    <col min="52" max="52" width="13.5703125" style="66" customWidth="1"/>
    <col min="53" max="53" width="8.5703125" style="66" customWidth="1"/>
    <col min="54" max="54" width="8.7109375" style="66" customWidth="1"/>
    <col min="55" max="55" width="50.28515625" style="66" customWidth="1"/>
    <col min="56" max="16384" width="11.42578125" style="66"/>
  </cols>
  <sheetData>
    <row r="1" spans="1:55" ht="6" customHeight="1" x14ac:dyDescent="0.25">
      <c r="A1" s="102"/>
      <c r="B1" s="72"/>
      <c r="C1" s="72"/>
      <c r="D1" s="72"/>
      <c r="E1" s="72"/>
      <c r="F1" s="72"/>
      <c r="G1" s="72"/>
      <c r="H1" s="72"/>
      <c r="I1" s="72"/>
      <c r="J1" s="72"/>
      <c r="K1" s="72"/>
      <c r="L1" s="72"/>
      <c r="M1" s="72"/>
      <c r="N1" s="72"/>
      <c r="O1" s="72"/>
      <c r="P1" s="72"/>
      <c r="Q1" s="72"/>
      <c r="R1" s="72"/>
      <c r="S1" s="72"/>
      <c r="T1" s="72"/>
      <c r="U1" s="72"/>
      <c r="V1" s="72"/>
      <c r="W1" s="72"/>
      <c r="X1" s="72"/>
      <c r="Y1" s="72"/>
      <c r="Z1" s="7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2"/>
      <c r="AT1" s="72"/>
      <c r="AU1" s="72"/>
      <c r="AV1" s="72"/>
      <c r="AW1" s="72"/>
      <c r="AX1" s="72"/>
      <c r="AY1" s="72"/>
      <c r="AZ1" s="72"/>
      <c r="BA1" s="72"/>
    </row>
    <row r="2" spans="1:55" ht="6.75" customHeight="1" x14ac:dyDescent="0.25">
      <c r="A2" s="102"/>
      <c r="B2" s="72"/>
      <c r="C2" s="72"/>
      <c r="D2" s="72"/>
      <c r="E2" s="72"/>
      <c r="F2" s="72"/>
      <c r="G2" s="72"/>
      <c r="H2" s="72"/>
      <c r="I2" s="72"/>
      <c r="J2" s="72"/>
      <c r="K2" s="72"/>
      <c r="L2" s="72"/>
      <c r="M2" s="72"/>
      <c r="N2" s="72"/>
      <c r="O2" s="72"/>
      <c r="P2" s="72"/>
      <c r="Q2" s="72"/>
      <c r="R2" s="72"/>
      <c r="S2" s="72"/>
      <c r="T2" s="72"/>
      <c r="U2" s="72"/>
      <c r="V2" s="72"/>
      <c r="W2" s="72"/>
      <c r="X2" s="72"/>
      <c r="Y2" s="72"/>
      <c r="Z2" s="72"/>
      <c r="AA2" s="72"/>
      <c r="AB2" s="72"/>
      <c r="AC2" s="72"/>
      <c r="AD2" s="72"/>
      <c r="AE2" s="72"/>
      <c r="AF2" s="72"/>
      <c r="AG2" s="72"/>
      <c r="AH2" s="72"/>
      <c r="AI2" s="72"/>
      <c r="AJ2" s="72"/>
      <c r="AK2" s="72"/>
      <c r="AL2" s="72"/>
      <c r="AM2" s="72"/>
      <c r="AN2" s="72"/>
      <c r="AO2" s="72"/>
      <c r="AP2" s="72"/>
      <c r="AQ2" s="72"/>
      <c r="AR2" s="72"/>
      <c r="AS2" s="72"/>
      <c r="AT2" s="72"/>
      <c r="AU2" s="72"/>
      <c r="AV2" s="72"/>
      <c r="AW2" s="72"/>
      <c r="AX2" s="72"/>
      <c r="AY2" s="72"/>
      <c r="AZ2" s="72"/>
      <c r="BA2" s="72"/>
    </row>
    <row r="3" spans="1:55" ht="9.9499999999999993" customHeight="1" x14ac:dyDescent="0.25">
      <c r="A3" s="102"/>
      <c r="B3" s="639" t="s">
        <v>262</v>
      </c>
      <c r="C3" s="640"/>
      <c r="D3" s="640"/>
      <c r="E3" s="640"/>
      <c r="F3" s="640"/>
      <c r="G3" s="640"/>
      <c r="H3" s="640"/>
      <c r="I3" s="640"/>
      <c r="J3" s="640"/>
      <c r="K3" s="640"/>
      <c r="L3" s="640"/>
      <c r="M3" s="640"/>
      <c r="N3" s="640"/>
      <c r="O3" s="640"/>
      <c r="P3" s="640"/>
      <c r="Q3" s="640"/>
      <c r="R3" s="640"/>
      <c r="S3" s="640"/>
      <c r="T3" s="640"/>
      <c r="U3" s="640"/>
      <c r="V3" s="640"/>
      <c r="W3" s="640"/>
      <c r="X3" s="640"/>
      <c r="Y3" s="640"/>
      <c r="Z3" s="640"/>
      <c r="AA3" s="640"/>
      <c r="AB3" s="640"/>
      <c r="AC3" s="640"/>
      <c r="AD3" s="640"/>
      <c r="AE3" s="640"/>
      <c r="AF3" s="640"/>
      <c r="AG3" s="640"/>
      <c r="AH3" s="640"/>
      <c r="AI3" s="640"/>
      <c r="AJ3" s="640"/>
      <c r="AK3" s="640"/>
      <c r="AL3" s="640"/>
      <c r="AM3" s="640"/>
      <c r="AN3" s="640"/>
      <c r="AO3" s="640"/>
      <c r="AP3" s="640"/>
      <c r="AQ3" s="640"/>
      <c r="AR3" s="640"/>
      <c r="AS3" s="640"/>
      <c r="AT3" s="640"/>
      <c r="AU3" s="640"/>
      <c r="AV3" s="640"/>
      <c r="AW3" s="640"/>
      <c r="AX3" s="640"/>
      <c r="AY3" s="640"/>
      <c r="AZ3" s="640"/>
      <c r="BA3" s="72"/>
    </row>
    <row r="4" spans="1:55" ht="7.5" customHeight="1" x14ac:dyDescent="0.25">
      <c r="A4" s="102"/>
      <c r="B4" s="639"/>
      <c r="C4" s="640"/>
      <c r="D4" s="640"/>
      <c r="E4" s="640"/>
      <c r="F4" s="640"/>
      <c r="G4" s="640"/>
      <c r="H4" s="640"/>
      <c r="I4" s="640"/>
      <c r="J4" s="640"/>
      <c r="K4" s="640"/>
      <c r="L4" s="640"/>
      <c r="M4" s="640"/>
      <c r="N4" s="640"/>
      <c r="O4" s="640"/>
      <c r="P4" s="640"/>
      <c r="Q4" s="640"/>
      <c r="R4" s="640"/>
      <c r="S4" s="640"/>
      <c r="T4" s="640"/>
      <c r="U4" s="640"/>
      <c r="V4" s="640"/>
      <c r="W4" s="640"/>
      <c r="X4" s="640"/>
      <c r="Y4" s="640"/>
      <c r="Z4" s="640"/>
      <c r="AA4" s="640"/>
      <c r="AB4" s="640"/>
      <c r="AC4" s="640"/>
      <c r="AD4" s="640"/>
      <c r="AE4" s="640"/>
      <c r="AF4" s="640"/>
      <c r="AG4" s="640"/>
      <c r="AH4" s="640"/>
      <c r="AI4" s="640"/>
      <c r="AJ4" s="640"/>
      <c r="AK4" s="640"/>
      <c r="AL4" s="640"/>
      <c r="AM4" s="640"/>
      <c r="AN4" s="640"/>
      <c r="AO4" s="640"/>
      <c r="AP4" s="640"/>
      <c r="AQ4" s="640"/>
      <c r="AR4" s="640"/>
      <c r="AS4" s="640"/>
      <c r="AT4" s="640"/>
      <c r="AU4" s="640"/>
      <c r="AV4" s="640"/>
      <c r="AW4" s="640"/>
      <c r="AX4" s="640"/>
      <c r="AY4" s="640"/>
      <c r="AZ4" s="640"/>
      <c r="BA4" s="72"/>
    </row>
    <row r="5" spans="1:55" ht="3" customHeight="1" x14ac:dyDescent="0.25">
      <c r="A5" s="102"/>
      <c r="B5" s="115"/>
      <c r="C5" s="115"/>
      <c r="D5" s="115"/>
      <c r="E5" s="115"/>
      <c r="F5" s="115"/>
      <c r="G5" s="115"/>
      <c r="H5" s="115"/>
      <c r="I5" s="115"/>
      <c r="J5" s="115"/>
      <c r="K5" s="115"/>
      <c r="L5" s="115"/>
      <c r="M5" s="115"/>
      <c r="N5" s="115"/>
      <c r="O5" s="115"/>
      <c r="P5" s="115"/>
      <c r="Q5" s="115"/>
      <c r="R5" s="115"/>
      <c r="S5" s="115"/>
      <c r="T5" s="115"/>
      <c r="U5" s="115"/>
      <c r="V5" s="115"/>
      <c r="W5" s="115"/>
      <c r="X5" s="115"/>
      <c r="Y5" s="115"/>
      <c r="Z5" s="115"/>
      <c r="AA5" s="115"/>
      <c r="AB5" s="115"/>
      <c r="AC5" s="115"/>
      <c r="AD5" s="115"/>
      <c r="AE5" s="116"/>
      <c r="AF5" s="72"/>
      <c r="AG5" s="72"/>
      <c r="AH5" s="72"/>
      <c r="AI5" s="72"/>
      <c r="AJ5" s="72"/>
      <c r="AK5" s="72"/>
      <c r="AL5" s="72"/>
      <c r="AM5" s="72"/>
      <c r="AN5" s="72"/>
      <c r="AO5" s="72"/>
      <c r="AP5" s="72"/>
      <c r="AQ5" s="72"/>
      <c r="AR5" s="72"/>
      <c r="AS5" s="72"/>
      <c r="AT5" s="72"/>
      <c r="AU5" s="72"/>
      <c r="AV5" s="72"/>
      <c r="AW5" s="72"/>
      <c r="AX5" s="72"/>
      <c r="AY5" s="72"/>
      <c r="AZ5" s="72"/>
      <c r="BA5" s="72"/>
    </row>
    <row r="6" spans="1:55" ht="19.5" customHeight="1" x14ac:dyDescent="0.25">
      <c r="A6" s="102"/>
      <c r="B6" s="117"/>
      <c r="C6" s="118" t="s">
        <v>1</v>
      </c>
      <c r="D6" s="119" t="s">
        <v>6</v>
      </c>
      <c r="E6" s="119"/>
      <c r="F6" s="495">
        <f>CARATULA!G20</f>
        <v>0</v>
      </c>
      <c r="G6" s="120"/>
      <c r="H6" s="120"/>
      <c r="I6" s="120"/>
      <c r="J6" s="120"/>
      <c r="K6" s="120"/>
      <c r="L6" s="120"/>
      <c r="M6" s="120"/>
      <c r="N6" s="120"/>
      <c r="O6" s="120"/>
      <c r="P6" s="120"/>
      <c r="Q6" s="120"/>
      <c r="R6" s="120"/>
      <c r="S6" s="120"/>
      <c r="T6" s="120"/>
      <c r="U6" s="120"/>
      <c r="V6" s="120" t="s">
        <v>44</v>
      </c>
      <c r="W6" s="120"/>
      <c r="X6" s="120"/>
      <c r="Y6" s="124"/>
      <c r="Z6" s="139"/>
      <c r="AA6" s="139"/>
      <c r="AB6" s="139"/>
      <c r="AC6" s="303" t="s">
        <v>6</v>
      </c>
      <c r="AD6" s="641">
        <f>CARATULA!P13</f>
        <v>43578</v>
      </c>
      <c r="AE6" s="641"/>
      <c r="AF6" s="641"/>
      <c r="AG6" s="641"/>
      <c r="AH6" s="641"/>
      <c r="AI6" s="121"/>
      <c r="AJ6" s="647"/>
      <c r="AK6" s="647"/>
      <c r="AL6" s="647"/>
      <c r="AM6" s="647"/>
      <c r="AN6" s="647"/>
      <c r="AO6" s="647"/>
      <c r="AP6" s="647"/>
      <c r="AQ6" s="649"/>
      <c r="AR6" s="649"/>
      <c r="AS6" s="668"/>
      <c r="AT6" s="669"/>
      <c r="AU6" s="669"/>
      <c r="AV6" s="669"/>
      <c r="AW6" s="669"/>
      <c r="AX6" s="670"/>
      <c r="AY6" s="702" t="s">
        <v>68</v>
      </c>
      <c r="AZ6" s="703"/>
      <c r="BA6" s="72"/>
    </row>
    <row r="7" spans="1:55" ht="12.95" customHeight="1" x14ac:dyDescent="0.25">
      <c r="A7" s="102"/>
      <c r="B7" s="117"/>
      <c r="C7" s="118" t="s">
        <v>2</v>
      </c>
      <c r="D7" s="119" t="s">
        <v>6</v>
      </c>
      <c r="E7" s="119"/>
      <c r="F7" s="495">
        <f>CARATULA!G26</f>
        <v>0</v>
      </c>
      <c r="G7" s="412"/>
      <c r="H7" s="412"/>
      <c r="I7" s="412"/>
      <c r="J7" s="412"/>
      <c r="K7" s="412"/>
      <c r="L7" s="412"/>
      <c r="M7" s="412"/>
      <c r="N7" s="412"/>
      <c r="O7" s="412"/>
      <c r="P7" s="412"/>
      <c r="Q7" s="412"/>
      <c r="R7" s="412"/>
      <c r="S7" s="412"/>
      <c r="T7" s="412"/>
      <c r="U7" s="412"/>
      <c r="V7" s="412"/>
      <c r="W7" s="412"/>
      <c r="X7" s="412"/>
      <c r="Y7" s="124"/>
      <c r="Z7" s="124"/>
      <c r="AA7" s="124"/>
      <c r="AB7" s="124"/>
      <c r="AC7" s="304"/>
      <c r="AD7" s="411"/>
      <c r="AE7" s="411"/>
      <c r="AF7" s="306"/>
      <c r="AG7" s="306"/>
      <c r="AH7" s="306"/>
      <c r="AI7" s="78"/>
      <c r="AJ7" s="651" t="s">
        <v>228</v>
      </c>
      <c r="AK7" s="651"/>
      <c r="AL7" s="651"/>
      <c r="AM7" s="651"/>
      <c r="AN7" s="651"/>
      <c r="AO7" s="651"/>
      <c r="AP7" s="651"/>
      <c r="AQ7" s="704">
        <f>COUNTIF(AY19:AY63,"&gt;=50,500")</f>
        <v>0</v>
      </c>
      <c r="AR7" s="704"/>
      <c r="AS7" s="671"/>
      <c r="AT7" s="649"/>
      <c r="AU7" s="649"/>
      <c r="AV7" s="649"/>
      <c r="AW7" s="649"/>
      <c r="AX7" s="672"/>
      <c r="AY7" s="702"/>
      <c r="AZ7" s="703"/>
      <c r="BA7" s="72"/>
    </row>
    <row r="8" spans="1:55" ht="12.95" customHeight="1" x14ac:dyDescent="0.25">
      <c r="A8" s="102"/>
      <c r="B8" s="117"/>
      <c r="C8" s="118" t="s">
        <v>99</v>
      </c>
      <c r="D8" s="119" t="s">
        <v>6</v>
      </c>
      <c r="E8" s="119"/>
      <c r="F8" s="495" t="str">
        <f>CONCATENATE(CARATULA!G28," ",CARATULA!H28)</f>
        <v xml:space="preserve"> </v>
      </c>
      <c r="G8" s="120"/>
      <c r="H8" s="120"/>
      <c r="I8" s="120"/>
      <c r="J8" s="120"/>
      <c r="K8" s="120"/>
      <c r="L8" s="120"/>
      <c r="M8" s="120"/>
      <c r="N8" s="120"/>
      <c r="O8" s="120"/>
      <c r="P8" s="120"/>
      <c r="Q8" s="120"/>
      <c r="R8" s="120"/>
      <c r="S8" s="120"/>
      <c r="T8" s="125"/>
      <c r="U8" s="120"/>
      <c r="V8" s="705" t="s">
        <v>45</v>
      </c>
      <c r="W8" s="705"/>
      <c r="X8" s="705"/>
      <c r="Y8" s="705"/>
      <c r="Z8" s="705"/>
      <c r="AA8" s="705"/>
      <c r="AB8" s="705"/>
      <c r="AC8" s="303" t="s">
        <v>6</v>
      </c>
      <c r="AD8" s="641">
        <f>CARATULA!R13</f>
        <v>43646</v>
      </c>
      <c r="AE8" s="641"/>
      <c r="AF8" s="641"/>
      <c r="AG8" s="641"/>
      <c r="AH8" s="641"/>
      <c r="AI8" s="121"/>
      <c r="AJ8" s="648" t="s">
        <v>229</v>
      </c>
      <c r="AK8" s="648"/>
      <c r="AL8" s="648"/>
      <c r="AM8" s="648"/>
      <c r="AN8" s="648"/>
      <c r="AO8" s="648"/>
      <c r="AP8" s="648"/>
      <c r="AQ8" s="706">
        <f>COUNTIFS(AY19:AY63,"&gt;=1",AY19:AY63,"&lt;=50,499")</f>
        <v>0</v>
      </c>
      <c r="AR8" s="706"/>
      <c r="AS8" s="671"/>
      <c r="AT8" s="649"/>
      <c r="AU8" s="649"/>
      <c r="AV8" s="649"/>
      <c r="AW8" s="649"/>
      <c r="AX8" s="672"/>
      <c r="AY8" s="645">
        <f ca="1">AD8-AD10</f>
        <v>136</v>
      </c>
      <c r="AZ8" s="646"/>
      <c r="BA8" s="72"/>
      <c r="BB8" s="424" t="s">
        <v>311</v>
      </c>
      <c r="BC8" s="424" t="s">
        <v>312</v>
      </c>
    </row>
    <row r="9" spans="1:55" ht="12.95" customHeight="1" x14ac:dyDescent="0.3">
      <c r="A9" s="102"/>
      <c r="B9" s="117"/>
      <c r="C9" s="118" t="s">
        <v>382</v>
      </c>
      <c r="D9" s="119" t="s">
        <v>6</v>
      </c>
      <c r="E9" s="119"/>
      <c r="F9" s="495">
        <f>CARATULA!G22</f>
        <v>0</v>
      </c>
      <c r="G9" s="120"/>
      <c r="H9" s="120"/>
      <c r="I9" s="120"/>
      <c r="J9" s="120"/>
      <c r="K9" s="120"/>
      <c r="L9" s="120"/>
      <c r="M9" s="120"/>
      <c r="N9" s="120"/>
      <c r="O9" s="120"/>
      <c r="P9" s="120"/>
      <c r="Q9" s="120"/>
      <c r="R9" s="120"/>
      <c r="S9" s="120"/>
      <c r="T9" s="120"/>
      <c r="U9" s="120"/>
      <c r="V9" s="412"/>
      <c r="W9" s="412"/>
      <c r="X9" s="412"/>
      <c r="Y9" s="124"/>
      <c r="Z9" s="124"/>
      <c r="AA9" s="124"/>
      <c r="AB9" s="124"/>
      <c r="AC9" s="304"/>
      <c r="AD9" s="411"/>
      <c r="AE9" s="411"/>
      <c r="AF9" s="410"/>
      <c r="AG9" s="410"/>
      <c r="AH9" s="410"/>
      <c r="AI9" s="76"/>
      <c r="AJ9" s="76"/>
      <c r="AK9" s="76"/>
      <c r="AL9" s="76"/>
      <c r="AM9" s="76"/>
      <c r="AN9" s="76"/>
      <c r="AO9" s="76"/>
      <c r="AP9" s="76"/>
      <c r="AQ9" s="76"/>
      <c r="AR9" s="76"/>
      <c r="AS9" s="671"/>
      <c r="AT9" s="649"/>
      <c r="AU9" s="649"/>
      <c r="AV9" s="649"/>
      <c r="AW9" s="649"/>
      <c r="AX9" s="672"/>
      <c r="AY9" s="645"/>
      <c r="AZ9" s="646"/>
      <c r="BA9" s="72"/>
      <c r="BB9" s="413"/>
      <c r="BC9" s="413"/>
    </row>
    <row r="10" spans="1:55" ht="12.95" customHeight="1" x14ac:dyDescent="0.25">
      <c r="A10" s="102"/>
      <c r="B10" s="117"/>
      <c r="C10" s="118" t="s">
        <v>383</v>
      </c>
      <c r="D10" s="119" t="s">
        <v>6</v>
      </c>
      <c r="E10" s="119"/>
      <c r="F10" s="495">
        <f>CARATULA!G24</f>
        <v>0</v>
      </c>
      <c r="G10" s="120"/>
      <c r="H10" s="120"/>
      <c r="I10" s="120"/>
      <c r="J10" s="120"/>
      <c r="K10" s="120"/>
      <c r="L10" s="120"/>
      <c r="M10" s="120"/>
      <c r="N10" s="120"/>
      <c r="O10" s="120"/>
      <c r="P10" s="120"/>
      <c r="Q10" s="120"/>
      <c r="R10" s="120"/>
      <c r="S10" s="120"/>
      <c r="T10" s="120"/>
      <c r="U10" s="120"/>
      <c r="V10" s="676" t="s">
        <v>66</v>
      </c>
      <c r="W10" s="676"/>
      <c r="X10" s="676"/>
      <c r="Y10" s="676"/>
      <c r="Z10" s="676"/>
      <c r="AA10" s="676"/>
      <c r="AB10" s="676"/>
      <c r="AC10" s="304" t="s">
        <v>6</v>
      </c>
      <c r="AD10" s="641">
        <f ca="1">TODAY()</f>
        <v>43510</v>
      </c>
      <c r="AE10" s="660"/>
      <c r="AF10" s="660"/>
      <c r="AG10" s="660"/>
      <c r="AH10" s="660"/>
      <c r="AI10" s="76"/>
      <c r="AJ10" s="76"/>
      <c r="AK10" s="76"/>
      <c r="AL10" s="76"/>
      <c r="AM10" s="76"/>
      <c r="AN10" s="76"/>
      <c r="AO10" s="76"/>
      <c r="AP10" s="76"/>
      <c r="AQ10" s="76"/>
      <c r="AR10" s="76"/>
      <c r="AS10" s="671"/>
      <c r="AT10" s="649"/>
      <c r="AU10" s="649"/>
      <c r="AV10" s="649"/>
      <c r="AW10" s="649"/>
      <c r="AX10" s="672"/>
      <c r="AY10" s="645"/>
      <c r="AZ10" s="646"/>
      <c r="BA10" s="72"/>
      <c r="BB10" s="414">
        <v>1</v>
      </c>
      <c r="BC10" s="505" t="str">
        <f>VLOOKUP(BB10,'C. FILIACION'!B14:C58, 2,FALSE)</f>
        <v>SUAREZ EVELIN ISELA</v>
      </c>
    </row>
    <row r="11" spans="1:55" ht="12.95" customHeight="1" x14ac:dyDescent="0.3">
      <c r="A11" s="494">
        <f>COUNTIF(AY19:AY63,¨&gt;=50)</f>
        <v>0</v>
      </c>
      <c r="B11" s="117"/>
      <c r="C11" s="118" t="s">
        <v>3</v>
      </c>
      <c r="D11" s="119" t="s">
        <v>6</v>
      </c>
      <c r="E11" s="119"/>
      <c r="F11" s="495">
        <f>CARATULA!G30</f>
        <v>0</v>
      </c>
      <c r="G11" s="120"/>
      <c r="H11" s="120"/>
      <c r="I11" s="120"/>
      <c r="J11" s="120"/>
      <c r="K11" s="120"/>
      <c r="L11" s="120"/>
      <c r="M11" s="120"/>
      <c r="N11" s="120"/>
      <c r="O11" s="120"/>
      <c r="P11" s="120"/>
      <c r="Q11" s="120"/>
      <c r="R11" s="120"/>
      <c r="S11" s="120"/>
      <c r="T11" s="120"/>
      <c r="U11" s="120"/>
      <c r="V11" s="412"/>
      <c r="W11" s="412"/>
      <c r="X11" s="412"/>
      <c r="Y11" s="124"/>
      <c r="Z11" s="124"/>
      <c r="AA11" s="124"/>
      <c r="AB11" s="124"/>
      <c r="AC11" s="124"/>
      <c r="AD11" s="124"/>
      <c r="AE11" s="124"/>
      <c r="AF11" s="76"/>
      <c r="AG11" s="76"/>
      <c r="AH11" s="76"/>
      <c r="AI11" s="76"/>
      <c r="AJ11" s="76"/>
      <c r="AK11" s="76"/>
      <c r="AL11" s="76"/>
      <c r="AM11" s="76"/>
      <c r="AN11" s="76"/>
      <c r="AO11" s="76"/>
      <c r="AP11" s="76"/>
      <c r="AQ11" s="76"/>
      <c r="AR11" s="76"/>
      <c r="AS11" s="671"/>
      <c r="AT11" s="649"/>
      <c r="AU11" s="649"/>
      <c r="AV11" s="649"/>
      <c r="AW11" s="649"/>
      <c r="AX11" s="672"/>
      <c r="AY11" s="645"/>
      <c r="AZ11" s="646"/>
      <c r="BA11" s="72"/>
      <c r="BB11" s="413"/>
      <c r="BC11" s="413"/>
    </row>
    <row r="12" spans="1:55" ht="12.95" customHeight="1" x14ac:dyDescent="0.3">
      <c r="A12" s="102"/>
      <c r="B12" s="117"/>
      <c r="C12" s="118" t="s">
        <v>21</v>
      </c>
      <c r="D12" s="119" t="s">
        <v>6</v>
      </c>
      <c r="E12" s="119"/>
      <c r="F12" s="495">
        <f>CARATULA!G32</f>
        <v>0</v>
      </c>
      <c r="G12" s="120"/>
      <c r="H12" s="120"/>
      <c r="I12" s="120"/>
      <c r="J12" s="120"/>
      <c r="K12" s="120"/>
      <c r="L12" s="120"/>
      <c r="M12" s="120"/>
      <c r="N12" s="120"/>
      <c r="O12" s="120"/>
      <c r="P12" s="120"/>
      <c r="Q12" s="120"/>
      <c r="R12" s="120"/>
      <c r="S12" s="120"/>
      <c r="T12" s="412"/>
      <c r="U12" s="412"/>
      <c r="V12" s="412"/>
      <c r="W12" s="412"/>
      <c r="X12" s="412"/>
      <c r="Y12" s="124"/>
      <c r="Z12" s="124"/>
      <c r="AA12" s="124"/>
      <c r="AB12" s="124"/>
      <c r="AC12" s="124"/>
      <c r="AD12" s="124"/>
      <c r="AE12" s="124"/>
      <c r="AF12" s="76"/>
      <c r="AG12" s="76"/>
      <c r="AH12" s="76"/>
      <c r="AI12" s="76"/>
      <c r="AJ12" s="76"/>
      <c r="AK12" s="76"/>
      <c r="AL12" s="76"/>
      <c r="AM12" s="76"/>
      <c r="AN12" s="76"/>
      <c r="AO12" s="76"/>
      <c r="AP12" s="76"/>
      <c r="AQ12" s="76"/>
      <c r="AR12" s="76"/>
      <c r="AS12" s="673"/>
      <c r="AT12" s="674"/>
      <c r="AU12" s="674"/>
      <c r="AV12" s="674"/>
      <c r="AW12" s="674"/>
      <c r="AX12" s="675"/>
      <c r="AY12" s="645"/>
      <c r="AZ12" s="646"/>
      <c r="BA12" s="72"/>
      <c r="BB12" s="413"/>
      <c r="BC12" s="424" t="s">
        <v>308</v>
      </c>
    </row>
    <row r="13" spans="1:55" ht="2.25" customHeight="1" x14ac:dyDescent="0.3">
      <c r="A13" s="101"/>
      <c r="B13" s="103"/>
      <c r="C13" s="103"/>
      <c r="D13" s="104"/>
      <c r="E13" s="105"/>
      <c r="F13" s="106"/>
      <c r="G13" s="106"/>
      <c r="H13" s="106"/>
      <c r="I13" s="106"/>
      <c r="J13" s="106"/>
      <c r="K13" s="106"/>
      <c r="L13" s="106"/>
      <c r="M13" s="106"/>
      <c r="N13" s="106"/>
      <c r="O13" s="106"/>
      <c r="P13" s="107"/>
      <c r="Q13" s="107"/>
      <c r="R13" s="106"/>
      <c r="S13" s="106"/>
      <c r="T13" s="106"/>
      <c r="U13" s="106"/>
      <c r="V13" s="106"/>
      <c r="W13" s="106"/>
      <c r="X13" s="106"/>
      <c r="Y13" s="103"/>
      <c r="Z13" s="103"/>
      <c r="AA13" s="103"/>
      <c r="AB13" s="103"/>
      <c r="AC13" s="103"/>
      <c r="AD13" s="103"/>
      <c r="AE13" s="103"/>
      <c r="AF13" s="103"/>
      <c r="AG13" s="103"/>
      <c r="AH13" s="103"/>
      <c r="AI13" s="103"/>
      <c r="AJ13" s="103"/>
      <c r="AZ13" s="108"/>
      <c r="BB13" s="413"/>
      <c r="BC13" s="413"/>
    </row>
    <row r="14" spans="1:55" ht="24" customHeight="1" x14ac:dyDescent="0.3">
      <c r="A14" s="102"/>
      <c r="B14" s="623"/>
      <c r="C14" s="623"/>
      <c r="D14" s="661" t="s">
        <v>240</v>
      </c>
      <c r="E14" s="662"/>
      <c r="F14" s="662"/>
      <c r="G14" s="662"/>
      <c r="H14" s="662"/>
      <c r="I14" s="662"/>
      <c r="J14" s="662"/>
      <c r="K14" s="662"/>
      <c r="L14" s="662"/>
      <c r="M14" s="662"/>
      <c r="N14" s="662"/>
      <c r="O14" s="662"/>
      <c r="P14" s="662"/>
      <c r="Q14" s="662"/>
      <c r="R14" s="662"/>
      <c r="S14" s="662"/>
      <c r="T14" s="662"/>
      <c r="U14" s="662"/>
      <c r="V14" s="662"/>
      <c r="W14" s="662"/>
      <c r="X14" s="662"/>
      <c r="Y14" s="662"/>
      <c r="Z14" s="662"/>
      <c r="AA14" s="662"/>
      <c r="AB14" s="662"/>
      <c r="AC14" s="662"/>
      <c r="AD14" s="662"/>
      <c r="AE14" s="662"/>
      <c r="AF14" s="662"/>
      <c r="AG14" s="662"/>
      <c r="AH14" s="662"/>
      <c r="AI14" s="662"/>
      <c r="AJ14" s="662"/>
      <c r="AK14" s="662"/>
      <c r="AL14" s="662"/>
      <c r="AM14" s="662"/>
      <c r="AN14" s="662"/>
      <c r="AO14" s="662"/>
      <c r="AP14" s="662"/>
      <c r="AQ14" s="662"/>
      <c r="AR14" s="662"/>
      <c r="AS14" s="662"/>
      <c r="AT14" s="662"/>
      <c r="AU14" s="662"/>
      <c r="AV14" s="663"/>
      <c r="AW14" s="626" t="s">
        <v>238</v>
      </c>
      <c r="AX14" s="627"/>
      <c r="AY14" s="656" t="s">
        <v>206</v>
      </c>
      <c r="AZ14" s="653" t="s">
        <v>67</v>
      </c>
      <c r="BA14" s="683"/>
      <c r="BB14" s="415"/>
      <c r="BC14" s="506">
        <f ca="1">NOW()</f>
        <v>43510.382920717595</v>
      </c>
    </row>
    <row r="15" spans="1:55" ht="15" customHeight="1" x14ac:dyDescent="0.3">
      <c r="A15" s="72"/>
      <c r="B15" s="624"/>
      <c r="C15" s="624"/>
      <c r="D15" s="664" t="s">
        <v>55</v>
      </c>
      <c r="E15" s="665"/>
      <c r="F15" s="665"/>
      <c r="G15" s="665"/>
      <c r="H15" s="665"/>
      <c r="I15" s="665"/>
      <c r="J15" s="665"/>
      <c r="K15" s="665"/>
      <c r="L15" s="665"/>
      <c r="M15" s="665"/>
      <c r="N15" s="665"/>
      <c r="O15" s="665"/>
      <c r="P15" s="665"/>
      <c r="Q15" s="665"/>
      <c r="R15" s="665"/>
      <c r="S15" s="665"/>
      <c r="T15" s="665"/>
      <c r="U15" s="665"/>
      <c r="V15" s="665"/>
      <c r="W15" s="665"/>
      <c r="X15" s="665"/>
      <c r="Y15" s="665"/>
      <c r="Z15" s="665"/>
      <c r="AA15" s="665"/>
      <c r="AB15" s="665"/>
      <c r="AC15" s="665"/>
      <c r="AD15" s="665"/>
      <c r="AE15" s="665"/>
      <c r="AF15" s="665"/>
      <c r="AG15" s="665"/>
      <c r="AH15" s="665"/>
      <c r="AI15" s="665"/>
      <c r="AJ15" s="665"/>
      <c r="AK15" s="665"/>
      <c r="AL15" s="665"/>
      <c r="AM15" s="665"/>
      <c r="AN15" s="665"/>
      <c r="AO15" s="665"/>
      <c r="AP15" s="665"/>
      <c r="AQ15" s="665"/>
      <c r="AR15" s="665"/>
      <c r="AS15" s="665"/>
      <c r="AT15" s="665"/>
      <c r="AU15" s="665"/>
      <c r="AV15" s="666"/>
      <c r="AW15" s="628" t="s">
        <v>55</v>
      </c>
      <c r="AX15" s="629"/>
      <c r="AY15" s="657"/>
      <c r="AZ15" s="654"/>
      <c r="BA15" s="683"/>
      <c r="BB15" s="415"/>
      <c r="BC15" s="413"/>
    </row>
    <row r="16" spans="1:55" ht="15" customHeight="1" x14ac:dyDescent="0.3">
      <c r="A16" s="72"/>
      <c r="B16" s="624"/>
      <c r="C16" s="624"/>
      <c r="D16" s="667" t="s">
        <v>59</v>
      </c>
      <c r="E16" s="667"/>
      <c r="F16" s="667"/>
      <c r="G16" s="667"/>
      <c r="H16" s="667"/>
      <c r="I16" s="667"/>
      <c r="J16" s="667"/>
      <c r="K16" s="634" t="s">
        <v>58</v>
      </c>
      <c r="L16" s="634"/>
      <c r="M16" s="634"/>
      <c r="N16" s="634"/>
      <c r="O16" s="634"/>
      <c r="P16" s="634"/>
      <c r="Q16" s="634"/>
      <c r="R16" s="634"/>
      <c r="S16" s="634"/>
      <c r="T16" s="634"/>
      <c r="U16" s="634"/>
      <c r="V16" s="634"/>
      <c r="W16" s="634"/>
      <c r="X16" s="634"/>
      <c r="Y16" s="634"/>
      <c r="Z16" s="634"/>
      <c r="AA16" s="635" t="s">
        <v>61</v>
      </c>
      <c r="AB16" s="635"/>
      <c r="AC16" s="635"/>
      <c r="AD16" s="635"/>
      <c r="AE16" s="635"/>
      <c r="AF16" s="635"/>
      <c r="AG16" s="635"/>
      <c r="AH16" s="635"/>
      <c r="AI16" s="635"/>
      <c r="AJ16" s="635"/>
      <c r="AK16" s="635"/>
      <c r="AL16" s="635"/>
      <c r="AM16" s="635"/>
      <c r="AN16" s="635"/>
      <c r="AO16" s="635"/>
      <c r="AP16" s="635"/>
      <c r="AQ16" s="638" t="s">
        <v>60</v>
      </c>
      <c r="AR16" s="638"/>
      <c r="AS16" s="638"/>
      <c r="AT16" s="638"/>
      <c r="AU16" s="638"/>
      <c r="AV16" s="638"/>
      <c r="AW16" s="337" t="s">
        <v>62</v>
      </c>
      <c r="AX16" s="338" t="s">
        <v>63</v>
      </c>
      <c r="AY16" s="657"/>
      <c r="AZ16" s="654"/>
      <c r="BA16" s="683"/>
      <c r="BB16" s="415"/>
      <c r="BC16" s="424" t="s">
        <v>309</v>
      </c>
    </row>
    <row r="17" spans="1:55" ht="99.75" customHeight="1" x14ac:dyDescent="0.3">
      <c r="A17" s="72"/>
      <c r="B17" s="625"/>
      <c r="C17" s="625"/>
      <c r="D17" s="254" t="s">
        <v>217</v>
      </c>
      <c r="E17" s="613"/>
      <c r="F17" s="613"/>
      <c r="G17" s="613"/>
      <c r="H17" s="613"/>
      <c r="I17" s="614"/>
      <c r="J17" s="685" t="s">
        <v>56</v>
      </c>
      <c r="K17" s="615"/>
      <c r="L17" s="613"/>
      <c r="M17" s="613"/>
      <c r="N17" s="613"/>
      <c r="O17" s="616"/>
      <c r="P17" s="613"/>
      <c r="Q17" s="613"/>
      <c r="R17" s="613"/>
      <c r="S17" s="613"/>
      <c r="T17" s="616"/>
      <c r="U17" s="691"/>
      <c r="V17" s="691"/>
      <c r="W17" s="691"/>
      <c r="X17" s="691"/>
      <c r="Y17" s="693"/>
      <c r="Z17" s="700" t="s">
        <v>57</v>
      </c>
      <c r="AA17" s="615"/>
      <c r="AB17" s="613"/>
      <c r="AC17" s="613"/>
      <c r="AD17" s="613"/>
      <c r="AE17" s="616"/>
      <c r="AF17" s="691"/>
      <c r="AG17" s="691"/>
      <c r="AH17" s="691"/>
      <c r="AI17" s="691"/>
      <c r="AJ17" s="692"/>
      <c r="AK17" s="691"/>
      <c r="AL17" s="691"/>
      <c r="AM17" s="691"/>
      <c r="AN17" s="691"/>
      <c r="AO17" s="693"/>
      <c r="AP17" s="694" t="s">
        <v>57</v>
      </c>
      <c r="AQ17" s="615"/>
      <c r="AR17" s="613"/>
      <c r="AS17" s="613"/>
      <c r="AT17" s="613"/>
      <c r="AU17" s="614"/>
      <c r="AV17" s="696" t="s">
        <v>56</v>
      </c>
      <c r="AW17" s="698"/>
      <c r="AX17" s="689"/>
      <c r="AY17" s="657"/>
      <c r="AZ17" s="654"/>
      <c r="BA17" s="683"/>
      <c r="BB17" s="415"/>
      <c r="BC17" s="420"/>
    </row>
    <row r="18" spans="1:55" ht="115.5" customHeight="1" x14ac:dyDescent="0.25">
      <c r="A18" s="72"/>
      <c r="B18" s="128" t="s">
        <v>54</v>
      </c>
      <c r="C18" s="358" t="s">
        <v>65</v>
      </c>
      <c r="D18" s="255" t="s">
        <v>64</v>
      </c>
      <c r="E18" s="342"/>
      <c r="F18" s="342"/>
      <c r="G18" s="342"/>
      <c r="H18" s="342"/>
      <c r="I18" s="342"/>
      <c r="J18" s="686"/>
      <c r="K18" s="343"/>
      <c r="L18" s="343"/>
      <c r="M18" s="343"/>
      <c r="N18" s="343"/>
      <c r="O18" s="344"/>
      <c r="P18" s="345"/>
      <c r="Q18" s="343"/>
      <c r="R18" s="343"/>
      <c r="S18" s="343"/>
      <c r="T18" s="344"/>
      <c r="U18" s="346"/>
      <c r="V18" s="347"/>
      <c r="W18" s="347"/>
      <c r="X18" s="347"/>
      <c r="Y18" s="347"/>
      <c r="Z18" s="701"/>
      <c r="AA18" s="343"/>
      <c r="AB18" s="343"/>
      <c r="AC18" s="343"/>
      <c r="AD18" s="343"/>
      <c r="AE18" s="344"/>
      <c r="AF18" s="346"/>
      <c r="AG18" s="347"/>
      <c r="AH18" s="347"/>
      <c r="AI18" s="347"/>
      <c r="AJ18" s="348"/>
      <c r="AK18" s="346"/>
      <c r="AL18" s="347"/>
      <c r="AM18" s="347"/>
      <c r="AN18" s="347"/>
      <c r="AO18" s="347"/>
      <c r="AP18" s="695"/>
      <c r="AQ18" s="343"/>
      <c r="AR18" s="343"/>
      <c r="AS18" s="343"/>
      <c r="AT18" s="343"/>
      <c r="AU18" s="343"/>
      <c r="AV18" s="697"/>
      <c r="AW18" s="699"/>
      <c r="AX18" s="690"/>
      <c r="AY18" s="658"/>
      <c r="AZ18" s="655"/>
      <c r="BA18" s="683"/>
      <c r="BB18" s="72"/>
    </row>
    <row r="19" spans="1:55" x14ac:dyDescent="0.25">
      <c r="A19" s="72"/>
      <c r="B19" s="131">
        <v>1</v>
      </c>
      <c r="C19" s="687" t="str">
        <f>'C. FILIACION'!C14</f>
        <v>SUAREZ EVELIN ISELA</v>
      </c>
      <c r="D19" s="688"/>
      <c r="E19" s="248"/>
      <c r="F19" s="248"/>
      <c r="G19" s="248"/>
      <c r="H19" s="248"/>
      <c r="I19" s="248"/>
      <c r="J19" s="500" t="str">
        <f>IFERROR(AVERAGE(E19:I19),"")</f>
        <v/>
      </c>
      <c r="K19" s="249"/>
      <c r="L19" s="249"/>
      <c r="M19" s="249"/>
      <c r="N19" s="249"/>
      <c r="O19" s="250"/>
      <c r="P19" s="249"/>
      <c r="Q19" s="249"/>
      <c r="R19" s="249"/>
      <c r="S19" s="249"/>
      <c r="T19" s="250"/>
      <c r="U19" s="248"/>
      <c r="V19" s="249"/>
      <c r="W19" s="249"/>
      <c r="X19" s="249"/>
      <c r="Y19" s="249"/>
      <c r="Z19" s="501" t="str">
        <f>IFERROR(AVERAGE(K19:Y19),"")</f>
        <v/>
      </c>
      <c r="AA19" s="249"/>
      <c r="AB19" s="249"/>
      <c r="AC19" s="249"/>
      <c r="AD19" s="249"/>
      <c r="AE19" s="250"/>
      <c r="AF19" s="249"/>
      <c r="AG19" s="249"/>
      <c r="AH19" s="249"/>
      <c r="AI19" s="249"/>
      <c r="AJ19" s="250"/>
      <c r="AK19" s="248"/>
      <c r="AL19" s="249"/>
      <c r="AM19" s="249"/>
      <c r="AN19" s="249"/>
      <c r="AO19" s="249"/>
      <c r="AP19" s="502" t="str">
        <f>IFERROR(AVERAGE(AA19:AO19),"")</f>
        <v/>
      </c>
      <c r="AQ19" s="248"/>
      <c r="AR19" s="248"/>
      <c r="AS19" s="248"/>
      <c r="AT19" s="248"/>
      <c r="AU19" s="248"/>
      <c r="AV19" s="503" t="str">
        <f>IFERROR(AVERAGE(AQ19:AU19),"")</f>
        <v/>
      </c>
      <c r="AW19" s="251"/>
      <c r="AX19" s="251"/>
      <c r="AY19" s="507">
        <f t="shared" ref="AY19:AY63" si="0">IFERROR((SUM(J19,Z19,AP19,AV19:AX19)),"")</f>
        <v>0</v>
      </c>
      <c r="AZ19" s="498" t="b">
        <f>IF(AY19="","",(IF(AND(AY19&gt;=1,AY19&lt;=50.499),"REPROBADO",IF(AND(AY19&gt;=50.5,AY19&lt;=100),"APROBADO"))))</f>
        <v>0</v>
      </c>
      <c r="BA19" s="402"/>
      <c r="BB19" s="459"/>
    </row>
    <row r="20" spans="1:55" x14ac:dyDescent="0.25">
      <c r="A20" s="72"/>
      <c r="B20" s="132">
        <v>2</v>
      </c>
      <c r="C20" s="687" t="str">
        <f>'C. FILIACION'!C15</f>
        <v>ALARCON  VARGAS JAIR ALEXIS</v>
      </c>
      <c r="D20" s="688"/>
      <c r="E20" s="248"/>
      <c r="F20" s="248"/>
      <c r="G20" s="248"/>
      <c r="H20" s="248"/>
      <c r="I20" s="248"/>
      <c r="J20" s="500" t="str">
        <f t="shared" ref="J20:J62" si="1">IFERROR(AVERAGE(E20:I20),"")</f>
        <v/>
      </c>
      <c r="K20" s="249"/>
      <c r="L20" s="249"/>
      <c r="M20" s="249"/>
      <c r="N20" s="249"/>
      <c r="O20" s="250"/>
      <c r="P20" s="249"/>
      <c r="Q20" s="249"/>
      <c r="R20" s="249"/>
      <c r="S20" s="249"/>
      <c r="T20" s="250"/>
      <c r="U20" s="248"/>
      <c r="V20" s="249"/>
      <c r="W20" s="249"/>
      <c r="X20" s="249"/>
      <c r="Y20" s="249"/>
      <c r="Z20" s="501" t="str">
        <f t="shared" ref="Z20:Z63" si="2">IFERROR(AVERAGE(K20:Y20),"")</f>
        <v/>
      </c>
      <c r="AA20" s="249"/>
      <c r="AB20" s="249"/>
      <c r="AC20" s="249"/>
      <c r="AD20" s="249"/>
      <c r="AE20" s="250"/>
      <c r="AF20" s="249"/>
      <c r="AG20" s="249"/>
      <c r="AH20" s="249"/>
      <c r="AI20" s="249"/>
      <c r="AJ20" s="250"/>
      <c r="AK20" s="248"/>
      <c r="AL20" s="249"/>
      <c r="AM20" s="249"/>
      <c r="AN20" s="249"/>
      <c r="AO20" s="249"/>
      <c r="AP20" s="502" t="str">
        <f t="shared" ref="AP20:AP63" si="3">IFERROR(AVERAGE(AA20:AO20),"")</f>
        <v/>
      </c>
      <c r="AQ20" s="248"/>
      <c r="AR20" s="248"/>
      <c r="AS20" s="248"/>
      <c r="AT20" s="248"/>
      <c r="AU20" s="248"/>
      <c r="AV20" s="503" t="str">
        <f t="shared" ref="AV20:AV63" si="4">IFERROR(AVERAGE(AQ20:AU20),"")</f>
        <v/>
      </c>
      <c r="AW20" s="251"/>
      <c r="AX20" s="251"/>
      <c r="AY20" s="507">
        <f t="shared" si="0"/>
        <v>0</v>
      </c>
      <c r="AZ20" s="498" t="b">
        <f t="shared" ref="AZ20:AZ63" si="5">IF(AY20="","",(IF(AND(AY20&gt;=1,AY20&lt;=50.499),"REPROBADO",IF(AND(AY20&gt;=50.5,AY20&lt;=100),"APROBADO"))))</f>
        <v>0</v>
      </c>
      <c r="BA20" s="402"/>
      <c r="BB20" s="87"/>
    </row>
    <row r="21" spans="1:55" x14ac:dyDescent="0.25">
      <c r="A21" s="72"/>
      <c r="B21" s="132">
        <v>3</v>
      </c>
      <c r="C21" s="687" t="str">
        <f>'C. FILIACION'!C16</f>
        <v>AÑAZGO  VARGAS NOELIA</v>
      </c>
      <c r="D21" s="688"/>
      <c r="E21" s="248"/>
      <c r="F21" s="248"/>
      <c r="G21" s="248"/>
      <c r="H21" s="248"/>
      <c r="I21" s="248"/>
      <c r="J21" s="500" t="str">
        <f t="shared" si="1"/>
        <v/>
      </c>
      <c r="K21" s="249"/>
      <c r="L21" s="249"/>
      <c r="M21" s="249"/>
      <c r="N21" s="249"/>
      <c r="O21" s="250"/>
      <c r="P21" s="249"/>
      <c r="Q21" s="249"/>
      <c r="R21" s="249"/>
      <c r="S21" s="249"/>
      <c r="T21" s="250"/>
      <c r="U21" s="248"/>
      <c r="V21" s="249"/>
      <c r="W21" s="249"/>
      <c r="X21" s="249"/>
      <c r="Y21" s="249"/>
      <c r="Z21" s="501" t="str">
        <f t="shared" si="2"/>
        <v/>
      </c>
      <c r="AA21" s="249"/>
      <c r="AB21" s="249"/>
      <c r="AC21" s="249"/>
      <c r="AD21" s="249"/>
      <c r="AE21" s="250"/>
      <c r="AF21" s="249"/>
      <c r="AG21" s="249"/>
      <c r="AH21" s="249"/>
      <c r="AI21" s="249"/>
      <c r="AJ21" s="250"/>
      <c r="AK21" s="248"/>
      <c r="AL21" s="249"/>
      <c r="AM21" s="249"/>
      <c r="AN21" s="249"/>
      <c r="AO21" s="249"/>
      <c r="AP21" s="502" t="str">
        <f t="shared" si="3"/>
        <v/>
      </c>
      <c r="AQ21" s="248"/>
      <c r="AR21" s="248"/>
      <c r="AS21" s="248"/>
      <c r="AT21" s="248"/>
      <c r="AU21" s="248"/>
      <c r="AV21" s="503" t="str">
        <f t="shared" si="4"/>
        <v/>
      </c>
      <c r="AW21" s="251"/>
      <c r="AX21" s="251"/>
      <c r="AY21" s="507">
        <f t="shared" si="0"/>
        <v>0</v>
      </c>
      <c r="AZ21" s="498" t="b">
        <f t="shared" si="5"/>
        <v>0</v>
      </c>
      <c r="BA21" s="402"/>
      <c r="BB21" s="87"/>
    </row>
    <row r="22" spans="1:55" x14ac:dyDescent="0.25">
      <c r="A22" s="72"/>
      <c r="B22" s="132">
        <v>4</v>
      </c>
      <c r="C22" s="687" t="str">
        <f>'C. FILIACION'!C17</f>
        <v>AQUISE HINOJOSA YHAMIR FABIO</v>
      </c>
      <c r="D22" s="688"/>
      <c r="E22" s="248"/>
      <c r="F22" s="248"/>
      <c r="G22" s="248"/>
      <c r="H22" s="248"/>
      <c r="I22" s="248"/>
      <c r="J22" s="500" t="str">
        <f t="shared" si="1"/>
        <v/>
      </c>
      <c r="K22" s="249"/>
      <c r="L22" s="249"/>
      <c r="M22" s="249"/>
      <c r="N22" s="249"/>
      <c r="O22" s="250"/>
      <c r="P22" s="249"/>
      <c r="Q22" s="249"/>
      <c r="R22" s="249"/>
      <c r="S22" s="249"/>
      <c r="T22" s="250"/>
      <c r="U22" s="248"/>
      <c r="V22" s="249"/>
      <c r="W22" s="249"/>
      <c r="X22" s="249"/>
      <c r="Y22" s="249"/>
      <c r="Z22" s="501" t="str">
        <f t="shared" si="2"/>
        <v/>
      </c>
      <c r="AA22" s="249"/>
      <c r="AB22" s="249"/>
      <c r="AC22" s="249"/>
      <c r="AD22" s="249"/>
      <c r="AE22" s="250"/>
      <c r="AF22" s="249"/>
      <c r="AG22" s="249"/>
      <c r="AH22" s="249"/>
      <c r="AI22" s="249"/>
      <c r="AJ22" s="250"/>
      <c r="AK22" s="248"/>
      <c r="AL22" s="249"/>
      <c r="AM22" s="249"/>
      <c r="AN22" s="249"/>
      <c r="AO22" s="249"/>
      <c r="AP22" s="502" t="str">
        <f t="shared" si="3"/>
        <v/>
      </c>
      <c r="AQ22" s="248"/>
      <c r="AR22" s="248"/>
      <c r="AS22" s="248"/>
      <c r="AT22" s="248"/>
      <c r="AU22" s="248"/>
      <c r="AV22" s="503" t="str">
        <f t="shared" si="4"/>
        <v/>
      </c>
      <c r="AW22" s="251"/>
      <c r="AX22" s="251"/>
      <c r="AY22" s="507">
        <f t="shared" si="0"/>
        <v>0</v>
      </c>
      <c r="AZ22" s="498" t="b">
        <f t="shared" si="5"/>
        <v>0</v>
      </c>
      <c r="BA22" s="402"/>
      <c r="BB22" s="87"/>
    </row>
    <row r="23" spans="1:55" x14ac:dyDescent="0.25">
      <c r="A23" s="72"/>
      <c r="B23" s="132">
        <v>5</v>
      </c>
      <c r="C23" s="687" t="str">
        <f>'C. FILIACION'!C18</f>
        <v>ARGANI  LAREDO MARIA JESUS</v>
      </c>
      <c r="D23" s="688"/>
      <c r="E23" s="248"/>
      <c r="F23" s="248"/>
      <c r="G23" s="248"/>
      <c r="H23" s="248"/>
      <c r="I23" s="248"/>
      <c r="J23" s="500" t="str">
        <f t="shared" si="1"/>
        <v/>
      </c>
      <c r="K23" s="249"/>
      <c r="L23" s="249"/>
      <c r="M23" s="249"/>
      <c r="N23" s="249"/>
      <c r="O23" s="250"/>
      <c r="P23" s="249"/>
      <c r="Q23" s="249"/>
      <c r="R23" s="249"/>
      <c r="S23" s="249"/>
      <c r="T23" s="250"/>
      <c r="U23" s="248"/>
      <c r="V23" s="249"/>
      <c r="W23" s="249"/>
      <c r="X23" s="249"/>
      <c r="Y23" s="249"/>
      <c r="Z23" s="501" t="str">
        <f t="shared" si="2"/>
        <v/>
      </c>
      <c r="AA23" s="249"/>
      <c r="AB23" s="249"/>
      <c r="AC23" s="249"/>
      <c r="AD23" s="249"/>
      <c r="AE23" s="250"/>
      <c r="AF23" s="249"/>
      <c r="AG23" s="249"/>
      <c r="AH23" s="249"/>
      <c r="AI23" s="249"/>
      <c r="AJ23" s="250"/>
      <c r="AK23" s="248"/>
      <c r="AL23" s="249"/>
      <c r="AM23" s="249"/>
      <c r="AN23" s="249"/>
      <c r="AO23" s="249"/>
      <c r="AP23" s="502" t="str">
        <f t="shared" si="3"/>
        <v/>
      </c>
      <c r="AQ23" s="248"/>
      <c r="AR23" s="248"/>
      <c r="AS23" s="248"/>
      <c r="AT23" s="248"/>
      <c r="AU23" s="248"/>
      <c r="AV23" s="503" t="str">
        <f t="shared" si="4"/>
        <v/>
      </c>
      <c r="AW23" s="251"/>
      <c r="AX23" s="251"/>
      <c r="AY23" s="507">
        <f t="shared" si="0"/>
        <v>0</v>
      </c>
      <c r="AZ23" s="498" t="b">
        <f t="shared" si="5"/>
        <v>0</v>
      </c>
      <c r="BA23" s="402"/>
      <c r="BB23" s="87"/>
    </row>
    <row r="24" spans="1:55" x14ac:dyDescent="0.25">
      <c r="A24" s="72"/>
      <c r="B24" s="132">
        <v>6</v>
      </c>
      <c r="C24" s="687" t="str">
        <f>'C. FILIACION'!C19</f>
        <v>AYLLON MOLLO RONNY BRUCE</v>
      </c>
      <c r="D24" s="688"/>
      <c r="E24" s="248"/>
      <c r="F24" s="248"/>
      <c r="G24" s="248"/>
      <c r="H24" s="248"/>
      <c r="I24" s="248"/>
      <c r="J24" s="500" t="str">
        <f t="shared" si="1"/>
        <v/>
      </c>
      <c r="K24" s="249"/>
      <c r="L24" s="249"/>
      <c r="M24" s="249"/>
      <c r="N24" s="249"/>
      <c r="O24" s="250"/>
      <c r="P24" s="249"/>
      <c r="Q24" s="249"/>
      <c r="R24" s="249"/>
      <c r="S24" s="249"/>
      <c r="T24" s="250"/>
      <c r="U24" s="248"/>
      <c r="V24" s="249"/>
      <c r="W24" s="249"/>
      <c r="X24" s="249"/>
      <c r="Y24" s="249"/>
      <c r="Z24" s="501" t="str">
        <f t="shared" si="2"/>
        <v/>
      </c>
      <c r="AA24" s="249"/>
      <c r="AB24" s="249"/>
      <c r="AC24" s="249"/>
      <c r="AD24" s="249"/>
      <c r="AE24" s="250"/>
      <c r="AF24" s="249"/>
      <c r="AG24" s="249"/>
      <c r="AH24" s="249"/>
      <c r="AI24" s="249"/>
      <c r="AJ24" s="250"/>
      <c r="AK24" s="248"/>
      <c r="AL24" s="249"/>
      <c r="AM24" s="249"/>
      <c r="AN24" s="249"/>
      <c r="AO24" s="249"/>
      <c r="AP24" s="502" t="str">
        <f t="shared" si="3"/>
        <v/>
      </c>
      <c r="AQ24" s="248"/>
      <c r="AR24" s="248"/>
      <c r="AS24" s="248"/>
      <c r="AT24" s="248"/>
      <c r="AU24" s="248"/>
      <c r="AV24" s="503" t="str">
        <f t="shared" si="4"/>
        <v/>
      </c>
      <c r="AW24" s="251"/>
      <c r="AX24" s="251"/>
      <c r="AY24" s="507">
        <f t="shared" si="0"/>
        <v>0</v>
      </c>
      <c r="AZ24" s="498" t="b">
        <f t="shared" si="5"/>
        <v>0</v>
      </c>
      <c r="BA24" s="402"/>
      <c r="BB24" s="87"/>
    </row>
    <row r="25" spans="1:55" x14ac:dyDescent="0.25">
      <c r="A25" s="72"/>
      <c r="B25" s="132">
        <v>7</v>
      </c>
      <c r="C25" s="687" t="str">
        <f>'C. FILIACION'!C20</f>
        <v>BALBOA  PAZ ANTHONY JR</v>
      </c>
      <c r="D25" s="688"/>
      <c r="E25" s="248"/>
      <c r="F25" s="248"/>
      <c r="G25" s="248"/>
      <c r="H25" s="248"/>
      <c r="I25" s="248"/>
      <c r="J25" s="500" t="str">
        <f t="shared" si="1"/>
        <v/>
      </c>
      <c r="K25" s="249"/>
      <c r="L25" s="249"/>
      <c r="M25" s="249"/>
      <c r="N25" s="249"/>
      <c r="O25" s="250"/>
      <c r="P25" s="249"/>
      <c r="Q25" s="249"/>
      <c r="R25" s="249"/>
      <c r="S25" s="249"/>
      <c r="T25" s="250"/>
      <c r="U25" s="248"/>
      <c r="V25" s="249"/>
      <c r="W25" s="249"/>
      <c r="X25" s="249"/>
      <c r="Y25" s="249"/>
      <c r="Z25" s="501" t="str">
        <f t="shared" si="2"/>
        <v/>
      </c>
      <c r="AA25" s="249"/>
      <c r="AB25" s="249"/>
      <c r="AC25" s="249"/>
      <c r="AD25" s="249"/>
      <c r="AE25" s="250"/>
      <c r="AF25" s="249"/>
      <c r="AG25" s="249"/>
      <c r="AH25" s="249"/>
      <c r="AI25" s="249"/>
      <c r="AJ25" s="250"/>
      <c r="AK25" s="248"/>
      <c r="AL25" s="249"/>
      <c r="AM25" s="249"/>
      <c r="AN25" s="249"/>
      <c r="AO25" s="249"/>
      <c r="AP25" s="502" t="str">
        <f t="shared" si="3"/>
        <v/>
      </c>
      <c r="AQ25" s="248"/>
      <c r="AR25" s="248"/>
      <c r="AS25" s="248"/>
      <c r="AT25" s="248"/>
      <c r="AU25" s="248"/>
      <c r="AV25" s="503" t="str">
        <f t="shared" si="4"/>
        <v/>
      </c>
      <c r="AW25" s="251"/>
      <c r="AX25" s="251"/>
      <c r="AY25" s="507">
        <f t="shared" si="0"/>
        <v>0</v>
      </c>
      <c r="AZ25" s="498" t="b">
        <f t="shared" si="5"/>
        <v>0</v>
      </c>
      <c r="BA25" s="402"/>
      <c r="BB25" s="87"/>
    </row>
    <row r="26" spans="1:55" x14ac:dyDescent="0.25">
      <c r="A26" s="72"/>
      <c r="B26" s="132">
        <v>8</v>
      </c>
      <c r="C26" s="687" t="str">
        <f>'C. FILIACION'!C21</f>
        <v>CAMACHO SALGADO LEONARDO</v>
      </c>
      <c r="D26" s="688"/>
      <c r="E26" s="248"/>
      <c r="F26" s="248"/>
      <c r="G26" s="248"/>
      <c r="H26" s="248"/>
      <c r="I26" s="248"/>
      <c r="J26" s="500" t="str">
        <f t="shared" si="1"/>
        <v/>
      </c>
      <c r="K26" s="249"/>
      <c r="L26" s="249"/>
      <c r="M26" s="249"/>
      <c r="N26" s="249"/>
      <c r="O26" s="250"/>
      <c r="P26" s="249"/>
      <c r="Q26" s="249"/>
      <c r="R26" s="249"/>
      <c r="S26" s="249"/>
      <c r="T26" s="250"/>
      <c r="U26" s="248"/>
      <c r="V26" s="249"/>
      <c r="W26" s="249"/>
      <c r="X26" s="249"/>
      <c r="Y26" s="249"/>
      <c r="Z26" s="501" t="str">
        <f t="shared" si="2"/>
        <v/>
      </c>
      <c r="AA26" s="249"/>
      <c r="AB26" s="249"/>
      <c r="AC26" s="249"/>
      <c r="AD26" s="249"/>
      <c r="AE26" s="250"/>
      <c r="AF26" s="249"/>
      <c r="AG26" s="249"/>
      <c r="AH26" s="249"/>
      <c r="AI26" s="249"/>
      <c r="AJ26" s="250"/>
      <c r="AK26" s="248"/>
      <c r="AL26" s="249"/>
      <c r="AM26" s="249"/>
      <c r="AN26" s="249"/>
      <c r="AO26" s="249"/>
      <c r="AP26" s="502" t="str">
        <f t="shared" si="3"/>
        <v/>
      </c>
      <c r="AQ26" s="248"/>
      <c r="AR26" s="248"/>
      <c r="AS26" s="248"/>
      <c r="AT26" s="248"/>
      <c r="AU26" s="248"/>
      <c r="AV26" s="503" t="str">
        <f t="shared" si="4"/>
        <v/>
      </c>
      <c r="AW26" s="251"/>
      <c r="AX26" s="251"/>
      <c r="AY26" s="507">
        <f t="shared" si="0"/>
        <v>0</v>
      </c>
      <c r="AZ26" s="498" t="b">
        <f t="shared" si="5"/>
        <v>0</v>
      </c>
      <c r="BA26" s="402"/>
      <c r="BB26" s="87"/>
    </row>
    <row r="27" spans="1:55" x14ac:dyDescent="0.25">
      <c r="A27" s="72"/>
      <c r="B27" s="132">
        <v>9</v>
      </c>
      <c r="C27" s="687" t="str">
        <f>'C. FILIACION'!C22</f>
        <v>CARRION MARGUAY FABIANA ALEXANDRA</v>
      </c>
      <c r="D27" s="688"/>
      <c r="E27" s="248"/>
      <c r="F27" s="248"/>
      <c r="G27" s="248"/>
      <c r="H27" s="248"/>
      <c r="I27" s="248"/>
      <c r="J27" s="500" t="str">
        <f t="shared" si="1"/>
        <v/>
      </c>
      <c r="K27" s="249"/>
      <c r="L27" s="249"/>
      <c r="M27" s="249"/>
      <c r="N27" s="249"/>
      <c r="O27" s="250"/>
      <c r="P27" s="249"/>
      <c r="Q27" s="249"/>
      <c r="R27" s="249"/>
      <c r="S27" s="249"/>
      <c r="T27" s="250"/>
      <c r="U27" s="248"/>
      <c r="V27" s="249"/>
      <c r="W27" s="249"/>
      <c r="X27" s="249"/>
      <c r="Y27" s="249"/>
      <c r="Z27" s="501" t="str">
        <f t="shared" si="2"/>
        <v/>
      </c>
      <c r="AA27" s="249"/>
      <c r="AB27" s="249"/>
      <c r="AC27" s="249"/>
      <c r="AD27" s="249"/>
      <c r="AE27" s="250"/>
      <c r="AF27" s="249"/>
      <c r="AG27" s="249"/>
      <c r="AH27" s="249"/>
      <c r="AI27" s="249"/>
      <c r="AJ27" s="250"/>
      <c r="AK27" s="248"/>
      <c r="AL27" s="249"/>
      <c r="AM27" s="249"/>
      <c r="AN27" s="249"/>
      <c r="AO27" s="249"/>
      <c r="AP27" s="502" t="str">
        <f t="shared" si="3"/>
        <v/>
      </c>
      <c r="AQ27" s="248"/>
      <c r="AR27" s="248"/>
      <c r="AS27" s="248"/>
      <c r="AT27" s="248"/>
      <c r="AU27" s="248"/>
      <c r="AV27" s="503" t="str">
        <f t="shared" si="4"/>
        <v/>
      </c>
      <c r="AW27" s="251"/>
      <c r="AX27" s="251"/>
      <c r="AY27" s="507">
        <f t="shared" si="0"/>
        <v>0</v>
      </c>
      <c r="AZ27" s="498" t="b">
        <f t="shared" si="5"/>
        <v>0</v>
      </c>
      <c r="BA27" s="402"/>
      <c r="BB27" s="87"/>
    </row>
    <row r="28" spans="1:55" x14ac:dyDescent="0.25">
      <c r="A28" s="72"/>
      <c r="B28" s="132">
        <v>10</v>
      </c>
      <c r="C28" s="687" t="str">
        <f>'C. FILIACION'!C23</f>
        <v>CAYO CALLE JUAN PABLO</v>
      </c>
      <c r="D28" s="688"/>
      <c r="E28" s="248"/>
      <c r="F28" s="248"/>
      <c r="G28" s="248"/>
      <c r="H28" s="248"/>
      <c r="I28" s="248"/>
      <c r="J28" s="500" t="str">
        <f t="shared" si="1"/>
        <v/>
      </c>
      <c r="K28" s="249"/>
      <c r="L28" s="249"/>
      <c r="M28" s="249"/>
      <c r="N28" s="249"/>
      <c r="O28" s="250"/>
      <c r="P28" s="249"/>
      <c r="Q28" s="249"/>
      <c r="R28" s="249"/>
      <c r="S28" s="249"/>
      <c r="T28" s="250"/>
      <c r="U28" s="248"/>
      <c r="V28" s="249"/>
      <c r="W28" s="249"/>
      <c r="X28" s="249"/>
      <c r="Y28" s="249"/>
      <c r="Z28" s="501" t="str">
        <f t="shared" si="2"/>
        <v/>
      </c>
      <c r="AA28" s="249"/>
      <c r="AB28" s="249"/>
      <c r="AC28" s="249"/>
      <c r="AD28" s="249"/>
      <c r="AE28" s="250"/>
      <c r="AF28" s="249"/>
      <c r="AG28" s="249"/>
      <c r="AH28" s="249"/>
      <c r="AI28" s="249"/>
      <c r="AJ28" s="250"/>
      <c r="AK28" s="248"/>
      <c r="AL28" s="249"/>
      <c r="AM28" s="249"/>
      <c r="AN28" s="249"/>
      <c r="AO28" s="249"/>
      <c r="AP28" s="502" t="str">
        <f t="shared" si="3"/>
        <v/>
      </c>
      <c r="AQ28" s="248"/>
      <c r="AR28" s="248"/>
      <c r="AS28" s="248"/>
      <c r="AT28" s="248"/>
      <c r="AU28" s="248"/>
      <c r="AV28" s="503" t="str">
        <f t="shared" si="4"/>
        <v/>
      </c>
      <c r="AW28" s="251"/>
      <c r="AX28" s="251"/>
      <c r="AY28" s="507">
        <f t="shared" si="0"/>
        <v>0</v>
      </c>
      <c r="AZ28" s="498" t="b">
        <f t="shared" si="5"/>
        <v>0</v>
      </c>
      <c r="BA28" s="402"/>
      <c r="BB28" s="87"/>
    </row>
    <row r="29" spans="1:55" x14ac:dyDescent="0.25">
      <c r="A29" s="72"/>
      <c r="B29" s="132">
        <v>11</v>
      </c>
      <c r="C29" s="687" t="str">
        <f>'C. FILIACION'!C24</f>
        <v>CONDE ZARATE ASHLY OTHANY</v>
      </c>
      <c r="D29" s="688"/>
      <c r="E29" s="248"/>
      <c r="F29" s="248"/>
      <c r="G29" s="248"/>
      <c r="H29" s="248"/>
      <c r="I29" s="248"/>
      <c r="J29" s="500" t="str">
        <f t="shared" si="1"/>
        <v/>
      </c>
      <c r="K29" s="249"/>
      <c r="L29" s="249"/>
      <c r="M29" s="249"/>
      <c r="N29" s="249"/>
      <c r="O29" s="250"/>
      <c r="P29" s="249"/>
      <c r="Q29" s="249"/>
      <c r="R29" s="249"/>
      <c r="S29" s="249"/>
      <c r="T29" s="250"/>
      <c r="U29" s="248"/>
      <c r="V29" s="249"/>
      <c r="W29" s="249"/>
      <c r="X29" s="249"/>
      <c r="Y29" s="249"/>
      <c r="Z29" s="501" t="str">
        <f t="shared" si="2"/>
        <v/>
      </c>
      <c r="AA29" s="249"/>
      <c r="AB29" s="249"/>
      <c r="AC29" s="249"/>
      <c r="AD29" s="249"/>
      <c r="AE29" s="250"/>
      <c r="AF29" s="249"/>
      <c r="AG29" s="249"/>
      <c r="AH29" s="249"/>
      <c r="AI29" s="249"/>
      <c r="AJ29" s="250"/>
      <c r="AK29" s="248"/>
      <c r="AL29" s="249"/>
      <c r="AM29" s="249"/>
      <c r="AN29" s="249"/>
      <c r="AO29" s="249"/>
      <c r="AP29" s="502" t="str">
        <f t="shared" si="3"/>
        <v/>
      </c>
      <c r="AQ29" s="248"/>
      <c r="AR29" s="248"/>
      <c r="AS29" s="248"/>
      <c r="AT29" s="248"/>
      <c r="AU29" s="248"/>
      <c r="AV29" s="503" t="str">
        <f t="shared" si="4"/>
        <v/>
      </c>
      <c r="AW29" s="251"/>
      <c r="AX29" s="251"/>
      <c r="AY29" s="507">
        <f t="shared" si="0"/>
        <v>0</v>
      </c>
      <c r="AZ29" s="498" t="b">
        <f t="shared" si="5"/>
        <v>0</v>
      </c>
      <c r="BA29" s="402"/>
      <c r="BB29" s="72"/>
    </row>
    <row r="30" spans="1:55" x14ac:dyDescent="0.25">
      <c r="A30" s="72"/>
      <c r="B30" s="132">
        <v>12</v>
      </c>
      <c r="C30" s="687" t="str">
        <f>'C. FILIACION'!C25</f>
        <v>CORTEZ RODRIGUEZ  GONZALO AXCELL</v>
      </c>
      <c r="D30" s="688"/>
      <c r="E30" s="248"/>
      <c r="F30" s="248"/>
      <c r="G30" s="248"/>
      <c r="H30" s="248"/>
      <c r="I30" s="248"/>
      <c r="J30" s="500" t="str">
        <f t="shared" si="1"/>
        <v/>
      </c>
      <c r="K30" s="249"/>
      <c r="L30" s="249"/>
      <c r="M30" s="249"/>
      <c r="N30" s="249"/>
      <c r="O30" s="250"/>
      <c r="P30" s="249"/>
      <c r="Q30" s="249"/>
      <c r="R30" s="249"/>
      <c r="S30" s="249"/>
      <c r="T30" s="250"/>
      <c r="U30" s="248"/>
      <c r="V30" s="249"/>
      <c r="W30" s="249"/>
      <c r="X30" s="249"/>
      <c r="Y30" s="249"/>
      <c r="Z30" s="501" t="str">
        <f t="shared" si="2"/>
        <v/>
      </c>
      <c r="AA30" s="249"/>
      <c r="AB30" s="249"/>
      <c r="AC30" s="249"/>
      <c r="AD30" s="249"/>
      <c r="AE30" s="250"/>
      <c r="AF30" s="249"/>
      <c r="AG30" s="249"/>
      <c r="AH30" s="249"/>
      <c r="AI30" s="249"/>
      <c r="AJ30" s="250"/>
      <c r="AK30" s="248"/>
      <c r="AL30" s="249"/>
      <c r="AM30" s="249"/>
      <c r="AN30" s="249"/>
      <c r="AO30" s="249"/>
      <c r="AP30" s="502" t="str">
        <f t="shared" si="3"/>
        <v/>
      </c>
      <c r="AQ30" s="248"/>
      <c r="AR30" s="248"/>
      <c r="AS30" s="248"/>
      <c r="AT30" s="248"/>
      <c r="AU30" s="248"/>
      <c r="AV30" s="503" t="str">
        <f t="shared" si="4"/>
        <v/>
      </c>
      <c r="AW30" s="251"/>
      <c r="AX30" s="251"/>
      <c r="AY30" s="507">
        <f t="shared" si="0"/>
        <v>0</v>
      </c>
      <c r="AZ30" s="498" t="b">
        <f t="shared" si="5"/>
        <v>0</v>
      </c>
      <c r="BA30" s="402"/>
      <c r="BB30" s="72"/>
    </row>
    <row r="31" spans="1:55" x14ac:dyDescent="0.25">
      <c r="A31" s="72"/>
      <c r="B31" s="132">
        <v>13</v>
      </c>
      <c r="C31" s="687" t="str">
        <f>'C. FILIACION'!C26</f>
        <v>HILAYA  TORREZ CARLA JHULIANA</v>
      </c>
      <c r="D31" s="688"/>
      <c r="E31" s="248"/>
      <c r="F31" s="248"/>
      <c r="G31" s="248"/>
      <c r="H31" s="248"/>
      <c r="I31" s="248"/>
      <c r="J31" s="500" t="str">
        <f t="shared" si="1"/>
        <v/>
      </c>
      <c r="K31" s="249"/>
      <c r="L31" s="249"/>
      <c r="M31" s="249"/>
      <c r="N31" s="249"/>
      <c r="O31" s="250"/>
      <c r="P31" s="249"/>
      <c r="Q31" s="249"/>
      <c r="R31" s="249"/>
      <c r="S31" s="249"/>
      <c r="T31" s="250"/>
      <c r="U31" s="248"/>
      <c r="V31" s="249"/>
      <c r="W31" s="249"/>
      <c r="X31" s="249"/>
      <c r="Y31" s="249"/>
      <c r="Z31" s="501" t="str">
        <f t="shared" si="2"/>
        <v/>
      </c>
      <c r="AA31" s="249"/>
      <c r="AB31" s="249"/>
      <c r="AC31" s="249"/>
      <c r="AD31" s="249"/>
      <c r="AE31" s="250"/>
      <c r="AF31" s="249"/>
      <c r="AG31" s="249"/>
      <c r="AH31" s="249"/>
      <c r="AI31" s="249"/>
      <c r="AJ31" s="250"/>
      <c r="AK31" s="248"/>
      <c r="AL31" s="249"/>
      <c r="AM31" s="249"/>
      <c r="AN31" s="249"/>
      <c r="AO31" s="249"/>
      <c r="AP31" s="502" t="str">
        <f t="shared" si="3"/>
        <v/>
      </c>
      <c r="AQ31" s="248"/>
      <c r="AR31" s="248"/>
      <c r="AS31" s="248"/>
      <c r="AT31" s="248"/>
      <c r="AU31" s="248"/>
      <c r="AV31" s="503" t="str">
        <f t="shared" si="4"/>
        <v/>
      </c>
      <c r="AW31" s="251"/>
      <c r="AX31" s="251"/>
      <c r="AY31" s="507">
        <f t="shared" si="0"/>
        <v>0</v>
      </c>
      <c r="AZ31" s="498" t="b">
        <f t="shared" si="5"/>
        <v>0</v>
      </c>
      <c r="BA31" s="402"/>
      <c r="BB31" s="72"/>
    </row>
    <row r="32" spans="1:55" x14ac:dyDescent="0.25">
      <c r="A32" s="72"/>
      <c r="B32" s="132">
        <v>14</v>
      </c>
      <c r="C32" s="687" t="str">
        <f>'C. FILIACION'!C27</f>
        <v>HUANCA CALLISAYA  PATRICIA</v>
      </c>
      <c r="D32" s="688"/>
      <c r="E32" s="248"/>
      <c r="F32" s="248"/>
      <c r="G32" s="248"/>
      <c r="H32" s="248"/>
      <c r="I32" s="248"/>
      <c r="J32" s="500" t="str">
        <f t="shared" si="1"/>
        <v/>
      </c>
      <c r="K32" s="249"/>
      <c r="L32" s="249"/>
      <c r="M32" s="249"/>
      <c r="N32" s="249"/>
      <c r="O32" s="250"/>
      <c r="P32" s="249"/>
      <c r="Q32" s="249"/>
      <c r="R32" s="249"/>
      <c r="S32" s="249"/>
      <c r="T32" s="250"/>
      <c r="U32" s="248"/>
      <c r="V32" s="249"/>
      <c r="W32" s="249"/>
      <c r="X32" s="249"/>
      <c r="Y32" s="249"/>
      <c r="Z32" s="501" t="str">
        <f t="shared" si="2"/>
        <v/>
      </c>
      <c r="AA32" s="249"/>
      <c r="AB32" s="249"/>
      <c r="AC32" s="249"/>
      <c r="AD32" s="249"/>
      <c r="AE32" s="250"/>
      <c r="AF32" s="249"/>
      <c r="AG32" s="249"/>
      <c r="AH32" s="249"/>
      <c r="AI32" s="249"/>
      <c r="AJ32" s="250"/>
      <c r="AK32" s="248"/>
      <c r="AL32" s="249"/>
      <c r="AM32" s="249"/>
      <c r="AN32" s="249"/>
      <c r="AO32" s="249"/>
      <c r="AP32" s="502" t="str">
        <f t="shared" si="3"/>
        <v/>
      </c>
      <c r="AQ32" s="248"/>
      <c r="AR32" s="248"/>
      <c r="AS32" s="248"/>
      <c r="AT32" s="248"/>
      <c r="AU32" s="248"/>
      <c r="AV32" s="503" t="str">
        <f t="shared" si="4"/>
        <v/>
      </c>
      <c r="AW32" s="251"/>
      <c r="AX32" s="251"/>
      <c r="AY32" s="507">
        <f t="shared" si="0"/>
        <v>0</v>
      </c>
      <c r="AZ32" s="498" t="b">
        <f t="shared" si="5"/>
        <v>0</v>
      </c>
      <c r="BA32" s="402"/>
      <c r="BB32" s="72"/>
    </row>
    <row r="33" spans="1:54" x14ac:dyDescent="0.25">
      <c r="A33" s="72"/>
      <c r="B33" s="132">
        <v>15</v>
      </c>
      <c r="C33" s="687" t="str">
        <f>'C. FILIACION'!C28</f>
        <v>LIMACHI RADA GERMAN DOMINGO</v>
      </c>
      <c r="D33" s="688"/>
      <c r="E33" s="248"/>
      <c r="F33" s="248"/>
      <c r="G33" s="248"/>
      <c r="H33" s="248"/>
      <c r="I33" s="248"/>
      <c r="J33" s="500" t="str">
        <f t="shared" si="1"/>
        <v/>
      </c>
      <c r="K33" s="249"/>
      <c r="L33" s="249"/>
      <c r="M33" s="249"/>
      <c r="N33" s="249"/>
      <c r="O33" s="250"/>
      <c r="P33" s="249"/>
      <c r="Q33" s="249"/>
      <c r="R33" s="249"/>
      <c r="S33" s="249"/>
      <c r="T33" s="250"/>
      <c r="U33" s="248"/>
      <c r="V33" s="249"/>
      <c r="W33" s="249"/>
      <c r="X33" s="249"/>
      <c r="Y33" s="249"/>
      <c r="Z33" s="501" t="str">
        <f t="shared" si="2"/>
        <v/>
      </c>
      <c r="AA33" s="249"/>
      <c r="AB33" s="249"/>
      <c r="AC33" s="249"/>
      <c r="AD33" s="249"/>
      <c r="AE33" s="250"/>
      <c r="AF33" s="249"/>
      <c r="AG33" s="249"/>
      <c r="AH33" s="249"/>
      <c r="AI33" s="249"/>
      <c r="AJ33" s="250"/>
      <c r="AK33" s="248"/>
      <c r="AL33" s="249"/>
      <c r="AM33" s="249"/>
      <c r="AN33" s="249"/>
      <c r="AO33" s="249"/>
      <c r="AP33" s="502" t="str">
        <f t="shared" si="3"/>
        <v/>
      </c>
      <c r="AQ33" s="248"/>
      <c r="AR33" s="248"/>
      <c r="AS33" s="248"/>
      <c r="AT33" s="248"/>
      <c r="AU33" s="248"/>
      <c r="AV33" s="503" t="str">
        <f t="shared" si="4"/>
        <v/>
      </c>
      <c r="AW33" s="251"/>
      <c r="AX33" s="251"/>
      <c r="AY33" s="507">
        <f t="shared" si="0"/>
        <v>0</v>
      </c>
      <c r="AZ33" s="498" t="b">
        <f t="shared" si="5"/>
        <v>0</v>
      </c>
      <c r="BA33" s="402"/>
      <c r="BB33" s="72"/>
    </row>
    <row r="34" spans="1:54" x14ac:dyDescent="0.25">
      <c r="A34" s="72"/>
      <c r="B34" s="132">
        <v>16</v>
      </c>
      <c r="C34" s="687" t="str">
        <f>'C. FILIACION'!C29</f>
        <v>MANTILLA SANCHEZ CAROLINA VALERIA</v>
      </c>
      <c r="D34" s="688"/>
      <c r="E34" s="248"/>
      <c r="F34" s="248"/>
      <c r="G34" s="248"/>
      <c r="H34" s="248"/>
      <c r="I34" s="248"/>
      <c r="J34" s="500" t="str">
        <f t="shared" si="1"/>
        <v/>
      </c>
      <c r="K34" s="249"/>
      <c r="L34" s="249"/>
      <c r="M34" s="249"/>
      <c r="N34" s="249"/>
      <c r="O34" s="250"/>
      <c r="P34" s="249"/>
      <c r="Q34" s="249"/>
      <c r="R34" s="249"/>
      <c r="S34" s="249"/>
      <c r="T34" s="250"/>
      <c r="U34" s="248"/>
      <c r="V34" s="249"/>
      <c r="W34" s="249"/>
      <c r="X34" s="249"/>
      <c r="Y34" s="249"/>
      <c r="Z34" s="501" t="str">
        <f t="shared" si="2"/>
        <v/>
      </c>
      <c r="AA34" s="249"/>
      <c r="AB34" s="249"/>
      <c r="AC34" s="249"/>
      <c r="AD34" s="249"/>
      <c r="AE34" s="250"/>
      <c r="AF34" s="249"/>
      <c r="AG34" s="249"/>
      <c r="AH34" s="249"/>
      <c r="AI34" s="249"/>
      <c r="AJ34" s="250"/>
      <c r="AK34" s="248"/>
      <c r="AL34" s="249"/>
      <c r="AM34" s="249"/>
      <c r="AN34" s="249"/>
      <c r="AO34" s="249"/>
      <c r="AP34" s="502" t="str">
        <f t="shared" si="3"/>
        <v/>
      </c>
      <c r="AQ34" s="248"/>
      <c r="AR34" s="248"/>
      <c r="AS34" s="248"/>
      <c r="AT34" s="248"/>
      <c r="AU34" s="248"/>
      <c r="AV34" s="503" t="str">
        <f t="shared" si="4"/>
        <v/>
      </c>
      <c r="AW34" s="251"/>
      <c r="AX34" s="251"/>
      <c r="AY34" s="507">
        <f t="shared" si="0"/>
        <v>0</v>
      </c>
      <c r="AZ34" s="498" t="b">
        <f t="shared" si="5"/>
        <v>0</v>
      </c>
      <c r="BA34" s="402"/>
      <c r="BB34" s="72"/>
    </row>
    <row r="35" spans="1:54" x14ac:dyDescent="0.25">
      <c r="A35" s="72"/>
      <c r="B35" s="132">
        <v>17</v>
      </c>
      <c r="C35" s="687" t="str">
        <f>'C. FILIACION'!C30</f>
        <v>MULLER  ESCOBAR MARCIA BIBIANA</v>
      </c>
      <c r="D35" s="688"/>
      <c r="E35" s="248"/>
      <c r="F35" s="248"/>
      <c r="G35" s="248"/>
      <c r="H35" s="248"/>
      <c r="I35" s="248"/>
      <c r="J35" s="500" t="str">
        <f t="shared" si="1"/>
        <v/>
      </c>
      <c r="K35" s="249"/>
      <c r="L35" s="249"/>
      <c r="M35" s="249"/>
      <c r="N35" s="249"/>
      <c r="O35" s="250"/>
      <c r="P35" s="249"/>
      <c r="Q35" s="249"/>
      <c r="R35" s="249"/>
      <c r="S35" s="249"/>
      <c r="T35" s="250"/>
      <c r="U35" s="248"/>
      <c r="V35" s="249"/>
      <c r="W35" s="249"/>
      <c r="X35" s="249"/>
      <c r="Y35" s="249"/>
      <c r="Z35" s="501" t="str">
        <f t="shared" si="2"/>
        <v/>
      </c>
      <c r="AA35" s="249"/>
      <c r="AB35" s="249"/>
      <c r="AC35" s="249"/>
      <c r="AD35" s="249"/>
      <c r="AE35" s="250"/>
      <c r="AF35" s="249"/>
      <c r="AG35" s="249"/>
      <c r="AH35" s="249"/>
      <c r="AI35" s="249"/>
      <c r="AJ35" s="250"/>
      <c r="AK35" s="248"/>
      <c r="AL35" s="249"/>
      <c r="AM35" s="249"/>
      <c r="AN35" s="249"/>
      <c r="AO35" s="249"/>
      <c r="AP35" s="502" t="str">
        <f t="shared" si="3"/>
        <v/>
      </c>
      <c r="AQ35" s="248"/>
      <c r="AR35" s="248"/>
      <c r="AS35" s="248"/>
      <c r="AT35" s="248"/>
      <c r="AU35" s="248"/>
      <c r="AV35" s="503" t="str">
        <f t="shared" si="4"/>
        <v/>
      </c>
      <c r="AW35" s="251"/>
      <c r="AX35" s="251"/>
      <c r="AY35" s="507">
        <f t="shared" si="0"/>
        <v>0</v>
      </c>
      <c r="AZ35" s="498" t="b">
        <f t="shared" si="5"/>
        <v>0</v>
      </c>
      <c r="BA35" s="402"/>
      <c r="BB35" s="72"/>
    </row>
    <row r="36" spans="1:54" x14ac:dyDescent="0.25">
      <c r="A36" s="72"/>
      <c r="B36" s="132">
        <v>18</v>
      </c>
      <c r="C36" s="687" t="str">
        <f>'C. FILIACION'!C31</f>
        <v xml:space="preserve">POMA MAMANI ADRIAN </v>
      </c>
      <c r="D36" s="688"/>
      <c r="E36" s="248"/>
      <c r="F36" s="248"/>
      <c r="G36" s="248"/>
      <c r="H36" s="248"/>
      <c r="I36" s="248"/>
      <c r="J36" s="500" t="str">
        <f t="shared" si="1"/>
        <v/>
      </c>
      <c r="K36" s="249"/>
      <c r="L36" s="249"/>
      <c r="M36" s="249"/>
      <c r="N36" s="249"/>
      <c r="O36" s="250"/>
      <c r="P36" s="249"/>
      <c r="Q36" s="249"/>
      <c r="R36" s="249"/>
      <c r="S36" s="249"/>
      <c r="T36" s="250"/>
      <c r="U36" s="248"/>
      <c r="V36" s="249"/>
      <c r="W36" s="249"/>
      <c r="X36" s="249"/>
      <c r="Y36" s="249"/>
      <c r="Z36" s="501" t="str">
        <f t="shared" si="2"/>
        <v/>
      </c>
      <c r="AA36" s="249"/>
      <c r="AB36" s="249"/>
      <c r="AC36" s="249"/>
      <c r="AD36" s="249"/>
      <c r="AE36" s="250"/>
      <c r="AF36" s="249"/>
      <c r="AG36" s="249"/>
      <c r="AH36" s="249"/>
      <c r="AI36" s="249"/>
      <c r="AJ36" s="250"/>
      <c r="AK36" s="248"/>
      <c r="AL36" s="249"/>
      <c r="AM36" s="249"/>
      <c r="AN36" s="249"/>
      <c r="AO36" s="249"/>
      <c r="AP36" s="502" t="str">
        <f t="shared" si="3"/>
        <v/>
      </c>
      <c r="AQ36" s="248"/>
      <c r="AR36" s="248"/>
      <c r="AS36" s="248"/>
      <c r="AT36" s="248"/>
      <c r="AU36" s="248"/>
      <c r="AV36" s="503" t="str">
        <f t="shared" si="4"/>
        <v/>
      </c>
      <c r="AW36" s="251"/>
      <c r="AX36" s="251"/>
      <c r="AY36" s="507">
        <f t="shared" si="0"/>
        <v>0</v>
      </c>
      <c r="AZ36" s="498" t="b">
        <f t="shared" si="5"/>
        <v>0</v>
      </c>
      <c r="BA36" s="402"/>
      <c r="BB36" s="72"/>
    </row>
    <row r="37" spans="1:54" x14ac:dyDescent="0.25">
      <c r="A37" s="72"/>
      <c r="B37" s="132">
        <v>19</v>
      </c>
      <c r="C37" s="687" t="str">
        <f>'C. FILIACION'!C32</f>
        <v>PORTILLO  JALJA JHOSEP ERLAN</v>
      </c>
      <c r="D37" s="688"/>
      <c r="E37" s="248"/>
      <c r="F37" s="248"/>
      <c r="G37" s="248"/>
      <c r="H37" s="248"/>
      <c r="I37" s="248"/>
      <c r="J37" s="500" t="str">
        <f t="shared" si="1"/>
        <v/>
      </c>
      <c r="K37" s="249"/>
      <c r="L37" s="249"/>
      <c r="M37" s="249"/>
      <c r="N37" s="249"/>
      <c r="O37" s="250"/>
      <c r="P37" s="249"/>
      <c r="Q37" s="249"/>
      <c r="R37" s="249"/>
      <c r="S37" s="249"/>
      <c r="T37" s="250"/>
      <c r="U37" s="248"/>
      <c r="V37" s="249"/>
      <c r="W37" s="249"/>
      <c r="X37" s="249"/>
      <c r="Y37" s="249"/>
      <c r="Z37" s="501" t="str">
        <f t="shared" si="2"/>
        <v/>
      </c>
      <c r="AA37" s="249"/>
      <c r="AB37" s="249"/>
      <c r="AC37" s="249"/>
      <c r="AD37" s="249"/>
      <c r="AE37" s="250"/>
      <c r="AF37" s="249"/>
      <c r="AG37" s="249"/>
      <c r="AH37" s="249"/>
      <c r="AI37" s="249"/>
      <c r="AJ37" s="250"/>
      <c r="AK37" s="248"/>
      <c r="AL37" s="249"/>
      <c r="AM37" s="249"/>
      <c r="AN37" s="249"/>
      <c r="AO37" s="249"/>
      <c r="AP37" s="502" t="str">
        <f t="shared" si="3"/>
        <v/>
      </c>
      <c r="AQ37" s="248"/>
      <c r="AR37" s="248"/>
      <c r="AS37" s="248"/>
      <c r="AT37" s="248"/>
      <c r="AU37" s="248"/>
      <c r="AV37" s="503" t="str">
        <f t="shared" si="4"/>
        <v/>
      </c>
      <c r="AW37" s="251"/>
      <c r="AX37" s="251"/>
      <c r="AY37" s="507">
        <f t="shared" si="0"/>
        <v>0</v>
      </c>
      <c r="AZ37" s="498" t="b">
        <f t="shared" si="5"/>
        <v>0</v>
      </c>
      <c r="BA37" s="402"/>
      <c r="BB37" s="72"/>
    </row>
    <row r="38" spans="1:54" x14ac:dyDescent="0.25">
      <c r="A38" s="72"/>
      <c r="B38" s="132">
        <v>20</v>
      </c>
      <c r="C38" s="687" t="str">
        <f>'C. FILIACION'!C33</f>
        <v>PUJRO  CHAUCA DIANA MARIBEL</v>
      </c>
      <c r="D38" s="688"/>
      <c r="E38" s="248"/>
      <c r="F38" s="248"/>
      <c r="G38" s="248"/>
      <c r="H38" s="248"/>
      <c r="I38" s="248"/>
      <c r="J38" s="500" t="str">
        <f t="shared" si="1"/>
        <v/>
      </c>
      <c r="K38" s="249"/>
      <c r="L38" s="249"/>
      <c r="M38" s="249"/>
      <c r="N38" s="249"/>
      <c r="O38" s="250"/>
      <c r="P38" s="249"/>
      <c r="Q38" s="249"/>
      <c r="R38" s="249"/>
      <c r="S38" s="249"/>
      <c r="T38" s="250"/>
      <c r="U38" s="248"/>
      <c r="V38" s="249"/>
      <c r="W38" s="249"/>
      <c r="X38" s="249"/>
      <c r="Y38" s="249"/>
      <c r="Z38" s="501" t="str">
        <f t="shared" si="2"/>
        <v/>
      </c>
      <c r="AA38" s="249"/>
      <c r="AB38" s="249"/>
      <c r="AC38" s="249"/>
      <c r="AD38" s="249"/>
      <c r="AE38" s="250"/>
      <c r="AF38" s="249"/>
      <c r="AG38" s="249"/>
      <c r="AH38" s="249"/>
      <c r="AI38" s="249"/>
      <c r="AJ38" s="250"/>
      <c r="AK38" s="248"/>
      <c r="AL38" s="249"/>
      <c r="AM38" s="249"/>
      <c r="AN38" s="249"/>
      <c r="AO38" s="249"/>
      <c r="AP38" s="502" t="str">
        <f t="shared" si="3"/>
        <v/>
      </c>
      <c r="AQ38" s="248"/>
      <c r="AR38" s="248"/>
      <c r="AS38" s="248"/>
      <c r="AT38" s="248"/>
      <c r="AU38" s="248"/>
      <c r="AV38" s="503" t="str">
        <f t="shared" si="4"/>
        <v/>
      </c>
      <c r="AW38" s="251"/>
      <c r="AX38" s="251"/>
      <c r="AY38" s="507">
        <f t="shared" si="0"/>
        <v>0</v>
      </c>
      <c r="AZ38" s="498" t="b">
        <f t="shared" si="5"/>
        <v>0</v>
      </c>
      <c r="BA38" s="402"/>
      <c r="BB38" s="72"/>
    </row>
    <row r="39" spans="1:54" x14ac:dyDescent="0.25">
      <c r="A39" s="72"/>
      <c r="B39" s="132">
        <v>21</v>
      </c>
      <c r="C39" s="687" t="str">
        <f>'C. FILIACION'!C34</f>
        <v>SANCHEZ  MOLINA ALEXIS VHADIR</v>
      </c>
      <c r="D39" s="688"/>
      <c r="E39" s="248"/>
      <c r="F39" s="248"/>
      <c r="G39" s="248"/>
      <c r="H39" s="248"/>
      <c r="I39" s="248"/>
      <c r="J39" s="500" t="str">
        <f t="shared" si="1"/>
        <v/>
      </c>
      <c r="K39" s="249"/>
      <c r="L39" s="249"/>
      <c r="M39" s="249"/>
      <c r="N39" s="249"/>
      <c r="O39" s="250"/>
      <c r="P39" s="249"/>
      <c r="Q39" s="249"/>
      <c r="R39" s="249"/>
      <c r="S39" s="249"/>
      <c r="T39" s="250"/>
      <c r="U39" s="248"/>
      <c r="V39" s="249"/>
      <c r="W39" s="249"/>
      <c r="X39" s="249"/>
      <c r="Y39" s="249"/>
      <c r="Z39" s="501" t="str">
        <f t="shared" si="2"/>
        <v/>
      </c>
      <c r="AA39" s="249"/>
      <c r="AB39" s="249"/>
      <c r="AC39" s="249"/>
      <c r="AD39" s="249"/>
      <c r="AE39" s="250"/>
      <c r="AF39" s="249"/>
      <c r="AG39" s="249"/>
      <c r="AH39" s="249"/>
      <c r="AI39" s="249"/>
      <c r="AJ39" s="250"/>
      <c r="AK39" s="248"/>
      <c r="AL39" s="249"/>
      <c r="AM39" s="249"/>
      <c r="AN39" s="249"/>
      <c r="AO39" s="249"/>
      <c r="AP39" s="502" t="str">
        <f t="shared" si="3"/>
        <v/>
      </c>
      <c r="AQ39" s="248"/>
      <c r="AR39" s="248"/>
      <c r="AS39" s="248"/>
      <c r="AT39" s="248"/>
      <c r="AU39" s="248"/>
      <c r="AV39" s="503" t="str">
        <f t="shared" si="4"/>
        <v/>
      </c>
      <c r="AW39" s="251"/>
      <c r="AX39" s="251"/>
      <c r="AY39" s="507">
        <f t="shared" si="0"/>
        <v>0</v>
      </c>
      <c r="AZ39" s="498" t="b">
        <f t="shared" si="5"/>
        <v>0</v>
      </c>
      <c r="BA39" s="402"/>
      <c r="BB39" s="72"/>
    </row>
    <row r="40" spans="1:54" x14ac:dyDescent="0.25">
      <c r="A40" s="72"/>
      <c r="B40" s="132">
        <v>22</v>
      </c>
      <c r="C40" s="687" t="str">
        <f>'C. FILIACION'!C35</f>
        <v>SARAVIA SALVATIERRA JOSSE AMED</v>
      </c>
      <c r="D40" s="688"/>
      <c r="E40" s="248"/>
      <c r="F40" s="248"/>
      <c r="G40" s="248"/>
      <c r="H40" s="248"/>
      <c r="I40" s="248"/>
      <c r="J40" s="500" t="str">
        <f t="shared" si="1"/>
        <v/>
      </c>
      <c r="K40" s="249"/>
      <c r="L40" s="249"/>
      <c r="M40" s="249"/>
      <c r="N40" s="249"/>
      <c r="O40" s="250"/>
      <c r="P40" s="249"/>
      <c r="Q40" s="249"/>
      <c r="R40" s="249"/>
      <c r="S40" s="249"/>
      <c r="T40" s="250"/>
      <c r="U40" s="248"/>
      <c r="V40" s="249"/>
      <c r="W40" s="249"/>
      <c r="X40" s="249"/>
      <c r="Y40" s="249"/>
      <c r="Z40" s="501" t="str">
        <f t="shared" si="2"/>
        <v/>
      </c>
      <c r="AA40" s="249"/>
      <c r="AB40" s="249"/>
      <c r="AC40" s="249"/>
      <c r="AD40" s="249"/>
      <c r="AE40" s="250"/>
      <c r="AF40" s="249"/>
      <c r="AG40" s="249"/>
      <c r="AH40" s="249"/>
      <c r="AI40" s="249"/>
      <c r="AJ40" s="250"/>
      <c r="AK40" s="248"/>
      <c r="AL40" s="249"/>
      <c r="AM40" s="249"/>
      <c r="AN40" s="249"/>
      <c r="AO40" s="249"/>
      <c r="AP40" s="502" t="str">
        <f t="shared" si="3"/>
        <v/>
      </c>
      <c r="AQ40" s="248"/>
      <c r="AR40" s="248"/>
      <c r="AS40" s="248"/>
      <c r="AT40" s="248"/>
      <c r="AU40" s="248"/>
      <c r="AV40" s="503" t="str">
        <f t="shared" si="4"/>
        <v/>
      </c>
      <c r="AW40" s="251"/>
      <c r="AX40" s="251"/>
      <c r="AY40" s="507">
        <f t="shared" si="0"/>
        <v>0</v>
      </c>
      <c r="AZ40" s="498" t="b">
        <f t="shared" si="5"/>
        <v>0</v>
      </c>
      <c r="BA40" s="402"/>
      <c r="BB40" s="72"/>
    </row>
    <row r="41" spans="1:54" x14ac:dyDescent="0.25">
      <c r="A41" s="72"/>
      <c r="B41" s="132">
        <v>23</v>
      </c>
      <c r="C41" s="687" t="str">
        <f>'C. FILIACION'!C36</f>
        <v>SIERRA LUNA GABRIEL  GERMAN</v>
      </c>
      <c r="D41" s="688"/>
      <c r="E41" s="248"/>
      <c r="F41" s="248"/>
      <c r="G41" s="248"/>
      <c r="H41" s="248"/>
      <c r="I41" s="248"/>
      <c r="J41" s="500" t="str">
        <f t="shared" si="1"/>
        <v/>
      </c>
      <c r="K41" s="249"/>
      <c r="L41" s="249"/>
      <c r="M41" s="249"/>
      <c r="N41" s="249"/>
      <c r="O41" s="250"/>
      <c r="P41" s="249"/>
      <c r="Q41" s="249"/>
      <c r="R41" s="249"/>
      <c r="S41" s="249"/>
      <c r="T41" s="250"/>
      <c r="U41" s="248"/>
      <c r="V41" s="249"/>
      <c r="W41" s="249"/>
      <c r="X41" s="249"/>
      <c r="Y41" s="249"/>
      <c r="Z41" s="501" t="str">
        <f t="shared" si="2"/>
        <v/>
      </c>
      <c r="AA41" s="249"/>
      <c r="AB41" s="249"/>
      <c r="AC41" s="249"/>
      <c r="AD41" s="249"/>
      <c r="AE41" s="250"/>
      <c r="AF41" s="249"/>
      <c r="AG41" s="249"/>
      <c r="AH41" s="249"/>
      <c r="AI41" s="249"/>
      <c r="AJ41" s="250"/>
      <c r="AK41" s="248"/>
      <c r="AL41" s="249"/>
      <c r="AM41" s="249"/>
      <c r="AN41" s="249"/>
      <c r="AO41" s="249"/>
      <c r="AP41" s="502" t="str">
        <f t="shared" si="3"/>
        <v/>
      </c>
      <c r="AQ41" s="248"/>
      <c r="AR41" s="248"/>
      <c r="AS41" s="248"/>
      <c r="AT41" s="248"/>
      <c r="AU41" s="248"/>
      <c r="AV41" s="503" t="str">
        <f t="shared" si="4"/>
        <v/>
      </c>
      <c r="AW41" s="251"/>
      <c r="AX41" s="251"/>
      <c r="AY41" s="507">
        <f t="shared" si="0"/>
        <v>0</v>
      </c>
      <c r="AZ41" s="498" t="b">
        <f t="shared" si="5"/>
        <v>0</v>
      </c>
      <c r="BA41" s="402"/>
      <c r="BB41" s="72"/>
    </row>
    <row r="42" spans="1:54" x14ac:dyDescent="0.25">
      <c r="A42" s="72"/>
      <c r="B42" s="132">
        <v>24</v>
      </c>
      <c r="C42" s="687" t="str">
        <f>'C. FILIACION'!C37</f>
        <v>ZEWANE  MARTINEZ LINDA JHAMILETT</v>
      </c>
      <c r="D42" s="688"/>
      <c r="E42" s="248"/>
      <c r="F42" s="248"/>
      <c r="G42" s="248"/>
      <c r="H42" s="248"/>
      <c r="I42" s="248"/>
      <c r="J42" s="500" t="str">
        <f t="shared" si="1"/>
        <v/>
      </c>
      <c r="K42" s="249"/>
      <c r="L42" s="249"/>
      <c r="M42" s="249"/>
      <c r="N42" s="249"/>
      <c r="O42" s="250"/>
      <c r="P42" s="249"/>
      <c r="Q42" s="249"/>
      <c r="R42" s="249"/>
      <c r="S42" s="249"/>
      <c r="T42" s="250"/>
      <c r="U42" s="248"/>
      <c r="V42" s="249"/>
      <c r="W42" s="249"/>
      <c r="X42" s="249"/>
      <c r="Y42" s="249"/>
      <c r="Z42" s="501" t="str">
        <f t="shared" si="2"/>
        <v/>
      </c>
      <c r="AA42" s="249"/>
      <c r="AB42" s="249"/>
      <c r="AC42" s="249"/>
      <c r="AD42" s="249"/>
      <c r="AE42" s="250"/>
      <c r="AF42" s="249"/>
      <c r="AG42" s="249"/>
      <c r="AH42" s="249"/>
      <c r="AI42" s="249"/>
      <c r="AJ42" s="250"/>
      <c r="AK42" s="248"/>
      <c r="AL42" s="249"/>
      <c r="AM42" s="249"/>
      <c r="AN42" s="249"/>
      <c r="AO42" s="249"/>
      <c r="AP42" s="502" t="str">
        <f t="shared" si="3"/>
        <v/>
      </c>
      <c r="AQ42" s="248"/>
      <c r="AR42" s="248"/>
      <c r="AS42" s="248"/>
      <c r="AT42" s="248"/>
      <c r="AU42" s="248"/>
      <c r="AV42" s="503" t="str">
        <f t="shared" si="4"/>
        <v/>
      </c>
      <c r="AW42" s="251"/>
      <c r="AX42" s="251"/>
      <c r="AY42" s="507">
        <f t="shared" si="0"/>
        <v>0</v>
      </c>
      <c r="AZ42" s="498" t="b">
        <f t="shared" si="5"/>
        <v>0</v>
      </c>
      <c r="BA42" s="402"/>
      <c r="BB42" s="72"/>
    </row>
    <row r="43" spans="1:54" x14ac:dyDescent="0.25">
      <c r="A43" s="72"/>
      <c r="B43" s="132">
        <v>25</v>
      </c>
      <c r="C43" s="687">
        <f>'C. FILIACION'!C38</f>
        <v>0</v>
      </c>
      <c r="D43" s="688"/>
      <c r="E43" s="248"/>
      <c r="F43" s="248"/>
      <c r="G43" s="248"/>
      <c r="H43" s="248"/>
      <c r="I43" s="248"/>
      <c r="J43" s="500" t="str">
        <f t="shared" si="1"/>
        <v/>
      </c>
      <c r="K43" s="249"/>
      <c r="L43" s="249"/>
      <c r="M43" s="249"/>
      <c r="N43" s="249"/>
      <c r="O43" s="250"/>
      <c r="P43" s="249"/>
      <c r="Q43" s="249"/>
      <c r="R43" s="249"/>
      <c r="S43" s="249"/>
      <c r="T43" s="250"/>
      <c r="U43" s="248"/>
      <c r="V43" s="249"/>
      <c r="W43" s="249"/>
      <c r="X43" s="249"/>
      <c r="Y43" s="249"/>
      <c r="Z43" s="501" t="str">
        <f t="shared" si="2"/>
        <v/>
      </c>
      <c r="AA43" s="249"/>
      <c r="AB43" s="249"/>
      <c r="AC43" s="249"/>
      <c r="AD43" s="249"/>
      <c r="AE43" s="250"/>
      <c r="AF43" s="249"/>
      <c r="AG43" s="249"/>
      <c r="AH43" s="249"/>
      <c r="AI43" s="249"/>
      <c r="AJ43" s="250"/>
      <c r="AK43" s="248"/>
      <c r="AL43" s="249"/>
      <c r="AM43" s="249"/>
      <c r="AN43" s="249"/>
      <c r="AO43" s="249"/>
      <c r="AP43" s="502" t="str">
        <f t="shared" si="3"/>
        <v/>
      </c>
      <c r="AQ43" s="248"/>
      <c r="AR43" s="248"/>
      <c r="AS43" s="248"/>
      <c r="AT43" s="248"/>
      <c r="AU43" s="248"/>
      <c r="AV43" s="503" t="str">
        <f t="shared" si="4"/>
        <v/>
      </c>
      <c r="AW43" s="251"/>
      <c r="AX43" s="251"/>
      <c r="AY43" s="507">
        <f t="shared" si="0"/>
        <v>0</v>
      </c>
      <c r="AZ43" s="498" t="b">
        <f t="shared" si="5"/>
        <v>0</v>
      </c>
      <c r="BA43" s="402"/>
      <c r="BB43" s="72"/>
    </row>
    <row r="44" spans="1:54" x14ac:dyDescent="0.25">
      <c r="A44" s="72"/>
      <c r="B44" s="132">
        <v>26</v>
      </c>
      <c r="C44" s="687">
        <f>'C. FILIACION'!C39</f>
        <v>0</v>
      </c>
      <c r="D44" s="688"/>
      <c r="E44" s="248"/>
      <c r="F44" s="248"/>
      <c r="G44" s="248"/>
      <c r="H44" s="248"/>
      <c r="I44" s="248"/>
      <c r="J44" s="500" t="str">
        <f t="shared" si="1"/>
        <v/>
      </c>
      <c r="K44" s="249"/>
      <c r="L44" s="249"/>
      <c r="M44" s="249"/>
      <c r="N44" s="249"/>
      <c r="O44" s="250"/>
      <c r="P44" s="249"/>
      <c r="Q44" s="249"/>
      <c r="R44" s="249"/>
      <c r="S44" s="249"/>
      <c r="T44" s="250"/>
      <c r="U44" s="248"/>
      <c r="V44" s="249"/>
      <c r="W44" s="249"/>
      <c r="X44" s="249"/>
      <c r="Y44" s="249"/>
      <c r="Z44" s="501" t="str">
        <f t="shared" si="2"/>
        <v/>
      </c>
      <c r="AA44" s="249"/>
      <c r="AB44" s="249"/>
      <c r="AC44" s="249"/>
      <c r="AD44" s="249"/>
      <c r="AE44" s="250"/>
      <c r="AF44" s="249"/>
      <c r="AG44" s="249"/>
      <c r="AH44" s="249"/>
      <c r="AI44" s="249"/>
      <c r="AJ44" s="250"/>
      <c r="AK44" s="248"/>
      <c r="AL44" s="249"/>
      <c r="AM44" s="249"/>
      <c r="AN44" s="249"/>
      <c r="AO44" s="249"/>
      <c r="AP44" s="502" t="str">
        <f t="shared" si="3"/>
        <v/>
      </c>
      <c r="AQ44" s="248"/>
      <c r="AR44" s="248"/>
      <c r="AS44" s="248"/>
      <c r="AT44" s="248"/>
      <c r="AU44" s="248"/>
      <c r="AV44" s="503" t="str">
        <f t="shared" si="4"/>
        <v/>
      </c>
      <c r="AW44" s="251"/>
      <c r="AX44" s="251"/>
      <c r="AY44" s="507">
        <f t="shared" si="0"/>
        <v>0</v>
      </c>
      <c r="AZ44" s="498" t="b">
        <f t="shared" si="5"/>
        <v>0</v>
      </c>
      <c r="BA44" s="402"/>
      <c r="BB44" s="72"/>
    </row>
    <row r="45" spans="1:54" x14ac:dyDescent="0.25">
      <c r="A45" s="72"/>
      <c r="B45" s="132">
        <v>27</v>
      </c>
      <c r="C45" s="687">
        <f>'C. FILIACION'!C40</f>
        <v>0</v>
      </c>
      <c r="D45" s="688"/>
      <c r="E45" s="248"/>
      <c r="F45" s="248"/>
      <c r="G45" s="248"/>
      <c r="H45" s="248"/>
      <c r="I45" s="248"/>
      <c r="J45" s="500" t="str">
        <f t="shared" si="1"/>
        <v/>
      </c>
      <c r="K45" s="249"/>
      <c r="L45" s="249"/>
      <c r="M45" s="249"/>
      <c r="N45" s="249"/>
      <c r="O45" s="250"/>
      <c r="P45" s="249"/>
      <c r="Q45" s="249"/>
      <c r="R45" s="249"/>
      <c r="S45" s="249"/>
      <c r="T45" s="250"/>
      <c r="U45" s="248"/>
      <c r="V45" s="249"/>
      <c r="W45" s="249"/>
      <c r="X45" s="249"/>
      <c r="Y45" s="249"/>
      <c r="Z45" s="501" t="str">
        <f t="shared" si="2"/>
        <v/>
      </c>
      <c r="AA45" s="249"/>
      <c r="AB45" s="249"/>
      <c r="AC45" s="249"/>
      <c r="AD45" s="249"/>
      <c r="AE45" s="250"/>
      <c r="AF45" s="249"/>
      <c r="AG45" s="249"/>
      <c r="AH45" s="249"/>
      <c r="AI45" s="249"/>
      <c r="AJ45" s="250"/>
      <c r="AK45" s="248"/>
      <c r="AL45" s="249"/>
      <c r="AM45" s="249"/>
      <c r="AN45" s="249"/>
      <c r="AO45" s="249"/>
      <c r="AP45" s="502" t="str">
        <f t="shared" si="3"/>
        <v/>
      </c>
      <c r="AQ45" s="248"/>
      <c r="AR45" s="248"/>
      <c r="AS45" s="248"/>
      <c r="AT45" s="248"/>
      <c r="AU45" s="248"/>
      <c r="AV45" s="503" t="str">
        <f t="shared" si="4"/>
        <v/>
      </c>
      <c r="AW45" s="251"/>
      <c r="AX45" s="251"/>
      <c r="AY45" s="507">
        <f t="shared" si="0"/>
        <v>0</v>
      </c>
      <c r="AZ45" s="498" t="b">
        <f t="shared" si="5"/>
        <v>0</v>
      </c>
      <c r="BA45" s="402"/>
      <c r="BB45" s="72"/>
    </row>
    <row r="46" spans="1:54" x14ac:dyDescent="0.25">
      <c r="A46" s="72"/>
      <c r="B46" s="132">
        <v>28</v>
      </c>
      <c r="C46" s="687">
        <f>'C. FILIACION'!C41</f>
        <v>0</v>
      </c>
      <c r="D46" s="688"/>
      <c r="E46" s="248"/>
      <c r="F46" s="248"/>
      <c r="G46" s="248"/>
      <c r="H46" s="248"/>
      <c r="I46" s="248"/>
      <c r="J46" s="500" t="str">
        <f t="shared" si="1"/>
        <v/>
      </c>
      <c r="K46" s="249"/>
      <c r="L46" s="249"/>
      <c r="M46" s="249"/>
      <c r="N46" s="249"/>
      <c r="O46" s="250"/>
      <c r="P46" s="249"/>
      <c r="Q46" s="249"/>
      <c r="R46" s="249"/>
      <c r="S46" s="249"/>
      <c r="T46" s="250"/>
      <c r="U46" s="248"/>
      <c r="V46" s="249"/>
      <c r="W46" s="249"/>
      <c r="X46" s="249"/>
      <c r="Y46" s="249"/>
      <c r="Z46" s="501" t="str">
        <f t="shared" si="2"/>
        <v/>
      </c>
      <c r="AA46" s="249"/>
      <c r="AB46" s="249"/>
      <c r="AC46" s="249"/>
      <c r="AD46" s="249"/>
      <c r="AE46" s="250"/>
      <c r="AF46" s="249"/>
      <c r="AG46" s="249"/>
      <c r="AH46" s="249"/>
      <c r="AI46" s="249"/>
      <c r="AJ46" s="250"/>
      <c r="AK46" s="248"/>
      <c r="AL46" s="249"/>
      <c r="AM46" s="249"/>
      <c r="AN46" s="249"/>
      <c r="AO46" s="249"/>
      <c r="AP46" s="502" t="str">
        <f t="shared" si="3"/>
        <v/>
      </c>
      <c r="AQ46" s="248"/>
      <c r="AR46" s="248"/>
      <c r="AS46" s="248"/>
      <c r="AT46" s="248"/>
      <c r="AU46" s="248"/>
      <c r="AV46" s="503" t="str">
        <f t="shared" si="4"/>
        <v/>
      </c>
      <c r="AW46" s="251"/>
      <c r="AX46" s="251"/>
      <c r="AY46" s="507">
        <f t="shared" si="0"/>
        <v>0</v>
      </c>
      <c r="AZ46" s="498" t="b">
        <f t="shared" si="5"/>
        <v>0</v>
      </c>
      <c r="BA46" s="402"/>
      <c r="BB46" s="72"/>
    </row>
    <row r="47" spans="1:54" x14ac:dyDescent="0.25">
      <c r="A47" s="72"/>
      <c r="B47" s="132">
        <v>29</v>
      </c>
      <c r="C47" s="687">
        <f>'C. FILIACION'!C42</f>
        <v>0</v>
      </c>
      <c r="D47" s="688"/>
      <c r="E47" s="248"/>
      <c r="F47" s="248"/>
      <c r="G47" s="248"/>
      <c r="H47" s="248"/>
      <c r="I47" s="248"/>
      <c r="J47" s="500" t="str">
        <f t="shared" si="1"/>
        <v/>
      </c>
      <c r="K47" s="249"/>
      <c r="L47" s="249"/>
      <c r="M47" s="249"/>
      <c r="N47" s="249"/>
      <c r="O47" s="250"/>
      <c r="P47" s="249"/>
      <c r="Q47" s="249"/>
      <c r="R47" s="249"/>
      <c r="S47" s="249"/>
      <c r="T47" s="250"/>
      <c r="U47" s="248"/>
      <c r="V47" s="249"/>
      <c r="W47" s="249"/>
      <c r="X47" s="249"/>
      <c r="Y47" s="249"/>
      <c r="Z47" s="501" t="str">
        <f t="shared" si="2"/>
        <v/>
      </c>
      <c r="AA47" s="249"/>
      <c r="AB47" s="249"/>
      <c r="AC47" s="249"/>
      <c r="AD47" s="249"/>
      <c r="AE47" s="250"/>
      <c r="AF47" s="249"/>
      <c r="AG47" s="249"/>
      <c r="AH47" s="249"/>
      <c r="AI47" s="249"/>
      <c r="AJ47" s="250"/>
      <c r="AK47" s="248"/>
      <c r="AL47" s="249"/>
      <c r="AM47" s="249"/>
      <c r="AN47" s="249"/>
      <c r="AO47" s="249"/>
      <c r="AP47" s="502" t="str">
        <f t="shared" si="3"/>
        <v/>
      </c>
      <c r="AQ47" s="248"/>
      <c r="AR47" s="248"/>
      <c r="AS47" s="248"/>
      <c r="AT47" s="248"/>
      <c r="AU47" s="248"/>
      <c r="AV47" s="503" t="str">
        <f t="shared" si="4"/>
        <v/>
      </c>
      <c r="AW47" s="251"/>
      <c r="AX47" s="251"/>
      <c r="AY47" s="507">
        <f t="shared" si="0"/>
        <v>0</v>
      </c>
      <c r="AZ47" s="498" t="b">
        <f t="shared" si="5"/>
        <v>0</v>
      </c>
      <c r="BA47" s="402"/>
      <c r="BB47" s="72"/>
    </row>
    <row r="48" spans="1:54" x14ac:dyDescent="0.25">
      <c r="A48" s="72"/>
      <c r="B48" s="132">
        <v>30</v>
      </c>
      <c r="C48" s="687">
        <f>'C. FILIACION'!C43</f>
        <v>0</v>
      </c>
      <c r="D48" s="688"/>
      <c r="E48" s="248"/>
      <c r="F48" s="248"/>
      <c r="G48" s="248"/>
      <c r="H48" s="248"/>
      <c r="I48" s="248"/>
      <c r="J48" s="500" t="str">
        <f t="shared" si="1"/>
        <v/>
      </c>
      <c r="K48" s="249"/>
      <c r="L48" s="249"/>
      <c r="M48" s="249"/>
      <c r="N48" s="249"/>
      <c r="O48" s="250"/>
      <c r="P48" s="249"/>
      <c r="Q48" s="249"/>
      <c r="R48" s="249"/>
      <c r="S48" s="249"/>
      <c r="T48" s="250"/>
      <c r="U48" s="248"/>
      <c r="V48" s="249"/>
      <c r="W48" s="249"/>
      <c r="X48" s="249"/>
      <c r="Y48" s="249"/>
      <c r="Z48" s="501" t="str">
        <f t="shared" si="2"/>
        <v/>
      </c>
      <c r="AA48" s="249"/>
      <c r="AB48" s="249"/>
      <c r="AC48" s="249"/>
      <c r="AD48" s="249"/>
      <c r="AE48" s="250"/>
      <c r="AF48" s="249"/>
      <c r="AG48" s="249"/>
      <c r="AH48" s="249"/>
      <c r="AI48" s="249"/>
      <c r="AJ48" s="250"/>
      <c r="AK48" s="248"/>
      <c r="AL48" s="249"/>
      <c r="AM48" s="249"/>
      <c r="AN48" s="249"/>
      <c r="AO48" s="249"/>
      <c r="AP48" s="502" t="str">
        <f t="shared" si="3"/>
        <v/>
      </c>
      <c r="AQ48" s="248"/>
      <c r="AR48" s="248"/>
      <c r="AS48" s="248"/>
      <c r="AT48" s="248"/>
      <c r="AU48" s="248"/>
      <c r="AV48" s="503" t="str">
        <f t="shared" si="4"/>
        <v/>
      </c>
      <c r="AW48" s="251"/>
      <c r="AX48" s="251"/>
      <c r="AY48" s="507">
        <f t="shared" si="0"/>
        <v>0</v>
      </c>
      <c r="AZ48" s="498" t="b">
        <f t="shared" si="5"/>
        <v>0</v>
      </c>
      <c r="BA48" s="402"/>
      <c r="BB48" s="72"/>
    </row>
    <row r="49" spans="1:54" x14ac:dyDescent="0.25">
      <c r="A49" s="72"/>
      <c r="B49" s="132">
        <v>31</v>
      </c>
      <c r="C49" s="687">
        <f>'C. FILIACION'!C44</f>
        <v>0</v>
      </c>
      <c r="D49" s="688"/>
      <c r="E49" s="248"/>
      <c r="F49" s="248"/>
      <c r="G49" s="248"/>
      <c r="H49" s="248"/>
      <c r="I49" s="248"/>
      <c r="J49" s="500" t="str">
        <f t="shared" si="1"/>
        <v/>
      </c>
      <c r="K49" s="249"/>
      <c r="L49" s="249"/>
      <c r="M49" s="249"/>
      <c r="N49" s="249"/>
      <c r="O49" s="250"/>
      <c r="P49" s="249"/>
      <c r="Q49" s="249"/>
      <c r="R49" s="249"/>
      <c r="S49" s="249"/>
      <c r="T49" s="250"/>
      <c r="U49" s="248"/>
      <c r="V49" s="249"/>
      <c r="W49" s="249"/>
      <c r="X49" s="249"/>
      <c r="Y49" s="249"/>
      <c r="Z49" s="501" t="str">
        <f t="shared" si="2"/>
        <v/>
      </c>
      <c r="AA49" s="249"/>
      <c r="AB49" s="249"/>
      <c r="AC49" s="249"/>
      <c r="AD49" s="249"/>
      <c r="AE49" s="250"/>
      <c r="AF49" s="249"/>
      <c r="AG49" s="249"/>
      <c r="AH49" s="249"/>
      <c r="AI49" s="249"/>
      <c r="AJ49" s="250"/>
      <c r="AK49" s="248"/>
      <c r="AL49" s="249"/>
      <c r="AM49" s="249"/>
      <c r="AN49" s="249"/>
      <c r="AO49" s="249"/>
      <c r="AP49" s="502" t="str">
        <f t="shared" si="3"/>
        <v/>
      </c>
      <c r="AQ49" s="248"/>
      <c r="AR49" s="248"/>
      <c r="AS49" s="248"/>
      <c r="AT49" s="248"/>
      <c r="AU49" s="248"/>
      <c r="AV49" s="503" t="str">
        <f t="shared" si="4"/>
        <v/>
      </c>
      <c r="AW49" s="251"/>
      <c r="AX49" s="251"/>
      <c r="AY49" s="507">
        <f t="shared" si="0"/>
        <v>0</v>
      </c>
      <c r="AZ49" s="498" t="b">
        <f t="shared" si="5"/>
        <v>0</v>
      </c>
      <c r="BA49" s="402"/>
      <c r="BB49" s="72"/>
    </row>
    <row r="50" spans="1:54" x14ac:dyDescent="0.25">
      <c r="A50" s="72"/>
      <c r="B50" s="132">
        <v>32</v>
      </c>
      <c r="C50" s="687">
        <f>'C. FILIACION'!C45</f>
        <v>0</v>
      </c>
      <c r="D50" s="688"/>
      <c r="E50" s="248"/>
      <c r="F50" s="248"/>
      <c r="G50" s="248"/>
      <c r="H50" s="248"/>
      <c r="I50" s="248"/>
      <c r="J50" s="500" t="str">
        <f t="shared" si="1"/>
        <v/>
      </c>
      <c r="K50" s="249"/>
      <c r="L50" s="249"/>
      <c r="M50" s="249"/>
      <c r="N50" s="249"/>
      <c r="O50" s="250"/>
      <c r="P50" s="249"/>
      <c r="Q50" s="249"/>
      <c r="R50" s="249"/>
      <c r="S50" s="249"/>
      <c r="T50" s="250"/>
      <c r="U50" s="248"/>
      <c r="V50" s="249"/>
      <c r="W50" s="249"/>
      <c r="X50" s="249"/>
      <c r="Y50" s="249"/>
      <c r="Z50" s="501" t="str">
        <f t="shared" si="2"/>
        <v/>
      </c>
      <c r="AA50" s="249"/>
      <c r="AB50" s="249"/>
      <c r="AC50" s="249"/>
      <c r="AD50" s="249"/>
      <c r="AE50" s="250"/>
      <c r="AF50" s="249"/>
      <c r="AG50" s="249"/>
      <c r="AH50" s="249"/>
      <c r="AI50" s="249"/>
      <c r="AJ50" s="250"/>
      <c r="AK50" s="248"/>
      <c r="AL50" s="249"/>
      <c r="AM50" s="249"/>
      <c r="AN50" s="249"/>
      <c r="AO50" s="249"/>
      <c r="AP50" s="502" t="str">
        <f t="shared" si="3"/>
        <v/>
      </c>
      <c r="AQ50" s="248"/>
      <c r="AR50" s="248"/>
      <c r="AS50" s="248"/>
      <c r="AT50" s="248"/>
      <c r="AU50" s="248"/>
      <c r="AV50" s="503" t="str">
        <f t="shared" si="4"/>
        <v/>
      </c>
      <c r="AW50" s="251"/>
      <c r="AX50" s="251"/>
      <c r="AY50" s="507">
        <f t="shared" si="0"/>
        <v>0</v>
      </c>
      <c r="AZ50" s="498" t="b">
        <f t="shared" si="5"/>
        <v>0</v>
      </c>
      <c r="BA50" s="402"/>
      <c r="BB50" s="72"/>
    </row>
    <row r="51" spans="1:54" x14ac:dyDescent="0.25">
      <c r="A51" s="72"/>
      <c r="B51" s="132">
        <v>33</v>
      </c>
      <c r="C51" s="687">
        <f>'C. FILIACION'!C46</f>
        <v>0</v>
      </c>
      <c r="D51" s="688"/>
      <c r="E51" s="248"/>
      <c r="F51" s="248"/>
      <c r="G51" s="248"/>
      <c r="H51" s="248"/>
      <c r="I51" s="248"/>
      <c r="J51" s="500" t="str">
        <f t="shared" si="1"/>
        <v/>
      </c>
      <c r="K51" s="249"/>
      <c r="L51" s="249"/>
      <c r="M51" s="249"/>
      <c r="N51" s="249"/>
      <c r="O51" s="250"/>
      <c r="P51" s="249"/>
      <c r="Q51" s="249"/>
      <c r="R51" s="249"/>
      <c r="S51" s="249"/>
      <c r="T51" s="250"/>
      <c r="U51" s="248"/>
      <c r="V51" s="249"/>
      <c r="W51" s="249"/>
      <c r="X51" s="249"/>
      <c r="Y51" s="249"/>
      <c r="Z51" s="501" t="str">
        <f t="shared" si="2"/>
        <v/>
      </c>
      <c r="AA51" s="249"/>
      <c r="AB51" s="249"/>
      <c r="AC51" s="249"/>
      <c r="AD51" s="249"/>
      <c r="AE51" s="250"/>
      <c r="AF51" s="249"/>
      <c r="AG51" s="249"/>
      <c r="AH51" s="249"/>
      <c r="AI51" s="249"/>
      <c r="AJ51" s="250"/>
      <c r="AK51" s="248"/>
      <c r="AL51" s="249"/>
      <c r="AM51" s="249"/>
      <c r="AN51" s="249"/>
      <c r="AO51" s="249"/>
      <c r="AP51" s="502" t="str">
        <f t="shared" si="3"/>
        <v/>
      </c>
      <c r="AQ51" s="248"/>
      <c r="AR51" s="248"/>
      <c r="AS51" s="248"/>
      <c r="AT51" s="248"/>
      <c r="AU51" s="248"/>
      <c r="AV51" s="503" t="str">
        <f t="shared" si="4"/>
        <v/>
      </c>
      <c r="AW51" s="251"/>
      <c r="AX51" s="251"/>
      <c r="AY51" s="507">
        <f t="shared" si="0"/>
        <v>0</v>
      </c>
      <c r="AZ51" s="498" t="b">
        <f t="shared" si="5"/>
        <v>0</v>
      </c>
      <c r="BA51" s="402"/>
      <c r="BB51" s="72"/>
    </row>
    <row r="52" spans="1:54" x14ac:dyDescent="0.25">
      <c r="A52" s="72"/>
      <c r="B52" s="132">
        <v>34</v>
      </c>
      <c r="C52" s="687">
        <f>'C. FILIACION'!C47</f>
        <v>0</v>
      </c>
      <c r="D52" s="688"/>
      <c r="E52" s="248"/>
      <c r="F52" s="248"/>
      <c r="G52" s="248"/>
      <c r="H52" s="248"/>
      <c r="I52" s="248"/>
      <c r="J52" s="500" t="str">
        <f t="shared" si="1"/>
        <v/>
      </c>
      <c r="K52" s="249"/>
      <c r="L52" s="249"/>
      <c r="M52" s="249"/>
      <c r="N52" s="249"/>
      <c r="O52" s="250"/>
      <c r="P52" s="249"/>
      <c r="Q52" s="249"/>
      <c r="R52" s="249"/>
      <c r="S52" s="249"/>
      <c r="T52" s="250"/>
      <c r="U52" s="248"/>
      <c r="V52" s="249"/>
      <c r="W52" s="249"/>
      <c r="X52" s="249"/>
      <c r="Y52" s="249"/>
      <c r="Z52" s="501" t="str">
        <f t="shared" si="2"/>
        <v/>
      </c>
      <c r="AA52" s="249"/>
      <c r="AB52" s="249"/>
      <c r="AC52" s="249"/>
      <c r="AD52" s="249"/>
      <c r="AE52" s="250"/>
      <c r="AF52" s="249"/>
      <c r="AG52" s="249"/>
      <c r="AH52" s="249"/>
      <c r="AI52" s="249"/>
      <c r="AJ52" s="250"/>
      <c r="AK52" s="248"/>
      <c r="AL52" s="249"/>
      <c r="AM52" s="249"/>
      <c r="AN52" s="249"/>
      <c r="AO52" s="249"/>
      <c r="AP52" s="502" t="str">
        <f t="shared" si="3"/>
        <v/>
      </c>
      <c r="AQ52" s="248"/>
      <c r="AR52" s="248"/>
      <c r="AS52" s="248"/>
      <c r="AT52" s="248"/>
      <c r="AU52" s="248"/>
      <c r="AV52" s="503" t="str">
        <f t="shared" si="4"/>
        <v/>
      </c>
      <c r="AW52" s="251"/>
      <c r="AX52" s="251"/>
      <c r="AY52" s="507">
        <f t="shared" si="0"/>
        <v>0</v>
      </c>
      <c r="AZ52" s="498" t="b">
        <f t="shared" si="5"/>
        <v>0</v>
      </c>
      <c r="BA52" s="402"/>
      <c r="BB52" s="72"/>
    </row>
    <row r="53" spans="1:54" x14ac:dyDescent="0.25">
      <c r="A53" s="72"/>
      <c r="B53" s="132">
        <v>35</v>
      </c>
      <c r="C53" s="687">
        <f>'C. FILIACION'!C48</f>
        <v>0</v>
      </c>
      <c r="D53" s="688"/>
      <c r="E53" s="248"/>
      <c r="F53" s="248"/>
      <c r="G53" s="248"/>
      <c r="H53" s="248"/>
      <c r="I53" s="248"/>
      <c r="J53" s="500" t="str">
        <f t="shared" si="1"/>
        <v/>
      </c>
      <c r="K53" s="249"/>
      <c r="L53" s="249"/>
      <c r="M53" s="249"/>
      <c r="N53" s="249"/>
      <c r="O53" s="250"/>
      <c r="P53" s="249"/>
      <c r="Q53" s="249"/>
      <c r="R53" s="249"/>
      <c r="S53" s="249"/>
      <c r="T53" s="250"/>
      <c r="U53" s="248"/>
      <c r="V53" s="249"/>
      <c r="W53" s="249"/>
      <c r="X53" s="249"/>
      <c r="Y53" s="249"/>
      <c r="Z53" s="501" t="str">
        <f t="shared" si="2"/>
        <v/>
      </c>
      <c r="AA53" s="249"/>
      <c r="AB53" s="249"/>
      <c r="AC53" s="249"/>
      <c r="AD53" s="249"/>
      <c r="AE53" s="250"/>
      <c r="AF53" s="249"/>
      <c r="AG53" s="249"/>
      <c r="AH53" s="249"/>
      <c r="AI53" s="249"/>
      <c r="AJ53" s="250"/>
      <c r="AK53" s="248"/>
      <c r="AL53" s="249"/>
      <c r="AM53" s="249"/>
      <c r="AN53" s="249"/>
      <c r="AO53" s="249"/>
      <c r="AP53" s="502" t="str">
        <f t="shared" si="3"/>
        <v/>
      </c>
      <c r="AQ53" s="248"/>
      <c r="AR53" s="248"/>
      <c r="AS53" s="248"/>
      <c r="AT53" s="248"/>
      <c r="AU53" s="248"/>
      <c r="AV53" s="503" t="str">
        <f t="shared" si="4"/>
        <v/>
      </c>
      <c r="AW53" s="251"/>
      <c r="AX53" s="251"/>
      <c r="AY53" s="507">
        <f t="shared" si="0"/>
        <v>0</v>
      </c>
      <c r="AZ53" s="498" t="b">
        <f t="shared" si="5"/>
        <v>0</v>
      </c>
      <c r="BA53" s="402"/>
      <c r="BB53" s="72"/>
    </row>
    <row r="54" spans="1:54" x14ac:dyDescent="0.25">
      <c r="A54" s="72"/>
      <c r="B54" s="132">
        <v>36</v>
      </c>
      <c r="C54" s="687">
        <f>'C. FILIACION'!C49</f>
        <v>0</v>
      </c>
      <c r="D54" s="688"/>
      <c r="E54" s="248"/>
      <c r="F54" s="248"/>
      <c r="G54" s="248"/>
      <c r="H54" s="248"/>
      <c r="I54" s="248"/>
      <c r="J54" s="500" t="str">
        <f t="shared" si="1"/>
        <v/>
      </c>
      <c r="K54" s="249"/>
      <c r="L54" s="249"/>
      <c r="M54" s="249"/>
      <c r="N54" s="249"/>
      <c r="O54" s="250"/>
      <c r="P54" s="249"/>
      <c r="Q54" s="249"/>
      <c r="R54" s="249"/>
      <c r="S54" s="249"/>
      <c r="T54" s="250"/>
      <c r="U54" s="248"/>
      <c r="V54" s="249"/>
      <c r="W54" s="249"/>
      <c r="X54" s="249"/>
      <c r="Y54" s="249"/>
      <c r="Z54" s="501" t="str">
        <f t="shared" si="2"/>
        <v/>
      </c>
      <c r="AA54" s="249"/>
      <c r="AB54" s="249"/>
      <c r="AC54" s="249"/>
      <c r="AD54" s="249"/>
      <c r="AE54" s="250"/>
      <c r="AF54" s="249"/>
      <c r="AG54" s="249"/>
      <c r="AH54" s="249"/>
      <c r="AI54" s="249"/>
      <c r="AJ54" s="250"/>
      <c r="AK54" s="248"/>
      <c r="AL54" s="249"/>
      <c r="AM54" s="249"/>
      <c r="AN54" s="249"/>
      <c r="AO54" s="249"/>
      <c r="AP54" s="502" t="str">
        <f t="shared" si="3"/>
        <v/>
      </c>
      <c r="AQ54" s="248"/>
      <c r="AR54" s="248"/>
      <c r="AS54" s="248"/>
      <c r="AT54" s="248"/>
      <c r="AU54" s="248"/>
      <c r="AV54" s="503" t="str">
        <f t="shared" si="4"/>
        <v/>
      </c>
      <c r="AW54" s="251"/>
      <c r="AX54" s="251"/>
      <c r="AY54" s="507">
        <f t="shared" si="0"/>
        <v>0</v>
      </c>
      <c r="AZ54" s="498" t="b">
        <f t="shared" si="5"/>
        <v>0</v>
      </c>
      <c r="BA54" s="402"/>
      <c r="BB54" s="72"/>
    </row>
    <row r="55" spans="1:54" x14ac:dyDescent="0.25">
      <c r="A55" s="72"/>
      <c r="B55" s="132">
        <v>37</v>
      </c>
      <c r="C55" s="687">
        <f>'C. FILIACION'!C50</f>
        <v>0</v>
      </c>
      <c r="D55" s="688"/>
      <c r="E55" s="252"/>
      <c r="F55" s="247"/>
      <c r="G55" s="248"/>
      <c r="H55" s="248"/>
      <c r="I55" s="247"/>
      <c r="J55" s="500" t="str">
        <f t="shared" si="1"/>
        <v/>
      </c>
      <c r="K55" s="247"/>
      <c r="L55" s="247"/>
      <c r="M55" s="249"/>
      <c r="N55" s="249"/>
      <c r="O55" s="250"/>
      <c r="P55" s="249"/>
      <c r="Q55" s="249"/>
      <c r="R55" s="249"/>
      <c r="S55" s="249"/>
      <c r="T55" s="250"/>
      <c r="U55" s="248"/>
      <c r="V55" s="249"/>
      <c r="W55" s="249"/>
      <c r="X55" s="247"/>
      <c r="Y55" s="247"/>
      <c r="Z55" s="501" t="str">
        <f t="shared" si="2"/>
        <v/>
      </c>
      <c r="AA55" s="247"/>
      <c r="AB55" s="249"/>
      <c r="AC55" s="249"/>
      <c r="AD55" s="249"/>
      <c r="AE55" s="250"/>
      <c r="AF55" s="249"/>
      <c r="AG55" s="249"/>
      <c r="AH55" s="249"/>
      <c r="AI55" s="249"/>
      <c r="AJ55" s="250"/>
      <c r="AK55" s="248"/>
      <c r="AL55" s="249"/>
      <c r="AM55" s="249"/>
      <c r="AN55" s="247"/>
      <c r="AO55" s="247"/>
      <c r="AP55" s="502" t="str">
        <f t="shared" si="3"/>
        <v/>
      </c>
      <c r="AQ55" s="247"/>
      <c r="AR55" s="247"/>
      <c r="AS55" s="248"/>
      <c r="AT55" s="247"/>
      <c r="AU55" s="247"/>
      <c r="AV55" s="503" t="str">
        <f t="shared" si="4"/>
        <v/>
      </c>
      <c r="AW55" s="251"/>
      <c r="AX55" s="251"/>
      <c r="AY55" s="507">
        <f t="shared" si="0"/>
        <v>0</v>
      </c>
      <c r="AZ55" s="498" t="b">
        <f t="shared" si="5"/>
        <v>0</v>
      </c>
      <c r="BA55" s="402"/>
      <c r="BB55" s="72"/>
    </row>
    <row r="56" spans="1:54" x14ac:dyDescent="0.25">
      <c r="A56" s="72"/>
      <c r="B56" s="132">
        <v>38</v>
      </c>
      <c r="C56" s="687">
        <f>'C. FILIACION'!C51</f>
        <v>0</v>
      </c>
      <c r="D56" s="688"/>
      <c r="E56" s="252"/>
      <c r="F56" s="247"/>
      <c r="G56" s="248"/>
      <c r="H56" s="248"/>
      <c r="I56" s="247"/>
      <c r="J56" s="500" t="str">
        <f t="shared" si="1"/>
        <v/>
      </c>
      <c r="K56" s="247"/>
      <c r="L56" s="247"/>
      <c r="M56" s="249"/>
      <c r="N56" s="249"/>
      <c r="O56" s="250"/>
      <c r="P56" s="249"/>
      <c r="Q56" s="249"/>
      <c r="R56" s="249"/>
      <c r="S56" s="249"/>
      <c r="T56" s="250"/>
      <c r="U56" s="248"/>
      <c r="V56" s="249"/>
      <c r="W56" s="249"/>
      <c r="X56" s="247"/>
      <c r="Y56" s="247"/>
      <c r="Z56" s="501" t="str">
        <f t="shared" si="2"/>
        <v/>
      </c>
      <c r="AA56" s="247"/>
      <c r="AB56" s="249"/>
      <c r="AC56" s="249"/>
      <c r="AD56" s="249"/>
      <c r="AE56" s="250"/>
      <c r="AF56" s="249"/>
      <c r="AG56" s="249"/>
      <c r="AH56" s="249"/>
      <c r="AI56" s="249"/>
      <c r="AJ56" s="250"/>
      <c r="AK56" s="248"/>
      <c r="AL56" s="249"/>
      <c r="AM56" s="249"/>
      <c r="AN56" s="247"/>
      <c r="AO56" s="247"/>
      <c r="AP56" s="502" t="str">
        <f t="shared" si="3"/>
        <v/>
      </c>
      <c r="AQ56" s="247"/>
      <c r="AR56" s="247"/>
      <c r="AS56" s="248"/>
      <c r="AT56" s="247"/>
      <c r="AU56" s="247"/>
      <c r="AV56" s="503" t="str">
        <f t="shared" si="4"/>
        <v/>
      </c>
      <c r="AW56" s="251"/>
      <c r="AX56" s="251"/>
      <c r="AY56" s="507">
        <f t="shared" si="0"/>
        <v>0</v>
      </c>
      <c r="AZ56" s="498" t="b">
        <f t="shared" si="5"/>
        <v>0</v>
      </c>
      <c r="BA56" s="402"/>
      <c r="BB56" s="72"/>
    </row>
    <row r="57" spans="1:54" x14ac:dyDescent="0.25">
      <c r="A57" s="72"/>
      <c r="B57" s="132">
        <v>39</v>
      </c>
      <c r="C57" s="687">
        <f>'C. FILIACION'!C52</f>
        <v>0</v>
      </c>
      <c r="D57" s="688"/>
      <c r="E57" s="252"/>
      <c r="F57" s="247"/>
      <c r="G57" s="248"/>
      <c r="H57" s="248"/>
      <c r="I57" s="247"/>
      <c r="J57" s="500" t="str">
        <f t="shared" si="1"/>
        <v/>
      </c>
      <c r="K57" s="247"/>
      <c r="L57" s="247"/>
      <c r="M57" s="249"/>
      <c r="N57" s="249"/>
      <c r="O57" s="250"/>
      <c r="P57" s="249"/>
      <c r="Q57" s="249"/>
      <c r="R57" s="249"/>
      <c r="S57" s="249"/>
      <c r="T57" s="250"/>
      <c r="U57" s="248"/>
      <c r="V57" s="249"/>
      <c r="W57" s="249"/>
      <c r="X57" s="247"/>
      <c r="Y57" s="247"/>
      <c r="Z57" s="501" t="str">
        <f t="shared" si="2"/>
        <v/>
      </c>
      <c r="AA57" s="247"/>
      <c r="AB57" s="249"/>
      <c r="AC57" s="249"/>
      <c r="AD57" s="249"/>
      <c r="AE57" s="250"/>
      <c r="AF57" s="249"/>
      <c r="AG57" s="249"/>
      <c r="AH57" s="249"/>
      <c r="AI57" s="249"/>
      <c r="AJ57" s="250"/>
      <c r="AK57" s="248"/>
      <c r="AL57" s="249"/>
      <c r="AM57" s="249"/>
      <c r="AN57" s="247"/>
      <c r="AO57" s="247"/>
      <c r="AP57" s="502" t="str">
        <f t="shared" si="3"/>
        <v/>
      </c>
      <c r="AQ57" s="247"/>
      <c r="AR57" s="247"/>
      <c r="AS57" s="248"/>
      <c r="AT57" s="247"/>
      <c r="AU57" s="247"/>
      <c r="AV57" s="503" t="str">
        <f t="shared" si="4"/>
        <v/>
      </c>
      <c r="AW57" s="251"/>
      <c r="AX57" s="251"/>
      <c r="AY57" s="507">
        <f t="shared" si="0"/>
        <v>0</v>
      </c>
      <c r="AZ57" s="498" t="b">
        <f t="shared" si="5"/>
        <v>0</v>
      </c>
      <c r="BA57" s="402"/>
      <c r="BB57" s="72"/>
    </row>
    <row r="58" spans="1:54" x14ac:dyDescent="0.25">
      <c r="A58" s="72"/>
      <c r="B58" s="132">
        <v>40</v>
      </c>
      <c r="C58" s="687">
        <f>'C. FILIACION'!C53</f>
        <v>0</v>
      </c>
      <c r="D58" s="688"/>
      <c r="E58" s="252"/>
      <c r="F58" s="247"/>
      <c r="G58" s="248"/>
      <c r="H58" s="248"/>
      <c r="I58" s="247"/>
      <c r="J58" s="500" t="str">
        <f t="shared" si="1"/>
        <v/>
      </c>
      <c r="K58" s="247"/>
      <c r="L58" s="247"/>
      <c r="M58" s="249"/>
      <c r="N58" s="249"/>
      <c r="O58" s="250"/>
      <c r="P58" s="249"/>
      <c r="Q58" s="249"/>
      <c r="R58" s="249"/>
      <c r="S58" s="249"/>
      <c r="T58" s="250"/>
      <c r="U58" s="248"/>
      <c r="V58" s="249"/>
      <c r="W58" s="249"/>
      <c r="X58" s="247"/>
      <c r="Y58" s="247"/>
      <c r="Z58" s="501" t="str">
        <f t="shared" si="2"/>
        <v/>
      </c>
      <c r="AA58" s="247"/>
      <c r="AB58" s="249"/>
      <c r="AC58" s="249"/>
      <c r="AD58" s="249"/>
      <c r="AE58" s="250"/>
      <c r="AF58" s="249"/>
      <c r="AG58" s="249"/>
      <c r="AH58" s="249"/>
      <c r="AI58" s="249"/>
      <c r="AJ58" s="250"/>
      <c r="AK58" s="248"/>
      <c r="AL58" s="249"/>
      <c r="AM58" s="249"/>
      <c r="AN58" s="247"/>
      <c r="AO58" s="247"/>
      <c r="AP58" s="502" t="str">
        <f t="shared" si="3"/>
        <v/>
      </c>
      <c r="AQ58" s="247"/>
      <c r="AR58" s="247"/>
      <c r="AS58" s="248"/>
      <c r="AT58" s="247"/>
      <c r="AU58" s="247"/>
      <c r="AV58" s="503" t="str">
        <f t="shared" si="4"/>
        <v/>
      </c>
      <c r="AW58" s="251"/>
      <c r="AX58" s="251"/>
      <c r="AY58" s="507">
        <f t="shared" si="0"/>
        <v>0</v>
      </c>
      <c r="AZ58" s="498" t="b">
        <f t="shared" si="5"/>
        <v>0</v>
      </c>
      <c r="BA58" s="402"/>
      <c r="BB58" s="72"/>
    </row>
    <row r="59" spans="1:54" x14ac:dyDescent="0.25">
      <c r="A59" s="72"/>
      <c r="B59" s="132">
        <v>41</v>
      </c>
      <c r="C59" s="687">
        <f>'C. FILIACION'!C54</f>
        <v>0</v>
      </c>
      <c r="D59" s="688"/>
      <c r="E59" s="252"/>
      <c r="F59" s="247"/>
      <c r="G59" s="248"/>
      <c r="H59" s="248"/>
      <c r="I59" s="247"/>
      <c r="J59" s="500" t="str">
        <f t="shared" si="1"/>
        <v/>
      </c>
      <c r="K59" s="247"/>
      <c r="L59" s="247"/>
      <c r="M59" s="249"/>
      <c r="N59" s="249"/>
      <c r="O59" s="250"/>
      <c r="P59" s="249"/>
      <c r="Q59" s="249"/>
      <c r="R59" s="249"/>
      <c r="S59" s="249"/>
      <c r="T59" s="250"/>
      <c r="U59" s="248"/>
      <c r="V59" s="249"/>
      <c r="W59" s="249"/>
      <c r="X59" s="247"/>
      <c r="Y59" s="247"/>
      <c r="Z59" s="501" t="str">
        <f t="shared" si="2"/>
        <v/>
      </c>
      <c r="AA59" s="247"/>
      <c r="AB59" s="249"/>
      <c r="AC59" s="249"/>
      <c r="AD59" s="249"/>
      <c r="AE59" s="250"/>
      <c r="AF59" s="249"/>
      <c r="AG59" s="249"/>
      <c r="AH59" s="249"/>
      <c r="AI59" s="249"/>
      <c r="AJ59" s="250"/>
      <c r="AK59" s="248"/>
      <c r="AL59" s="249"/>
      <c r="AM59" s="249"/>
      <c r="AN59" s="247"/>
      <c r="AO59" s="247"/>
      <c r="AP59" s="502" t="str">
        <f t="shared" si="3"/>
        <v/>
      </c>
      <c r="AQ59" s="247"/>
      <c r="AR59" s="247"/>
      <c r="AS59" s="248"/>
      <c r="AT59" s="247"/>
      <c r="AU59" s="247"/>
      <c r="AV59" s="503" t="str">
        <f t="shared" si="4"/>
        <v/>
      </c>
      <c r="AW59" s="251"/>
      <c r="AX59" s="251"/>
      <c r="AY59" s="507">
        <f t="shared" si="0"/>
        <v>0</v>
      </c>
      <c r="AZ59" s="498" t="b">
        <f t="shared" si="5"/>
        <v>0</v>
      </c>
      <c r="BA59" s="402"/>
      <c r="BB59" s="72"/>
    </row>
    <row r="60" spans="1:54" x14ac:dyDescent="0.25">
      <c r="A60" s="72"/>
      <c r="B60" s="132">
        <v>42</v>
      </c>
      <c r="C60" s="687">
        <f>'C. FILIACION'!C55</f>
        <v>0</v>
      </c>
      <c r="D60" s="688"/>
      <c r="E60" s="252"/>
      <c r="F60" s="247"/>
      <c r="G60" s="248"/>
      <c r="H60" s="248"/>
      <c r="I60" s="247"/>
      <c r="J60" s="500" t="str">
        <f t="shared" si="1"/>
        <v/>
      </c>
      <c r="K60" s="247"/>
      <c r="L60" s="247"/>
      <c r="M60" s="249"/>
      <c r="N60" s="249"/>
      <c r="O60" s="250"/>
      <c r="P60" s="249"/>
      <c r="Q60" s="249"/>
      <c r="R60" s="249"/>
      <c r="S60" s="249"/>
      <c r="T60" s="250"/>
      <c r="U60" s="248"/>
      <c r="V60" s="249"/>
      <c r="W60" s="249"/>
      <c r="X60" s="247"/>
      <c r="Y60" s="247"/>
      <c r="Z60" s="501" t="str">
        <f t="shared" si="2"/>
        <v/>
      </c>
      <c r="AA60" s="247"/>
      <c r="AB60" s="247"/>
      <c r="AC60" s="247"/>
      <c r="AD60" s="247"/>
      <c r="AE60" s="253"/>
      <c r="AF60" s="252"/>
      <c r="AG60" s="247"/>
      <c r="AH60" s="247"/>
      <c r="AI60" s="247"/>
      <c r="AJ60" s="253"/>
      <c r="AK60" s="252"/>
      <c r="AL60" s="247"/>
      <c r="AM60" s="247"/>
      <c r="AN60" s="247"/>
      <c r="AO60" s="247"/>
      <c r="AP60" s="502" t="str">
        <f t="shared" si="3"/>
        <v/>
      </c>
      <c r="AQ60" s="247"/>
      <c r="AR60" s="247"/>
      <c r="AS60" s="248"/>
      <c r="AT60" s="247"/>
      <c r="AU60" s="247"/>
      <c r="AV60" s="503" t="str">
        <f t="shared" si="4"/>
        <v/>
      </c>
      <c r="AW60" s="251"/>
      <c r="AX60" s="251"/>
      <c r="AY60" s="507">
        <f t="shared" si="0"/>
        <v>0</v>
      </c>
      <c r="AZ60" s="498" t="b">
        <f t="shared" si="5"/>
        <v>0</v>
      </c>
      <c r="BA60" s="402"/>
      <c r="BB60" s="72"/>
    </row>
    <row r="61" spans="1:54" x14ac:dyDescent="0.25">
      <c r="A61" s="72"/>
      <c r="B61" s="132">
        <v>43</v>
      </c>
      <c r="C61" s="687">
        <f>'C. FILIACION'!C56</f>
        <v>0</v>
      </c>
      <c r="D61" s="688"/>
      <c r="E61" s="252"/>
      <c r="F61" s="247"/>
      <c r="G61" s="248"/>
      <c r="H61" s="248"/>
      <c r="I61" s="247"/>
      <c r="J61" s="500" t="str">
        <f t="shared" si="1"/>
        <v/>
      </c>
      <c r="K61" s="247"/>
      <c r="L61" s="247"/>
      <c r="M61" s="249"/>
      <c r="N61" s="249"/>
      <c r="O61" s="250"/>
      <c r="P61" s="249"/>
      <c r="Q61" s="249"/>
      <c r="R61" s="249"/>
      <c r="S61" s="249"/>
      <c r="T61" s="250"/>
      <c r="U61" s="248"/>
      <c r="V61" s="249"/>
      <c r="W61" s="249"/>
      <c r="X61" s="247"/>
      <c r="Y61" s="247"/>
      <c r="Z61" s="501" t="str">
        <f t="shared" si="2"/>
        <v/>
      </c>
      <c r="AA61" s="247"/>
      <c r="AB61" s="247"/>
      <c r="AC61" s="247"/>
      <c r="AD61" s="247"/>
      <c r="AE61" s="253"/>
      <c r="AF61" s="252"/>
      <c r="AG61" s="247"/>
      <c r="AH61" s="247"/>
      <c r="AI61" s="247"/>
      <c r="AJ61" s="253"/>
      <c r="AK61" s="252"/>
      <c r="AL61" s="247"/>
      <c r="AM61" s="247"/>
      <c r="AN61" s="247"/>
      <c r="AO61" s="247"/>
      <c r="AP61" s="502" t="str">
        <f t="shared" si="3"/>
        <v/>
      </c>
      <c r="AQ61" s="247"/>
      <c r="AR61" s="247"/>
      <c r="AS61" s="248"/>
      <c r="AT61" s="247"/>
      <c r="AU61" s="247"/>
      <c r="AV61" s="503" t="str">
        <f t="shared" si="4"/>
        <v/>
      </c>
      <c r="AW61" s="251"/>
      <c r="AX61" s="251"/>
      <c r="AY61" s="507">
        <f t="shared" si="0"/>
        <v>0</v>
      </c>
      <c r="AZ61" s="498" t="b">
        <f t="shared" si="5"/>
        <v>0</v>
      </c>
      <c r="BA61" s="402"/>
      <c r="BB61" s="72"/>
    </row>
    <row r="62" spans="1:54" x14ac:dyDescent="0.25">
      <c r="A62" s="72"/>
      <c r="B62" s="132">
        <v>44</v>
      </c>
      <c r="C62" s="687">
        <f>'C. FILIACION'!C57</f>
        <v>0</v>
      </c>
      <c r="D62" s="688"/>
      <c r="E62" s="252"/>
      <c r="F62" s="247"/>
      <c r="G62" s="248"/>
      <c r="H62" s="248"/>
      <c r="I62" s="247"/>
      <c r="J62" s="500" t="str">
        <f t="shared" si="1"/>
        <v/>
      </c>
      <c r="K62" s="247"/>
      <c r="L62" s="247"/>
      <c r="M62" s="249"/>
      <c r="N62" s="249"/>
      <c r="O62" s="250"/>
      <c r="P62" s="249"/>
      <c r="Q62" s="249"/>
      <c r="R62" s="249"/>
      <c r="S62" s="249"/>
      <c r="T62" s="250"/>
      <c r="U62" s="248"/>
      <c r="V62" s="249"/>
      <c r="W62" s="249"/>
      <c r="X62" s="247"/>
      <c r="Y62" s="247"/>
      <c r="Z62" s="501" t="str">
        <f t="shared" si="2"/>
        <v/>
      </c>
      <c r="AA62" s="247"/>
      <c r="AB62" s="247"/>
      <c r="AC62" s="247"/>
      <c r="AD62" s="247"/>
      <c r="AE62" s="253"/>
      <c r="AF62" s="252"/>
      <c r="AG62" s="247"/>
      <c r="AH62" s="247"/>
      <c r="AI62" s="247"/>
      <c r="AJ62" s="253"/>
      <c r="AK62" s="252"/>
      <c r="AL62" s="247"/>
      <c r="AM62" s="247"/>
      <c r="AN62" s="247"/>
      <c r="AO62" s="247"/>
      <c r="AP62" s="502" t="str">
        <f t="shared" si="3"/>
        <v/>
      </c>
      <c r="AQ62" s="247"/>
      <c r="AR62" s="247"/>
      <c r="AS62" s="248"/>
      <c r="AT62" s="247"/>
      <c r="AU62" s="247"/>
      <c r="AV62" s="503" t="str">
        <f t="shared" si="4"/>
        <v/>
      </c>
      <c r="AW62" s="251"/>
      <c r="AX62" s="251"/>
      <c r="AY62" s="507">
        <f t="shared" si="0"/>
        <v>0</v>
      </c>
      <c r="AZ62" s="498" t="b">
        <f t="shared" si="5"/>
        <v>0</v>
      </c>
      <c r="BA62" s="402"/>
      <c r="BB62" s="72"/>
    </row>
    <row r="63" spans="1:54" x14ac:dyDescent="0.25">
      <c r="A63" s="72"/>
      <c r="B63" s="132">
        <v>45</v>
      </c>
      <c r="C63" s="687">
        <f>'C. FILIACION'!C58</f>
        <v>0</v>
      </c>
      <c r="D63" s="688"/>
      <c r="E63" s="252"/>
      <c r="F63" s="247"/>
      <c r="G63" s="248"/>
      <c r="H63" s="248"/>
      <c r="I63" s="247"/>
      <c r="J63" s="500" t="str">
        <f t="shared" ref="J63" si="6">IFERROR(ROUND(AVERAGE(E63:I63),0),"")</f>
        <v/>
      </c>
      <c r="K63" s="247"/>
      <c r="L63" s="247"/>
      <c r="M63" s="249"/>
      <c r="N63" s="249"/>
      <c r="O63" s="250"/>
      <c r="P63" s="249"/>
      <c r="Q63" s="249"/>
      <c r="R63" s="249"/>
      <c r="S63" s="249"/>
      <c r="T63" s="250"/>
      <c r="U63" s="248"/>
      <c r="V63" s="249"/>
      <c r="W63" s="249"/>
      <c r="X63" s="247"/>
      <c r="Y63" s="247"/>
      <c r="Z63" s="501" t="str">
        <f t="shared" si="2"/>
        <v/>
      </c>
      <c r="AA63" s="247"/>
      <c r="AB63" s="247"/>
      <c r="AC63" s="247"/>
      <c r="AD63" s="247"/>
      <c r="AE63" s="253"/>
      <c r="AF63" s="252"/>
      <c r="AG63" s="247"/>
      <c r="AH63" s="247"/>
      <c r="AI63" s="247"/>
      <c r="AJ63" s="253"/>
      <c r="AK63" s="252"/>
      <c r="AL63" s="247"/>
      <c r="AM63" s="247"/>
      <c r="AN63" s="247"/>
      <c r="AO63" s="247"/>
      <c r="AP63" s="502" t="str">
        <f t="shared" si="3"/>
        <v/>
      </c>
      <c r="AQ63" s="247"/>
      <c r="AR63" s="247"/>
      <c r="AS63" s="248"/>
      <c r="AT63" s="247"/>
      <c r="AU63" s="247"/>
      <c r="AV63" s="503" t="str">
        <f t="shared" si="4"/>
        <v/>
      </c>
      <c r="AW63" s="251"/>
      <c r="AX63" s="251"/>
      <c r="AY63" s="507">
        <f t="shared" si="0"/>
        <v>0</v>
      </c>
      <c r="AZ63" s="498" t="b">
        <f t="shared" si="5"/>
        <v>0</v>
      </c>
      <c r="BA63" s="402"/>
      <c r="BB63" s="72"/>
    </row>
    <row r="64" spans="1:54" ht="9" customHeight="1" x14ac:dyDescent="0.25">
      <c r="A64" s="72"/>
      <c r="B64" s="129"/>
      <c r="C64" s="129"/>
      <c r="D64" s="129"/>
      <c r="E64" s="70"/>
      <c r="F64" s="70"/>
      <c r="G64" s="70"/>
      <c r="H64" s="70"/>
      <c r="I64" s="70"/>
      <c r="J64" s="259"/>
      <c r="K64" s="70"/>
      <c r="L64" s="70"/>
      <c r="M64" s="70"/>
      <c r="N64" s="70"/>
      <c r="O64" s="70"/>
      <c r="P64" s="70"/>
      <c r="Q64" s="70"/>
      <c r="R64" s="70"/>
      <c r="S64" s="70"/>
      <c r="T64" s="70"/>
      <c r="U64" s="70"/>
      <c r="V64" s="70"/>
      <c r="W64" s="70"/>
      <c r="X64" s="70"/>
      <c r="Y64" s="70"/>
      <c r="Z64" s="259"/>
      <c r="AA64" s="70"/>
      <c r="AB64" s="70"/>
      <c r="AC64" s="70"/>
      <c r="AD64" s="70"/>
      <c r="AE64" s="70"/>
      <c r="AF64" s="70"/>
      <c r="AG64" s="70"/>
      <c r="AH64" s="70"/>
      <c r="AI64" s="70"/>
      <c r="AJ64" s="70"/>
      <c r="AK64" s="70"/>
      <c r="AL64" s="70"/>
      <c r="AM64" s="70"/>
      <c r="AN64" s="70"/>
      <c r="AO64" s="70"/>
      <c r="AP64" s="129"/>
      <c r="AQ64" s="70"/>
      <c r="AR64" s="70"/>
      <c r="AS64" s="70"/>
      <c r="AT64" s="70"/>
      <c r="AU64" s="70"/>
      <c r="AV64" s="259"/>
      <c r="AW64" s="70"/>
      <c r="AX64" s="70"/>
      <c r="AY64" s="129"/>
      <c r="AZ64" s="129"/>
      <c r="BA64" s="72"/>
      <c r="BB64" s="72"/>
    </row>
    <row r="65" spans="1:54" x14ac:dyDescent="0.25">
      <c r="A65" s="72"/>
      <c r="B65" s="129"/>
      <c r="C65" s="129"/>
      <c r="D65" s="129"/>
      <c r="E65" s="70"/>
      <c r="F65" s="70"/>
      <c r="G65" s="70"/>
      <c r="H65" s="70"/>
      <c r="I65" s="70"/>
      <c r="J65" s="129"/>
      <c r="K65" s="70"/>
      <c r="L65" s="70"/>
      <c r="M65" s="70"/>
      <c r="N65" s="70"/>
      <c r="O65" s="70"/>
      <c r="P65" s="70"/>
      <c r="Q65" s="70"/>
      <c r="R65" s="70"/>
      <c r="S65" s="70"/>
      <c r="T65" s="70"/>
      <c r="U65" s="70"/>
      <c r="V65" s="70"/>
      <c r="W65" s="70"/>
      <c r="X65" s="70"/>
      <c r="Y65" s="70"/>
      <c r="Z65" s="129"/>
      <c r="AA65" s="70"/>
      <c r="AB65" s="70"/>
      <c r="AC65" s="70"/>
      <c r="AD65" s="70"/>
      <c r="AE65" s="70"/>
      <c r="AF65" s="70"/>
      <c r="AG65" s="70"/>
      <c r="AH65" s="70"/>
      <c r="AI65" s="70"/>
      <c r="AJ65" s="70"/>
      <c r="AK65" s="70"/>
      <c r="AL65" s="70"/>
      <c r="AM65" s="70"/>
      <c r="AN65" s="70"/>
      <c r="AO65" s="70"/>
      <c r="AP65" s="129"/>
      <c r="AQ65" s="70"/>
      <c r="AR65" s="70"/>
      <c r="AS65" s="70"/>
      <c r="AT65" s="70"/>
      <c r="AU65" s="70"/>
      <c r="AV65" s="130"/>
      <c r="AW65" s="684"/>
      <c r="AX65" s="684"/>
      <c r="AY65" s="130"/>
      <c r="AZ65" s="129"/>
      <c r="BA65" s="72"/>
      <c r="BB65" s="72"/>
    </row>
    <row r="66" spans="1:54" x14ac:dyDescent="0.25">
      <c r="A66" s="72"/>
      <c r="B66" s="129"/>
      <c r="C66" s="129"/>
      <c r="D66" s="129"/>
      <c r="E66" s="70"/>
      <c r="F66" s="70"/>
      <c r="G66" s="70"/>
      <c r="H66" s="70"/>
      <c r="I66" s="70"/>
      <c r="J66" s="70"/>
      <c r="K66" s="70"/>
      <c r="L66" s="70"/>
      <c r="M66" s="70"/>
      <c r="N66" s="70"/>
      <c r="O66" s="70"/>
      <c r="P66" s="70"/>
      <c r="Q66" s="70"/>
      <c r="R66" s="70"/>
      <c r="S66" s="70"/>
      <c r="T66" s="70"/>
      <c r="U66" s="70"/>
      <c r="V66" s="70"/>
      <c r="W66" s="70"/>
      <c r="X66" s="70"/>
      <c r="Y66" s="70"/>
      <c r="Z66" s="129"/>
      <c r="AA66" s="70"/>
      <c r="AB66" s="70"/>
      <c r="AC66" s="70"/>
      <c r="AD66" s="70"/>
      <c r="AE66" s="70"/>
      <c r="AF66" s="70"/>
      <c r="AG66" s="70"/>
      <c r="AH66" s="70"/>
      <c r="AI66" s="70"/>
      <c r="AJ66" s="70"/>
      <c r="AK66" s="70"/>
      <c r="AL66" s="70"/>
      <c r="AM66" s="70"/>
      <c r="AN66" s="70"/>
      <c r="AO66" s="70"/>
      <c r="AP66" s="129"/>
      <c r="AQ66" s="70"/>
      <c r="AR66" s="70"/>
      <c r="AS66" s="70"/>
      <c r="AT66" s="70"/>
      <c r="AU66" s="70"/>
      <c r="AV66" s="130"/>
      <c r="AW66" s="684"/>
      <c r="AX66" s="684"/>
      <c r="AY66" s="130"/>
      <c r="AZ66" s="129"/>
      <c r="BA66" s="72"/>
      <c r="BB66" s="72"/>
    </row>
    <row r="67" spans="1:54" ht="15.75" thickBot="1" x14ac:dyDescent="0.3">
      <c r="A67" s="72"/>
      <c r="B67" s="129"/>
      <c r="C67" s="129"/>
      <c r="D67" s="129"/>
      <c r="E67" s="70"/>
      <c r="F67" s="70"/>
      <c r="G67" s="70"/>
      <c r="H67" s="70"/>
      <c r="I67" s="611"/>
      <c r="J67" s="611"/>
      <c r="K67" s="611"/>
      <c r="L67" s="611"/>
      <c r="M67" s="611"/>
      <c r="N67" s="611"/>
      <c r="O67" s="611"/>
      <c r="P67" s="611"/>
      <c r="Q67" s="611"/>
      <c r="R67" s="611"/>
      <c r="S67" s="611"/>
      <c r="T67" s="611"/>
      <c r="U67" s="129"/>
      <c r="V67" s="129"/>
      <c r="W67" s="70"/>
      <c r="X67" s="70"/>
      <c r="Y67" s="70"/>
      <c r="Z67" s="70"/>
      <c r="AA67" s="70"/>
      <c r="AB67" s="70"/>
      <c r="AC67" s="70"/>
      <c r="AD67" s="70"/>
      <c r="AE67" s="611"/>
      <c r="AF67" s="611"/>
      <c r="AG67" s="611"/>
      <c r="AH67" s="611"/>
      <c r="AI67" s="611"/>
      <c r="AJ67" s="611"/>
      <c r="AK67" s="611"/>
      <c r="AL67" s="611"/>
      <c r="AM67" s="611"/>
      <c r="AN67" s="611"/>
      <c r="AO67" s="611"/>
      <c r="AP67" s="611"/>
      <c r="AQ67" s="611"/>
      <c r="AR67" s="129"/>
      <c r="AS67" s="129"/>
      <c r="AT67" s="70"/>
      <c r="AU67" s="70"/>
      <c r="AV67" s="70"/>
      <c r="AW67" s="70"/>
      <c r="AX67" s="70"/>
      <c r="AY67" s="129"/>
      <c r="AZ67" s="129"/>
      <c r="BA67" s="72"/>
      <c r="BB67" s="72"/>
    </row>
    <row r="68" spans="1:54" x14ac:dyDescent="0.25">
      <c r="A68" s="72"/>
      <c r="B68" s="129"/>
      <c r="C68" s="129"/>
      <c r="D68" s="129"/>
      <c r="E68" s="70"/>
      <c r="F68" s="70"/>
      <c r="G68" s="70"/>
      <c r="H68" s="70"/>
      <c r="I68" s="612">
        <f>CARATULA!G22</f>
        <v>0</v>
      </c>
      <c r="J68" s="612"/>
      <c r="K68" s="612"/>
      <c r="L68" s="612"/>
      <c r="M68" s="612"/>
      <c r="N68" s="612"/>
      <c r="O68" s="612"/>
      <c r="P68" s="612"/>
      <c r="Q68" s="612"/>
      <c r="R68" s="612"/>
      <c r="S68" s="612"/>
      <c r="T68" s="612"/>
      <c r="U68" s="129"/>
      <c r="V68" s="129"/>
      <c r="W68" s="70"/>
      <c r="X68" s="70"/>
      <c r="Y68" s="70"/>
      <c r="Z68" s="70"/>
      <c r="AA68" s="70"/>
      <c r="AB68" s="70"/>
      <c r="AC68" s="70"/>
      <c r="AD68" s="70"/>
      <c r="AE68" s="612">
        <f>CARATULA!G24</f>
        <v>0</v>
      </c>
      <c r="AF68" s="612"/>
      <c r="AG68" s="612"/>
      <c r="AH68" s="612"/>
      <c r="AI68" s="612"/>
      <c r="AJ68" s="612"/>
      <c r="AK68" s="612"/>
      <c r="AL68" s="612"/>
      <c r="AM68" s="612"/>
      <c r="AN68" s="612"/>
      <c r="AO68" s="612"/>
      <c r="AP68" s="612"/>
      <c r="AQ68" s="612"/>
      <c r="AR68" s="129"/>
      <c r="AS68" s="129"/>
      <c r="AT68" s="70"/>
      <c r="AU68" s="70"/>
      <c r="AV68" s="70"/>
      <c r="AW68" s="70"/>
      <c r="AX68" s="70"/>
      <c r="AY68" s="129"/>
      <c r="AZ68" s="129"/>
      <c r="BA68" s="72"/>
      <c r="BB68" s="72"/>
    </row>
    <row r="69" spans="1:54" x14ac:dyDescent="0.25">
      <c r="A69" s="72"/>
      <c r="B69" s="129"/>
      <c r="C69" s="129"/>
      <c r="D69" s="129"/>
      <c r="E69" s="113"/>
      <c r="F69" s="113"/>
      <c r="G69" s="113"/>
      <c r="H69" s="113"/>
      <c r="I69" s="151"/>
      <c r="J69" s="151"/>
      <c r="K69" s="151"/>
      <c r="L69" s="151"/>
      <c r="M69" s="151"/>
      <c r="N69" s="152"/>
      <c r="O69" s="152"/>
      <c r="P69" s="152"/>
      <c r="Q69" s="152"/>
      <c r="R69" s="151"/>
      <c r="S69" s="151"/>
      <c r="T69" s="151"/>
      <c r="U69" s="151"/>
      <c r="V69" s="151"/>
      <c r="W69" s="113"/>
      <c r="X69" s="113"/>
      <c r="Y69" s="113"/>
      <c r="Z69" s="113"/>
      <c r="AA69" s="70"/>
      <c r="AB69" s="70"/>
      <c r="AC69" s="70"/>
      <c r="AD69" s="70"/>
      <c r="AE69" s="129"/>
      <c r="AF69" s="129"/>
      <c r="AG69" s="129"/>
      <c r="AH69" s="129"/>
      <c r="AI69" s="129"/>
      <c r="AJ69" s="129"/>
      <c r="AK69" s="129"/>
      <c r="AL69" s="129"/>
      <c r="AM69" s="129"/>
      <c r="AN69" s="129"/>
      <c r="AO69" s="129"/>
      <c r="AP69" s="129"/>
      <c r="AQ69" s="129"/>
      <c r="AR69" s="129"/>
      <c r="AS69" s="129"/>
      <c r="AT69" s="70"/>
      <c r="AU69" s="70"/>
      <c r="AV69" s="70"/>
      <c r="AW69" s="70"/>
      <c r="AX69" s="70"/>
      <c r="AY69" s="129"/>
      <c r="AZ69" s="129"/>
      <c r="BA69" s="72"/>
      <c r="BB69" s="72"/>
    </row>
    <row r="70" spans="1:54" x14ac:dyDescent="0.25">
      <c r="A70" s="72"/>
      <c r="B70" s="72"/>
      <c r="C70" s="72"/>
      <c r="D70" s="72"/>
      <c r="I70" s="72"/>
      <c r="J70" s="72"/>
      <c r="K70" s="72"/>
      <c r="L70" s="72"/>
      <c r="M70" s="72"/>
      <c r="N70" s="72"/>
      <c r="O70" s="72"/>
      <c r="P70" s="72"/>
      <c r="Q70" s="72"/>
      <c r="R70" s="72"/>
      <c r="S70" s="72"/>
      <c r="T70" s="72"/>
      <c r="U70" s="72"/>
      <c r="V70" s="72"/>
      <c r="AE70" s="72"/>
      <c r="AF70" s="72"/>
      <c r="AG70" s="72"/>
      <c r="AH70" s="72"/>
      <c r="AI70" s="72"/>
      <c r="AJ70" s="72"/>
      <c r="AK70" s="72"/>
      <c r="AL70" s="72"/>
      <c r="AM70" s="72"/>
      <c r="AN70" s="72"/>
      <c r="AO70" s="72"/>
      <c r="AP70" s="72"/>
      <c r="AQ70" s="72"/>
      <c r="AR70" s="72"/>
      <c r="AS70" s="72"/>
    </row>
    <row r="71" spans="1:54" x14ac:dyDescent="0.25">
      <c r="A71" s="72"/>
      <c r="B71" s="72"/>
      <c r="C71" s="72"/>
      <c r="D71" s="72"/>
      <c r="I71" s="72"/>
      <c r="J71" s="72"/>
      <c r="K71" s="72"/>
      <c r="L71" s="72"/>
      <c r="M71" s="72"/>
      <c r="N71" s="72"/>
      <c r="O71" s="72"/>
      <c r="P71" s="72"/>
      <c r="Q71" s="72"/>
      <c r="R71" s="72"/>
      <c r="S71" s="72"/>
      <c r="T71" s="72"/>
      <c r="U71" s="72"/>
      <c r="V71" s="72"/>
      <c r="AE71" s="72"/>
      <c r="AF71" s="72"/>
      <c r="AG71" s="72"/>
      <c r="AH71" s="72"/>
      <c r="AI71" s="72"/>
      <c r="AJ71" s="72"/>
      <c r="AK71" s="72"/>
      <c r="AL71" s="72"/>
      <c r="AM71" s="72"/>
      <c r="AN71" s="72"/>
      <c r="AO71" s="72"/>
      <c r="AP71" s="72"/>
      <c r="AQ71" s="72"/>
      <c r="AR71" s="72"/>
      <c r="AS71" s="72"/>
    </row>
    <row r="72" spans="1:54" x14ac:dyDescent="0.25">
      <c r="A72" s="102"/>
      <c r="B72" s="102"/>
      <c r="C72" s="102"/>
      <c r="D72" s="102"/>
      <c r="E72" s="101"/>
      <c r="F72" s="101"/>
      <c r="G72" s="101"/>
      <c r="H72" s="101"/>
      <c r="I72" s="102"/>
      <c r="J72" s="102"/>
      <c r="K72" s="102"/>
      <c r="L72" s="102"/>
      <c r="M72" s="102"/>
      <c r="N72" s="102"/>
      <c r="O72" s="102"/>
      <c r="P72" s="102"/>
      <c r="Q72" s="102"/>
      <c r="R72" s="102"/>
      <c r="S72" s="102"/>
      <c r="T72" s="72"/>
      <c r="U72" s="72"/>
      <c r="V72" s="72"/>
      <c r="AE72" s="72"/>
      <c r="AF72" s="72"/>
      <c r="AG72" s="72"/>
      <c r="AH72" s="72"/>
      <c r="AI72" s="72"/>
      <c r="AJ72" s="72"/>
      <c r="AK72" s="72"/>
      <c r="AL72" s="72"/>
      <c r="AM72" s="72"/>
      <c r="AN72" s="72"/>
      <c r="AO72" s="72"/>
      <c r="AP72" s="72"/>
      <c r="AQ72" s="72"/>
      <c r="AR72" s="72"/>
      <c r="AS72" s="72"/>
    </row>
    <row r="73" spans="1:54" x14ac:dyDescent="0.25">
      <c r="A73" s="102"/>
      <c r="B73" s="102"/>
      <c r="C73" s="102"/>
      <c r="D73" s="102"/>
      <c r="E73" s="101"/>
      <c r="F73" s="101"/>
      <c r="G73" s="101"/>
      <c r="H73" s="101"/>
      <c r="I73" s="102"/>
      <c r="J73" s="102"/>
      <c r="K73" s="102"/>
      <c r="L73" s="102"/>
      <c r="M73" s="102"/>
      <c r="N73" s="102"/>
      <c r="O73" s="102"/>
      <c r="P73" s="102"/>
      <c r="Q73" s="102"/>
      <c r="R73" s="102"/>
      <c r="S73" s="102"/>
      <c r="T73" s="72"/>
      <c r="U73" s="72"/>
      <c r="V73" s="72"/>
      <c r="AE73" s="72"/>
      <c r="AF73" s="72"/>
      <c r="AG73" s="72"/>
      <c r="AH73" s="72"/>
      <c r="AI73" s="72"/>
      <c r="AJ73" s="72"/>
      <c r="AK73" s="72"/>
      <c r="AL73" s="72"/>
      <c r="AM73" s="72"/>
      <c r="AN73" s="72"/>
      <c r="AO73" s="72"/>
      <c r="AP73" s="72"/>
      <c r="AQ73" s="72"/>
      <c r="AR73" s="72"/>
      <c r="AS73" s="72"/>
    </row>
    <row r="74" spans="1:54" x14ac:dyDescent="0.25">
      <c r="A74" s="102"/>
      <c r="B74" s="102"/>
      <c r="C74" s="102"/>
      <c r="D74" s="102"/>
      <c r="E74" s="101"/>
      <c r="F74" s="101"/>
      <c r="G74" s="101"/>
      <c r="H74" s="101"/>
      <c r="I74" s="102"/>
      <c r="J74" s="102"/>
      <c r="K74" s="102"/>
      <c r="L74" s="102"/>
      <c r="M74" s="102"/>
      <c r="N74" s="102"/>
      <c r="O74" s="102"/>
      <c r="P74" s="102"/>
      <c r="Q74" s="102"/>
      <c r="R74" s="102"/>
      <c r="S74" s="102"/>
      <c r="T74" s="72"/>
      <c r="U74" s="72"/>
      <c r="V74" s="72"/>
      <c r="AE74" s="72"/>
      <c r="AF74" s="72"/>
      <c r="AG74" s="72"/>
      <c r="AH74" s="72"/>
      <c r="AI74" s="72"/>
      <c r="AJ74" s="72"/>
      <c r="AK74" s="72"/>
      <c r="AL74" s="72"/>
      <c r="AM74" s="72"/>
      <c r="AN74" s="72"/>
      <c r="AO74" s="72"/>
      <c r="AP74" s="72"/>
      <c r="AQ74" s="72"/>
      <c r="AR74" s="72"/>
      <c r="AS74" s="72"/>
    </row>
    <row r="75" spans="1:54" x14ac:dyDescent="0.25">
      <c r="A75" s="102"/>
      <c r="B75" s="102"/>
      <c r="C75" s="102"/>
      <c r="D75" s="102"/>
      <c r="E75" s="101"/>
      <c r="F75" s="101"/>
      <c r="G75" s="101"/>
      <c r="H75" s="101"/>
      <c r="I75" s="102"/>
      <c r="J75" s="102"/>
      <c r="K75" s="102"/>
      <c r="L75" s="102"/>
      <c r="M75" s="102"/>
      <c r="N75" s="102"/>
      <c r="O75" s="102"/>
      <c r="P75" s="102"/>
      <c r="Q75" s="102"/>
      <c r="R75" s="102"/>
      <c r="S75" s="102"/>
      <c r="T75" s="72"/>
      <c r="U75" s="72"/>
      <c r="V75" s="72"/>
      <c r="AE75" s="72"/>
      <c r="AF75" s="72"/>
      <c r="AG75" s="72"/>
      <c r="AH75" s="72"/>
      <c r="AI75" s="72"/>
      <c r="AJ75" s="72"/>
      <c r="AK75" s="72"/>
      <c r="AL75" s="72"/>
      <c r="AM75" s="72"/>
      <c r="AN75" s="72"/>
      <c r="AO75" s="72"/>
      <c r="AP75" s="72"/>
      <c r="AQ75" s="72"/>
      <c r="AR75" s="72"/>
      <c r="AS75" s="72"/>
    </row>
    <row r="76" spans="1:54" x14ac:dyDescent="0.25">
      <c r="A76" s="102"/>
      <c r="B76" s="102"/>
      <c r="C76" s="102"/>
      <c r="D76" s="102"/>
      <c r="E76" s="101"/>
      <c r="F76" s="101"/>
      <c r="G76" s="101"/>
      <c r="H76" s="101"/>
      <c r="I76" s="102"/>
      <c r="J76" s="102"/>
      <c r="K76" s="102"/>
      <c r="L76" s="102"/>
      <c r="M76" s="102"/>
      <c r="N76" s="102"/>
      <c r="O76" s="102"/>
      <c r="P76" s="102"/>
      <c r="Q76" s="102"/>
      <c r="R76" s="102"/>
      <c r="S76" s="102"/>
      <c r="T76" s="72"/>
      <c r="U76" s="72"/>
      <c r="V76" s="72"/>
      <c r="AE76" s="72"/>
      <c r="AF76" s="72"/>
      <c r="AG76" s="72"/>
      <c r="AH76" s="72"/>
      <c r="AI76" s="72"/>
      <c r="AJ76" s="72"/>
      <c r="AK76" s="72"/>
      <c r="AL76" s="72"/>
      <c r="AM76" s="72"/>
      <c r="AN76" s="72"/>
      <c r="AO76" s="72"/>
      <c r="AP76" s="72"/>
      <c r="AQ76" s="72"/>
      <c r="AR76" s="72"/>
      <c r="AS76" s="72"/>
    </row>
    <row r="77" spans="1:54" x14ac:dyDescent="0.25">
      <c r="A77" s="102"/>
      <c r="B77" s="102"/>
      <c r="C77" s="102"/>
      <c r="D77" s="102"/>
      <c r="E77" s="101"/>
      <c r="F77" s="101"/>
      <c r="G77" s="101"/>
      <c r="H77" s="101"/>
      <c r="I77" s="102"/>
      <c r="J77" s="102"/>
      <c r="K77" s="102"/>
      <c r="L77" s="102"/>
      <c r="M77" s="102"/>
      <c r="N77" s="102"/>
      <c r="O77" s="102"/>
      <c r="P77" s="102"/>
      <c r="Q77" s="102"/>
      <c r="R77" s="102"/>
      <c r="S77" s="102"/>
      <c r="T77" s="72"/>
      <c r="U77" s="72"/>
      <c r="V77" s="72"/>
      <c r="AE77" s="72"/>
      <c r="AF77" s="72"/>
      <c r="AG77" s="72"/>
      <c r="AH77" s="72"/>
      <c r="AI77" s="72"/>
      <c r="AJ77" s="72"/>
      <c r="AK77" s="72"/>
      <c r="AL77" s="72"/>
      <c r="AM77" s="72"/>
      <c r="AN77" s="72"/>
      <c r="AO77" s="72"/>
      <c r="AP77" s="72"/>
      <c r="AQ77" s="72"/>
      <c r="AR77" s="72"/>
      <c r="AS77" s="72"/>
    </row>
    <row r="78" spans="1:54" x14ac:dyDescent="0.25">
      <c r="A78" s="101"/>
      <c r="B78" s="101"/>
      <c r="C78" s="101"/>
      <c r="D78" s="101"/>
      <c r="E78" s="101"/>
      <c r="F78" s="101"/>
      <c r="G78" s="101"/>
      <c r="H78" s="101"/>
      <c r="I78" s="101"/>
      <c r="J78" s="101"/>
      <c r="K78" s="101"/>
      <c r="L78" s="101"/>
      <c r="M78" s="101"/>
      <c r="N78" s="101"/>
      <c r="O78" s="101"/>
      <c r="P78" s="101"/>
      <c r="Q78" s="101"/>
      <c r="R78" s="101"/>
      <c r="S78" s="101"/>
      <c r="AE78" s="72"/>
      <c r="AF78" s="72"/>
      <c r="AG78" s="72"/>
      <c r="AH78" s="72"/>
      <c r="AI78" s="72"/>
      <c r="AJ78" s="72"/>
      <c r="AK78" s="72"/>
      <c r="AL78" s="72"/>
      <c r="AM78" s="72"/>
      <c r="AN78" s="72"/>
      <c r="AO78" s="72"/>
      <c r="AP78" s="72"/>
      <c r="AQ78" s="72"/>
      <c r="AR78" s="72"/>
      <c r="AS78" s="72"/>
    </row>
    <row r="79" spans="1:54" x14ac:dyDescent="0.25">
      <c r="A79" s="101"/>
      <c r="B79" s="101"/>
      <c r="C79" s="101"/>
      <c r="D79" s="101"/>
      <c r="E79" s="101"/>
      <c r="F79" s="101"/>
      <c r="G79" s="101"/>
      <c r="H79" s="101"/>
      <c r="I79" s="101"/>
      <c r="J79" s="101"/>
      <c r="K79" s="101"/>
      <c r="L79" s="101"/>
      <c r="M79" s="101"/>
      <c r="N79" s="101"/>
      <c r="O79" s="101"/>
      <c r="P79" s="101"/>
      <c r="Q79" s="101"/>
      <c r="R79" s="101"/>
      <c r="S79" s="101"/>
    </row>
    <row r="80" spans="1:54" x14ac:dyDescent="0.25">
      <c r="A80" s="101"/>
      <c r="B80" s="101"/>
      <c r="C80" s="101"/>
      <c r="D80" s="101"/>
      <c r="E80" s="101"/>
      <c r="F80" s="101"/>
      <c r="G80" s="101"/>
      <c r="H80" s="101"/>
      <c r="I80" s="101"/>
      <c r="J80" s="101"/>
      <c r="K80" s="101"/>
      <c r="L80" s="101"/>
      <c r="M80" s="101"/>
      <c r="N80" s="101"/>
      <c r="O80" s="101"/>
      <c r="P80" s="101"/>
      <c r="Q80" s="101"/>
      <c r="R80" s="101"/>
      <c r="S80" s="101"/>
    </row>
    <row r="81" spans="1:19" x14ac:dyDescent="0.25">
      <c r="A81" s="101"/>
      <c r="B81" s="101"/>
      <c r="C81" s="101"/>
      <c r="D81" s="101"/>
      <c r="E81" s="101"/>
      <c r="F81" s="101"/>
      <c r="G81" s="101"/>
      <c r="H81" s="101"/>
      <c r="I81" s="101"/>
      <c r="J81" s="101"/>
      <c r="K81" s="101"/>
      <c r="L81" s="101"/>
      <c r="M81" s="101"/>
      <c r="N81" s="101"/>
      <c r="O81" s="101"/>
      <c r="P81" s="101"/>
      <c r="Q81" s="101"/>
      <c r="R81" s="101"/>
      <c r="S81" s="101"/>
    </row>
    <row r="82" spans="1:19" x14ac:dyDescent="0.25">
      <c r="A82" s="101"/>
      <c r="B82" s="101"/>
      <c r="C82" s="101"/>
      <c r="D82" s="101"/>
      <c r="E82" s="101"/>
      <c r="F82" s="101"/>
      <c r="G82" s="101"/>
      <c r="H82" s="101"/>
      <c r="I82" s="101"/>
      <c r="J82" s="101"/>
      <c r="K82" s="101"/>
      <c r="L82" s="101"/>
      <c r="M82" s="101"/>
      <c r="N82" s="101"/>
      <c r="O82" s="101"/>
      <c r="P82" s="101"/>
      <c r="Q82" s="101"/>
      <c r="R82" s="101"/>
      <c r="S82" s="101"/>
    </row>
    <row r="83" spans="1:19" x14ac:dyDescent="0.25">
      <c r="A83" s="101"/>
      <c r="B83" s="101"/>
      <c r="C83" s="101"/>
      <c r="D83" s="101"/>
      <c r="E83" s="101"/>
      <c r="F83" s="101"/>
      <c r="G83" s="101"/>
      <c r="H83" s="101"/>
      <c r="I83" s="101"/>
      <c r="J83" s="101"/>
      <c r="K83" s="101"/>
      <c r="L83" s="101"/>
      <c r="M83" s="101"/>
      <c r="N83" s="101"/>
      <c r="O83" s="101"/>
      <c r="P83" s="101"/>
      <c r="Q83" s="101"/>
      <c r="R83" s="101"/>
      <c r="S83" s="101"/>
    </row>
  </sheetData>
  <sheetProtection password="D989" sheet="1" objects="1" scenarios="1"/>
  <mergeCells count="92">
    <mergeCell ref="B3:AZ4"/>
    <mergeCell ref="AD6:AH6"/>
    <mergeCell ref="AJ6:AP6"/>
    <mergeCell ref="AQ6:AR6"/>
    <mergeCell ref="AS6:AX12"/>
    <mergeCell ref="AY6:AZ7"/>
    <mergeCell ref="AJ7:AP7"/>
    <mergeCell ref="AQ7:AR7"/>
    <mergeCell ref="AY8:AZ12"/>
    <mergeCell ref="AD10:AH10"/>
    <mergeCell ref="V8:AB8"/>
    <mergeCell ref="V10:AB10"/>
    <mergeCell ref="AD8:AH8"/>
    <mergeCell ref="AJ8:AP8"/>
    <mergeCell ref="AQ8:AR8"/>
    <mergeCell ref="K17:O17"/>
    <mergeCell ref="D14:AV14"/>
    <mergeCell ref="AW14:AX14"/>
    <mergeCell ref="AY14:AY18"/>
    <mergeCell ref="P17:T17"/>
    <mergeCell ref="U17:Y17"/>
    <mergeCell ref="C29:D29"/>
    <mergeCell ref="AX17:AX18"/>
    <mergeCell ref="C19:D19"/>
    <mergeCell ref="C20:D20"/>
    <mergeCell ref="C21:D21"/>
    <mergeCell ref="C22:D22"/>
    <mergeCell ref="C23:D23"/>
    <mergeCell ref="AF17:AJ17"/>
    <mergeCell ref="AK17:AO17"/>
    <mergeCell ref="AP17:AP18"/>
    <mergeCell ref="AQ17:AU17"/>
    <mergeCell ref="AV17:AV18"/>
    <mergeCell ref="AW17:AW18"/>
    <mergeCell ref="B14:C17"/>
    <mergeCell ref="Z17:Z18"/>
    <mergeCell ref="AA17:AE17"/>
    <mergeCell ref="C24:D24"/>
    <mergeCell ref="C25:D25"/>
    <mergeCell ref="C26:D26"/>
    <mergeCell ref="C27:D27"/>
    <mergeCell ref="C28:D28"/>
    <mergeCell ref="C41:D41"/>
    <mergeCell ref="C30:D30"/>
    <mergeCell ref="C31:D31"/>
    <mergeCell ref="C32:D32"/>
    <mergeCell ref="C33:D33"/>
    <mergeCell ref="C34:D34"/>
    <mergeCell ref="C35:D35"/>
    <mergeCell ref="C36:D36"/>
    <mergeCell ref="C37:D37"/>
    <mergeCell ref="C38:D38"/>
    <mergeCell ref="C39:D39"/>
    <mergeCell ref="C40:D40"/>
    <mergeCell ref="C53:D53"/>
    <mergeCell ref="C42:D42"/>
    <mergeCell ref="C43:D43"/>
    <mergeCell ref="C44:D44"/>
    <mergeCell ref="C45:D45"/>
    <mergeCell ref="C46:D46"/>
    <mergeCell ref="C47:D47"/>
    <mergeCell ref="C48:D48"/>
    <mergeCell ref="C49:D49"/>
    <mergeCell ref="C50:D50"/>
    <mergeCell ref="C51:D51"/>
    <mergeCell ref="C52:D52"/>
    <mergeCell ref="C59:D59"/>
    <mergeCell ref="C60:D60"/>
    <mergeCell ref="C61:D61"/>
    <mergeCell ref="C62:D62"/>
    <mergeCell ref="C63:D63"/>
    <mergeCell ref="C54:D54"/>
    <mergeCell ref="C55:D55"/>
    <mergeCell ref="C56:D56"/>
    <mergeCell ref="C57:D57"/>
    <mergeCell ref="C58:D58"/>
    <mergeCell ref="BA14:BA18"/>
    <mergeCell ref="I67:T67"/>
    <mergeCell ref="AE67:AQ67"/>
    <mergeCell ref="I68:T68"/>
    <mergeCell ref="AE68:AQ68"/>
    <mergeCell ref="AW66:AX66"/>
    <mergeCell ref="AW65:AX65"/>
    <mergeCell ref="AZ14:AZ18"/>
    <mergeCell ref="D15:AV15"/>
    <mergeCell ref="AW15:AX15"/>
    <mergeCell ref="D16:J16"/>
    <mergeCell ref="K16:Z16"/>
    <mergeCell ref="AA16:AP16"/>
    <mergeCell ref="AQ16:AV16"/>
    <mergeCell ref="E17:I17"/>
    <mergeCell ref="J17:J18"/>
  </mergeCells>
  <conditionalFormatting sqref="AY19:AY63">
    <cfRule type="cellIs" dxfId="71" priority="29" operator="lessThanOrEqual">
      <formula>50.499</formula>
    </cfRule>
  </conditionalFormatting>
  <conditionalFormatting sqref="E19:I63">
    <cfRule type="cellIs" dxfId="70" priority="25" operator="greaterThan">
      <formula>10</formula>
    </cfRule>
    <cfRule type="cellIs" dxfId="69" priority="27" operator="greaterThan">
      <formula>10</formula>
    </cfRule>
  </conditionalFormatting>
  <conditionalFormatting sqref="E19:I54 G20:H63">
    <cfRule type="cellIs" dxfId="68" priority="26" operator="greaterThan">
      <formula>10</formula>
    </cfRule>
  </conditionalFormatting>
  <conditionalFormatting sqref="K19:Y63">
    <cfRule type="cellIs" dxfId="67" priority="23" operator="greaterThan">
      <formula>35</formula>
    </cfRule>
    <cfRule type="cellIs" dxfId="66" priority="24" operator="greaterThan">
      <formula>35</formula>
    </cfRule>
  </conditionalFormatting>
  <conditionalFormatting sqref="AA60:AO63 AA55:AA59 AK19:AO59">
    <cfRule type="cellIs" dxfId="65" priority="21" operator="greaterThan">
      <formula>35</formula>
    </cfRule>
    <cfRule type="cellIs" dxfId="64" priority="22" operator="greaterThan">
      <formula>35</formula>
    </cfRule>
  </conditionalFormatting>
  <conditionalFormatting sqref="AQ55:AR63 AT55:AU63">
    <cfRule type="cellIs" dxfId="63" priority="19" operator="greaterThan">
      <formula>10</formula>
    </cfRule>
    <cfRule type="cellIs" dxfId="62" priority="20" operator="greaterThan">
      <formula>10</formula>
    </cfRule>
  </conditionalFormatting>
  <conditionalFormatting sqref="AW19:AX63">
    <cfRule type="cellIs" dxfId="61" priority="18" operator="greaterThan">
      <formula>5</formula>
    </cfRule>
  </conditionalFormatting>
  <conditionalFormatting sqref="AA19:AE19 AA20:AA54 AB20:AE59">
    <cfRule type="cellIs" dxfId="60" priority="14" operator="greaterThan">
      <formula>35</formula>
    </cfRule>
    <cfRule type="cellIs" dxfId="59" priority="15" operator="greaterThan">
      <formula>35</formula>
    </cfRule>
  </conditionalFormatting>
  <conditionalFormatting sqref="AF19:AJ59">
    <cfRule type="cellIs" dxfId="58" priority="12" operator="greaterThan">
      <formula>35</formula>
    </cfRule>
    <cfRule type="cellIs" dxfId="57" priority="13" operator="greaterThan">
      <formula>35</formula>
    </cfRule>
  </conditionalFormatting>
  <conditionalFormatting sqref="AQ19:AU19 AQ20:AR54 AT20:AU54 AS20:AS63">
    <cfRule type="cellIs" dxfId="56" priority="9" operator="greaterThan">
      <formula>10</formula>
    </cfRule>
    <cfRule type="cellIs" dxfId="55" priority="11" operator="greaterThan">
      <formula>10</formula>
    </cfRule>
  </conditionalFormatting>
  <conditionalFormatting sqref="AQ19:AU19 AQ20:AR54 AT20:AU54 AS20:AS63">
    <cfRule type="cellIs" dxfId="54" priority="10" operator="greaterThan">
      <formula>10</formula>
    </cfRule>
  </conditionalFormatting>
  <conditionalFormatting sqref="AZ19:AZ63">
    <cfRule type="containsText" dxfId="53" priority="1" operator="containsText" text="FALSO">
      <formula>NOT(ISERROR(SEARCH("FALSO",AZ19)))</formula>
    </cfRule>
    <cfRule type="cellIs" dxfId="52" priority="3" operator="lessThan">
      <formula>51</formula>
    </cfRule>
  </conditionalFormatting>
  <conditionalFormatting sqref="AZ19:AZ63">
    <cfRule type="containsText" dxfId="51" priority="2" operator="containsText" text="REPROBADO">
      <formula>NOT(ISERROR(SEARCH("REPROBADO",AZ19)))</formula>
    </cfRule>
  </conditionalFormatting>
  <dataValidations count="3">
    <dataValidation type="whole" allowBlank="1" showInputMessage="1" showErrorMessage="1" errorTitle="ERROR" error="Solo puede introducir valores entre 1 y 10 " sqref="E19:I63 AQ19:AU63">
      <formula1>1</formula1>
      <formula2>10</formula2>
    </dataValidation>
    <dataValidation type="whole" allowBlank="1" showInputMessage="1" showErrorMessage="1" errorTitle="ERROR" error="Solo puede introducir valores entre 1 y 35" sqref="K19:Y63 AA19:AO63">
      <formula1>1</formula1>
      <formula2>35</formula2>
    </dataValidation>
    <dataValidation type="whole" allowBlank="1" showInputMessage="1" showErrorMessage="1" errorTitle="ERROR" error="Solo puede introducir valores entre 1 y 5" sqref="AW19:AX63">
      <formula1>1</formula1>
      <formula2>5</formula2>
    </dataValidation>
  </dataValidations>
  <pageMargins left="0.25" right="0.25" top="0.75" bottom="0.75" header="0.3" footer="0.3"/>
  <pageSetup scale="54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7" id="{B60FAA43-730E-4A27-8B61-A01988F15A11}">
            <xm:f>'ASIS. 1° B'!#REF!="NO INCORPORADO"</xm:f>
            <x14:dxf>
              <font>
                <b/>
                <i val="0"/>
                <strike/>
                <color rgb="FFFF0000"/>
              </font>
            </x14:dxf>
          </x14:cfRule>
          <xm:sqref>C19:D63</xm:sqref>
        </x14:conditionalFormatting>
        <x14:conditionalFormatting xmlns:xm="http://schemas.microsoft.com/office/excel/2006/main">
          <x14:cfRule type="expression" priority="38" id="{6BE1E9AA-A36E-45B7-B545-0A9B6E220E97}">
            <xm:f>'ASIS. 1° B'!#REF!="RETIRO O ABANDONO"</xm:f>
            <x14:dxf>
              <font>
                <b/>
                <i val="0"/>
                <strike/>
                <color rgb="FFFF0000"/>
              </font>
            </x14:dxf>
          </x14:cfRule>
          <xm:sqref>C19:D63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'C. FILIACION'!$B$14:$B$58</xm:f>
          </x14:formula1>
          <xm:sqref>BB10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0">
    <pageSetUpPr fitToPage="1"/>
  </sheetPr>
  <dimension ref="B1:E26"/>
  <sheetViews>
    <sheetView workbookViewId="0">
      <selection activeCell="A2" sqref="A2"/>
    </sheetView>
  </sheetViews>
  <sheetFormatPr baseColWidth="10" defaultRowHeight="15" x14ac:dyDescent="0.25"/>
  <cols>
    <col min="1" max="1" width="2.7109375" customWidth="1"/>
    <col min="2" max="2" width="10.140625" style="476" customWidth="1"/>
    <col min="3" max="3" width="30.28515625" style="476" customWidth="1"/>
    <col min="4" max="4" width="22.28515625" style="482" customWidth="1"/>
    <col min="5" max="5" width="64.28515625" style="479" customWidth="1"/>
  </cols>
  <sheetData>
    <row r="1" spans="2:5" ht="27.75" customHeight="1" x14ac:dyDescent="0.25">
      <c r="B1" s="707" t="s">
        <v>316</v>
      </c>
      <c r="C1" s="707"/>
      <c r="D1" s="707"/>
      <c r="E1" s="707"/>
    </row>
    <row r="3" spans="2:5" x14ac:dyDescent="0.25">
      <c r="B3" s="474" t="s">
        <v>310</v>
      </c>
      <c r="C3" s="474" t="s">
        <v>74</v>
      </c>
      <c r="D3" s="480" t="s">
        <v>308</v>
      </c>
      <c r="E3" s="475" t="s">
        <v>309</v>
      </c>
    </row>
    <row r="4" spans="2:5" x14ac:dyDescent="0.25">
      <c r="B4" s="483">
        <v>1</v>
      </c>
      <c r="C4" s="483">
        <v>0</v>
      </c>
      <c r="D4" s="484">
        <v>43495.435766666669</v>
      </c>
      <c r="E4" s="485" t="s">
        <v>379</v>
      </c>
    </row>
    <row r="5" spans="2:5" x14ac:dyDescent="0.25">
      <c r="B5" s="418"/>
      <c r="C5" s="418"/>
      <c r="D5" s="481"/>
      <c r="E5" s="419"/>
    </row>
    <row r="6" spans="2:5" x14ac:dyDescent="0.25">
      <c r="E6" s="477"/>
    </row>
    <row r="7" spans="2:5" x14ac:dyDescent="0.25">
      <c r="E7" s="477"/>
    </row>
    <row r="8" spans="2:5" x14ac:dyDescent="0.25">
      <c r="E8" s="477"/>
    </row>
    <row r="9" spans="2:5" x14ac:dyDescent="0.25">
      <c r="E9" s="477"/>
    </row>
    <row r="10" spans="2:5" x14ac:dyDescent="0.25">
      <c r="E10" s="477"/>
    </row>
    <row r="11" spans="2:5" x14ac:dyDescent="0.25">
      <c r="E11" s="477"/>
    </row>
    <row r="12" spans="2:5" x14ac:dyDescent="0.25">
      <c r="E12" s="477"/>
    </row>
    <row r="13" spans="2:5" x14ac:dyDescent="0.25">
      <c r="E13" s="477"/>
    </row>
    <row r="14" spans="2:5" x14ac:dyDescent="0.25">
      <c r="E14" s="477"/>
    </row>
    <row r="15" spans="2:5" x14ac:dyDescent="0.25">
      <c r="E15" s="477"/>
    </row>
    <row r="16" spans="2:5" x14ac:dyDescent="0.25">
      <c r="E16" s="477"/>
    </row>
    <row r="17" spans="5:5" x14ac:dyDescent="0.25">
      <c r="E17" s="477"/>
    </row>
    <row r="18" spans="5:5" x14ac:dyDescent="0.25">
      <c r="E18" s="477"/>
    </row>
    <row r="19" spans="5:5" x14ac:dyDescent="0.25">
      <c r="E19" s="477"/>
    </row>
    <row r="20" spans="5:5" x14ac:dyDescent="0.25">
      <c r="E20" s="477"/>
    </row>
    <row r="21" spans="5:5" x14ac:dyDescent="0.25">
      <c r="E21" s="477"/>
    </row>
    <row r="22" spans="5:5" x14ac:dyDescent="0.25">
      <c r="E22" s="477"/>
    </row>
    <row r="23" spans="5:5" x14ac:dyDescent="0.25">
      <c r="E23" s="478"/>
    </row>
    <row r="24" spans="5:5" x14ac:dyDescent="0.25">
      <c r="E24" s="478"/>
    </row>
    <row r="25" spans="5:5" x14ac:dyDescent="0.25">
      <c r="E25" s="478"/>
    </row>
    <row r="26" spans="5:5" x14ac:dyDescent="0.25">
      <c r="E26" s="478"/>
    </row>
  </sheetData>
  <sheetProtection sheet="1" objects="1" scenarios="1" autoFilter="0"/>
  <autoFilter ref="B3:E3"/>
  <mergeCells count="1">
    <mergeCell ref="B1:E1"/>
  </mergeCells>
  <pageMargins left="0.7" right="0.7" top="0.75" bottom="0.75" header="0.3" footer="0.3"/>
  <pageSetup scale="71" fitToHeight="0"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1">
    <tabColor theme="9" tint="-0.499984740745262"/>
    <pageSetUpPr fitToPage="1"/>
  </sheetPr>
  <dimension ref="A1:BO116"/>
  <sheetViews>
    <sheetView showZeros="0" zoomScaleNormal="100" workbookViewId="0">
      <pane ySplit="14" topLeftCell="A15" activePane="bottomLeft" state="frozen"/>
      <selection pane="bottomLeft" activeCell="AF23" sqref="AF23"/>
    </sheetView>
  </sheetViews>
  <sheetFormatPr baseColWidth="10" defaultColWidth="11.42578125" defaultRowHeight="15" x14ac:dyDescent="0.25"/>
  <cols>
    <col min="1" max="1" width="4.7109375" style="66" customWidth="1"/>
    <col min="2" max="2" width="4.140625" style="66" customWidth="1"/>
    <col min="3" max="3" width="34" style="66" customWidth="1"/>
    <col min="4" max="4" width="1" style="66" customWidth="1"/>
    <col min="5" max="58" width="2.7109375" style="66" customWidth="1"/>
    <col min="59" max="62" width="4.7109375" style="66" customWidth="1"/>
    <col min="63" max="63" width="4.85546875" style="66" customWidth="1"/>
    <col min="64" max="64" width="1.140625" style="66" customWidth="1"/>
    <col min="65" max="16384" width="11.42578125" style="66"/>
  </cols>
  <sheetData>
    <row r="1" spans="1:67" ht="15.75" thickBot="1" x14ac:dyDescent="0.3">
      <c r="A1" s="72"/>
      <c r="B1" s="72"/>
      <c r="C1" s="72"/>
      <c r="D1" s="72"/>
      <c r="E1" s="72"/>
      <c r="F1" s="72"/>
      <c r="G1" s="72"/>
      <c r="H1" s="72"/>
      <c r="I1" s="72"/>
      <c r="J1" s="72"/>
      <c r="K1" s="72"/>
      <c r="L1" s="72"/>
      <c r="M1" s="72"/>
      <c r="N1" s="72"/>
      <c r="O1" s="72"/>
      <c r="P1" s="72"/>
      <c r="Q1" s="72"/>
      <c r="R1" s="72"/>
      <c r="S1" s="72"/>
      <c r="T1" s="72"/>
      <c r="U1" s="72"/>
      <c r="V1" s="72"/>
      <c r="W1" s="72"/>
      <c r="X1" s="72"/>
      <c r="Y1" s="72"/>
      <c r="Z1" s="7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2"/>
      <c r="AT1" s="72"/>
      <c r="AU1" s="7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</row>
    <row r="2" spans="1:67" x14ac:dyDescent="0.25">
      <c r="A2" s="72"/>
      <c r="B2" s="583" t="s">
        <v>194</v>
      </c>
      <c r="C2" s="584"/>
      <c r="D2" s="584"/>
      <c r="E2" s="584"/>
      <c r="F2" s="584"/>
      <c r="G2" s="584"/>
      <c r="H2" s="584"/>
      <c r="I2" s="584"/>
      <c r="J2" s="584"/>
      <c r="K2" s="584"/>
      <c r="L2" s="584"/>
      <c r="M2" s="584"/>
      <c r="N2" s="584"/>
      <c r="O2" s="584"/>
      <c r="P2" s="584"/>
      <c r="Q2" s="584"/>
      <c r="R2" s="584"/>
      <c r="S2" s="584"/>
      <c r="T2" s="584"/>
      <c r="U2" s="584"/>
      <c r="V2" s="584"/>
      <c r="W2" s="584"/>
      <c r="X2" s="584"/>
      <c r="Y2" s="584"/>
      <c r="Z2" s="584"/>
      <c r="AA2" s="584"/>
      <c r="AB2" s="584"/>
      <c r="AC2" s="584"/>
      <c r="AD2" s="584"/>
      <c r="AE2" s="584"/>
      <c r="AF2" s="584"/>
      <c r="AG2" s="584"/>
      <c r="AH2" s="584"/>
      <c r="AI2" s="584"/>
      <c r="AJ2" s="584"/>
      <c r="AK2" s="584"/>
      <c r="AL2" s="584"/>
      <c r="AM2" s="584"/>
      <c r="AN2" s="584"/>
      <c r="AO2" s="584"/>
      <c r="AP2" s="584"/>
      <c r="AQ2" s="584"/>
      <c r="AR2" s="584"/>
      <c r="AS2" s="584"/>
      <c r="AT2" s="584"/>
      <c r="AU2" s="584"/>
      <c r="AV2" s="584"/>
      <c r="AW2" s="584"/>
      <c r="AX2" s="584"/>
      <c r="AY2" s="584"/>
      <c r="AZ2" s="584"/>
      <c r="BA2" s="584"/>
      <c r="BB2" s="584"/>
      <c r="BC2" s="584"/>
      <c r="BD2" s="584"/>
      <c r="BE2" s="584"/>
      <c r="BF2" s="584"/>
      <c r="BG2" s="584"/>
      <c r="BH2" s="584"/>
      <c r="BI2" s="584"/>
      <c r="BJ2" s="584"/>
      <c r="BK2" s="585"/>
    </row>
    <row r="3" spans="1:67" x14ac:dyDescent="0.25">
      <c r="A3" s="72"/>
      <c r="B3" s="586"/>
      <c r="C3" s="587"/>
      <c r="D3" s="587"/>
      <c r="E3" s="587"/>
      <c r="F3" s="587"/>
      <c r="G3" s="587"/>
      <c r="H3" s="587"/>
      <c r="I3" s="587"/>
      <c r="J3" s="587"/>
      <c r="K3" s="587"/>
      <c r="L3" s="587"/>
      <c r="M3" s="587"/>
      <c r="N3" s="587"/>
      <c r="O3" s="587"/>
      <c r="P3" s="587"/>
      <c r="Q3" s="587"/>
      <c r="R3" s="587"/>
      <c r="S3" s="587"/>
      <c r="T3" s="587"/>
      <c r="U3" s="587"/>
      <c r="V3" s="587"/>
      <c r="W3" s="587"/>
      <c r="X3" s="587"/>
      <c r="Y3" s="587"/>
      <c r="Z3" s="587"/>
      <c r="AA3" s="587"/>
      <c r="AB3" s="587"/>
      <c r="AC3" s="587"/>
      <c r="AD3" s="587"/>
      <c r="AE3" s="587"/>
      <c r="AF3" s="587"/>
      <c r="AG3" s="587"/>
      <c r="AH3" s="587"/>
      <c r="AI3" s="587"/>
      <c r="AJ3" s="587"/>
      <c r="AK3" s="587"/>
      <c r="AL3" s="587"/>
      <c r="AM3" s="587"/>
      <c r="AN3" s="587"/>
      <c r="AO3" s="587"/>
      <c r="AP3" s="587"/>
      <c r="AQ3" s="587"/>
      <c r="AR3" s="587"/>
      <c r="AS3" s="587"/>
      <c r="AT3" s="587"/>
      <c r="AU3" s="587"/>
      <c r="AV3" s="587"/>
      <c r="AW3" s="587"/>
      <c r="AX3" s="587"/>
      <c r="AY3" s="587"/>
      <c r="AZ3" s="587"/>
      <c r="BA3" s="587"/>
      <c r="BB3" s="587"/>
      <c r="BC3" s="587"/>
      <c r="BD3" s="587"/>
      <c r="BE3" s="587"/>
      <c r="BF3" s="587"/>
      <c r="BG3" s="587"/>
      <c r="BH3" s="587"/>
      <c r="BI3" s="587"/>
      <c r="BJ3" s="587"/>
      <c r="BK3" s="588"/>
    </row>
    <row r="4" spans="1:67" ht="2.25" customHeight="1" x14ac:dyDescent="0.25">
      <c r="A4" s="72"/>
      <c r="B4" s="592"/>
      <c r="C4" s="593"/>
      <c r="D4" s="593"/>
      <c r="E4" s="593"/>
      <c r="F4" s="593"/>
      <c r="G4" s="593"/>
      <c r="H4" s="593"/>
      <c r="I4" s="593"/>
      <c r="J4" s="593"/>
      <c r="K4" s="593"/>
      <c r="L4" s="593"/>
      <c r="M4" s="593"/>
      <c r="N4" s="593"/>
      <c r="O4" s="593"/>
      <c r="P4" s="593"/>
      <c r="Q4" s="593"/>
      <c r="R4" s="593"/>
      <c r="S4" s="593"/>
      <c r="T4" s="593"/>
      <c r="U4" s="593"/>
      <c r="V4" s="593"/>
      <c r="W4" s="593"/>
      <c r="X4" s="593"/>
      <c r="Y4" s="593"/>
      <c r="Z4" s="593"/>
      <c r="AA4" s="593"/>
      <c r="AB4" s="593"/>
      <c r="AC4" s="593"/>
      <c r="AD4" s="593"/>
      <c r="AE4" s="593"/>
      <c r="AF4" s="593"/>
      <c r="AG4" s="593"/>
      <c r="AH4" s="593"/>
      <c r="AI4" s="593"/>
      <c r="AJ4" s="593"/>
      <c r="AK4" s="593"/>
      <c r="AL4" s="593"/>
      <c r="AM4" s="593"/>
      <c r="AN4" s="593"/>
      <c r="AO4" s="593"/>
      <c r="AP4" s="593"/>
      <c r="AQ4" s="593"/>
      <c r="AR4" s="593"/>
      <c r="AS4" s="593"/>
      <c r="AT4" s="593"/>
      <c r="AU4" s="593"/>
      <c r="AV4" s="593"/>
      <c r="AW4" s="593"/>
      <c r="AX4" s="593"/>
      <c r="AY4" s="593"/>
      <c r="AZ4" s="593"/>
      <c r="BA4" s="593"/>
      <c r="BB4" s="593"/>
      <c r="BC4" s="593"/>
      <c r="BD4" s="593"/>
      <c r="BE4" s="593"/>
      <c r="BF4" s="593"/>
      <c r="BG4" s="593"/>
      <c r="BH4" s="593"/>
      <c r="BI4" s="593"/>
      <c r="BJ4" s="593"/>
      <c r="BK4" s="594"/>
    </row>
    <row r="5" spans="1:67" ht="15.75" x14ac:dyDescent="0.25">
      <c r="A5" s="72"/>
      <c r="B5" s="73"/>
      <c r="C5" s="74" t="s">
        <v>1</v>
      </c>
      <c r="D5" s="75" t="s">
        <v>6</v>
      </c>
      <c r="E5" s="486">
        <f>CARATULA!G20</f>
        <v>0</v>
      </c>
      <c r="F5" s="292"/>
      <c r="G5" s="292"/>
      <c r="H5" s="292"/>
      <c r="I5" s="292"/>
      <c r="J5" s="292"/>
      <c r="K5" s="292"/>
      <c r="L5" s="292"/>
      <c r="M5" s="292"/>
      <c r="N5" s="292"/>
      <c r="O5" s="292"/>
      <c r="P5" s="292"/>
      <c r="Q5" s="292"/>
      <c r="R5" s="292"/>
      <c r="S5" s="292"/>
      <c r="T5" s="292"/>
      <c r="U5" s="292"/>
      <c r="V5" s="292"/>
      <c r="W5" s="292"/>
      <c r="X5" s="292"/>
      <c r="Y5" s="292"/>
      <c r="Z5" s="292"/>
      <c r="AA5" s="292"/>
      <c r="AB5" s="292"/>
      <c r="AC5" s="292"/>
      <c r="AD5" s="292"/>
      <c r="AE5" s="292"/>
      <c r="AF5" s="292"/>
      <c r="AG5" s="292"/>
      <c r="AH5" s="292"/>
      <c r="AI5" s="292"/>
      <c r="AJ5" s="292"/>
      <c r="AK5" s="292"/>
      <c r="AL5" s="292"/>
      <c r="AM5" s="292"/>
      <c r="AN5" s="292"/>
      <c r="AO5" s="292"/>
      <c r="AP5" s="292"/>
      <c r="AQ5" s="292"/>
      <c r="AR5" s="292"/>
      <c r="AS5" s="292"/>
      <c r="AT5" s="292"/>
      <c r="AU5" s="292"/>
      <c r="AV5" s="292"/>
      <c r="AW5" s="292"/>
      <c r="AX5" s="292"/>
      <c r="AY5" s="292"/>
      <c r="AZ5" s="292"/>
      <c r="BA5" s="76"/>
      <c r="BB5" s="589" t="s">
        <v>44</v>
      </c>
      <c r="BC5" s="589"/>
      <c r="BD5" s="589"/>
      <c r="BE5" s="589"/>
      <c r="BF5" s="589"/>
      <c r="BG5" s="589"/>
      <c r="BH5" s="590">
        <f>CARATULA!P19</f>
        <v>43663</v>
      </c>
      <c r="BI5" s="591"/>
      <c r="BJ5" s="591"/>
      <c r="BK5" s="77"/>
    </row>
    <row r="6" spans="1:67" ht="15.75" x14ac:dyDescent="0.25">
      <c r="A6" s="72"/>
      <c r="B6" s="73"/>
      <c r="C6" s="74" t="s">
        <v>2</v>
      </c>
      <c r="D6" s="75" t="s">
        <v>6</v>
      </c>
      <c r="E6" s="486">
        <f>CARATULA!G26</f>
        <v>0</v>
      </c>
      <c r="F6" s="286"/>
      <c r="G6" s="286"/>
      <c r="H6" s="286"/>
      <c r="I6" s="286"/>
      <c r="J6" s="286"/>
      <c r="K6" s="286"/>
      <c r="L6" s="286"/>
      <c r="M6" s="286"/>
      <c r="N6" s="286"/>
      <c r="O6" s="286"/>
      <c r="P6" s="286"/>
      <c r="Q6" s="286"/>
      <c r="R6" s="286"/>
      <c r="S6" s="286"/>
      <c r="T6" s="286"/>
      <c r="U6" s="286"/>
      <c r="V6" s="286"/>
      <c r="W6" s="286"/>
      <c r="X6" s="286"/>
      <c r="Y6" s="286"/>
      <c r="Z6" s="286"/>
      <c r="AA6" s="286"/>
      <c r="AB6" s="286"/>
      <c r="AC6" s="286"/>
      <c r="AD6" s="286"/>
      <c r="AE6" s="286"/>
      <c r="AF6" s="286"/>
      <c r="AG6" s="286"/>
      <c r="AH6" s="286"/>
      <c r="AI6" s="286"/>
      <c r="AJ6" s="286"/>
      <c r="AK6" s="286"/>
      <c r="AL6" s="286"/>
      <c r="AM6" s="286"/>
      <c r="AN6" s="286"/>
      <c r="AO6" s="286"/>
      <c r="AP6" s="286"/>
      <c r="AQ6" s="286"/>
      <c r="AR6" s="286"/>
      <c r="AS6" s="286"/>
      <c r="AT6" s="286"/>
      <c r="AU6" s="286"/>
      <c r="AV6" s="286"/>
      <c r="AW6" s="286"/>
      <c r="AX6" s="286"/>
      <c r="AY6" s="286"/>
      <c r="AZ6" s="286"/>
      <c r="BA6" s="76"/>
      <c r="BB6" s="78"/>
      <c r="BC6" s="78"/>
      <c r="BD6" s="78"/>
      <c r="BE6" s="78"/>
      <c r="BF6" s="78"/>
      <c r="BG6" s="78"/>
      <c r="BH6" s="78"/>
      <c r="BI6" s="78"/>
      <c r="BJ6" s="78"/>
      <c r="BK6" s="77"/>
    </row>
    <row r="7" spans="1:67" ht="15.75" x14ac:dyDescent="0.25">
      <c r="A7" s="72"/>
      <c r="B7" s="73"/>
      <c r="C7" s="74" t="s">
        <v>99</v>
      </c>
      <c r="D7" s="75" t="s">
        <v>6</v>
      </c>
      <c r="E7" s="504" t="str">
        <f>CONCATENATE(CARATULA!G28," ",CARATULA!H28)</f>
        <v xml:space="preserve"> </v>
      </c>
      <c r="F7" s="293"/>
      <c r="G7" s="293"/>
      <c r="H7" s="293"/>
      <c r="I7" s="293"/>
      <c r="J7" s="293"/>
      <c r="K7" s="293"/>
      <c r="L7" s="293"/>
      <c r="M7" s="286"/>
      <c r="N7" s="292"/>
      <c r="O7" s="292"/>
      <c r="P7" s="286"/>
      <c r="Q7" s="286"/>
      <c r="R7" s="293"/>
      <c r="S7" s="293"/>
      <c r="T7" s="293"/>
      <c r="U7" s="286"/>
      <c r="V7" s="286"/>
      <c r="W7" s="286"/>
      <c r="X7" s="286"/>
      <c r="Y7" s="286"/>
      <c r="Z7" s="286"/>
      <c r="AA7" s="286"/>
      <c r="AB7" s="286"/>
      <c r="AC7" s="286"/>
      <c r="AD7" s="286"/>
      <c r="AE7" s="286"/>
      <c r="AF7" s="286"/>
      <c r="AG7" s="286"/>
      <c r="AH7" s="286"/>
      <c r="AI7" s="286"/>
      <c r="AJ7" s="286"/>
      <c r="AK7" s="286"/>
      <c r="AL7" s="286"/>
      <c r="AM7" s="286"/>
      <c r="AN7" s="286"/>
      <c r="AO7" s="286"/>
      <c r="AP7" s="286"/>
      <c r="AQ7" s="286"/>
      <c r="AR7" s="286"/>
      <c r="AS7" s="286"/>
      <c r="AT7" s="286"/>
      <c r="AU7" s="286"/>
      <c r="AV7" s="286"/>
      <c r="AW7" s="286"/>
      <c r="AX7" s="286"/>
      <c r="AY7" s="286"/>
      <c r="AZ7" s="286"/>
      <c r="BA7" s="76"/>
      <c r="BB7" s="589" t="s">
        <v>45</v>
      </c>
      <c r="BC7" s="589"/>
      <c r="BD7" s="589"/>
      <c r="BE7" s="589"/>
      <c r="BF7" s="589"/>
      <c r="BG7" s="589"/>
      <c r="BH7" s="590">
        <f>CARATULA!R19</f>
        <v>43736</v>
      </c>
      <c r="BI7" s="591"/>
      <c r="BJ7" s="591"/>
      <c r="BK7" s="77"/>
    </row>
    <row r="8" spans="1:67" ht="15.75" x14ac:dyDescent="0.25">
      <c r="A8" s="72"/>
      <c r="B8" s="73"/>
      <c r="C8" s="74" t="s">
        <v>382</v>
      </c>
      <c r="D8" s="75" t="s">
        <v>6</v>
      </c>
      <c r="E8" s="486">
        <f>CARATULA!G22</f>
        <v>0</v>
      </c>
      <c r="F8" s="292"/>
      <c r="G8" s="292"/>
      <c r="H8" s="292"/>
      <c r="I8" s="292"/>
      <c r="J8" s="292"/>
      <c r="K8" s="292"/>
      <c r="L8" s="292"/>
      <c r="M8" s="292"/>
      <c r="N8" s="292"/>
      <c r="O8" s="292"/>
      <c r="P8" s="292"/>
      <c r="Q8" s="292"/>
      <c r="R8" s="292"/>
      <c r="S8" s="292"/>
      <c r="T8" s="292"/>
      <c r="U8" s="286"/>
      <c r="V8" s="286"/>
      <c r="W8" s="286"/>
      <c r="X8" s="286"/>
      <c r="Y8" s="286"/>
      <c r="Z8" s="286"/>
      <c r="AA8" s="286"/>
      <c r="AB8" s="286"/>
      <c r="AC8" s="286"/>
      <c r="AD8" s="286"/>
      <c r="AE8" s="286"/>
      <c r="AF8" s="286"/>
      <c r="AG8" s="286"/>
      <c r="AH8" s="286"/>
      <c r="AI8" s="286"/>
      <c r="AJ8" s="286"/>
      <c r="AK8" s="286"/>
      <c r="AL8" s="286"/>
      <c r="AM8" s="286"/>
      <c r="AN8" s="286"/>
      <c r="AO8" s="286"/>
      <c r="AP8" s="286"/>
      <c r="AQ8" s="286"/>
      <c r="AR8" s="286"/>
      <c r="AS8" s="286"/>
      <c r="AT8" s="286"/>
      <c r="AU8" s="286"/>
      <c r="AV8" s="286"/>
      <c r="AW8" s="286"/>
      <c r="AX8" s="286"/>
      <c r="AY8" s="286"/>
      <c r="AZ8" s="286"/>
      <c r="BA8" s="76"/>
      <c r="BB8" s="76"/>
      <c r="BC8" s="76"/>
      <c r="BD8" s="76"/>
      <c r="BE8" s="76"/>
      <c r="BF8" s="76"/>
      <c r="BG8" s="76"/>
      <c r="BH8" s="76"/>
      <c r="BI8" s="76"/>
      <c r="BJ8" s="76"/>
      <c r="BK8" s="77"/>
    </row>
    <row r="9" spans="1:67" ht="15.75" x14ac:dyDescent="0.25">
      <c r="A9" s="72"/>
      <c r="B9" s="73"/>
      <c r="C9" s="74" t="s">
        <v>383</v>
      </c>
      <c r="D9" s="75" t="s">
        <v>6</v>
      </c>
      <c r="E9" s="486">
        <f>CARATULA!G24</f>
        <v>0</v>
      </c>
      <c r="F9" s="292"/>
      <c r="G9" s="292"/>
      <c r="H9" s="292"/>
      <c r="I9" s="292"/>
      <c r="J9" s="292"/>
      <c r="K9" s="292"/>
      <c r="L9" s="292"/>
      <c r="M9" s="292"/>
      <c r="N9" s="292"/>
      <c r="O9" s="292"/>
      <c r="P9" s="292"/>
      <c r="Q9" s="292"/>
      <c r="R9" s="292"/>
      <c r="S9" s="292"/>
      <c r="T9" s="292"/>
      <c r="U9" s="286"/>
      <c r="V9" s="286"/>
      <c r="W9" s="286"/>
      <c r="X9" s="286"/>
      <c r="Y9" s="286"/>
      <c r="Z9" s="286"/>
      <c r="AA9" s="286"/>
      <c r="AB9" s="286"/>
      <c r="AC9" s="286"/>
      <c r="AD9" s="286"/>
      <c r="AE9" s="286"/>
      <c r="AF9" s="286"/>
      <c r="AG9" s="286"/>
      <c r="AH9" s="286"/>
      <c r="AI9" s="286"/>
      <c r="AJ9" s="286"/>
      <c r="AK9" s="286"/>
      <c r="AL9" s="286"/>
      <c r="AM9" s="286"/>
      <c r="AN9" s="286"/>
      <c r="AO9" s="286"/>
      <c r="AP9" s="286"/>
      <c r="AQ9" s="286"/>
      <c r="AR9" s="286"/>
      <c r="AS9" s="286"/>
      <c r="AT9" s="286"/>
      <c r="AU9" s="286"/>
      <c r="AV9" s="286"/>
      <c r="AW9" s="286"/>
      <c r="AX9" s="286"/>
      <c r="AY9" s="286"/>
      <c r="AZ9" s="286"/>
      <c r="BA9" s="76"/>
      <c r="BB9" s="601" t="s">
        <v>200</v>
      </c>
      <c r="BC9" s="601"/>
      <c r="BD9" s="601"/>
      <c r="BE9" s="601"/>
      <c r="BF9" s="601"/>
      <c r="BG9" s="601"/>
      <c r="BH9" s="708">
        <f ca="1">TODAY()</f>
        <v>43510</v>
      </c>
      <c r="BI9" s="709"/>
      <c r="BJ9" s="709"/>
      <c r="BK9" s="77"/>
    </row>
    <row r="10" spans="1:67" ht="15.75" x14ac:dyDescent="0.25">
      <c r="A10" s="72"/>
      <c r="B10" s="73"/>
      <c r="C10" s="74" t="s">
        <v>3</v>
      </c>
      <c r="D10" s="75" t="s">
        <v>6</v>
      </c>
      <c r="E10" s="486">
        <f>CARATULA!G30</f>
        <v>0</v>
      </c>
      <c r="F10" s="292"/>
      <c r="G10" s="292"/>
      <c r="H10" s="292"/>
      <c r="I10" s="292"/>
      <c r="J10" s="292"/>
      <c r="K10" s="292"/>
      <c r="L10" s="292"/>
      <c r="M10" s="292"/>
      <c r="N10" s="292"/>
      <c r="O10" s="292"/>
      <c r="P10" s="292"/>
      <c r="Q10" s="292"/>
      <c r="R10" s="292"/>
      <c r="S10" s="292"/>
      <c r="T10" s="292"/>
      <c r="U10" s="286"/>
      <c r="V10" s="286"/>
      <c r="W10" s="286"/>
      <c r="X10" s="286"/>
      <c r="Y10" s="286"/>
      <c r="Z10" s="286"/>
      <c r="AA10" s="286"/>
      <c r="AB10" s="286"/>
      <c r="AC10" s="286"/>
      <c r="AD10" s="286"/>
      <c r="AE10" s="286"/>
      <c r="AF10" s="286"/>
      <c r="AG10" s="286"/>
      <c r="AH10" s="286"/>
      <c r="AI10" s="286"/>
      <c r="AJ10" s="286"/>
      <c r="AK10" s="286"/>
      <c r="AL10" s="286"/>
      <c r="AM10" s="286"/>
      <c r="AN10" s="286"/>
      <c r="AO10" s="286"/>
      <c r="AP10" s="286"/>
      <c r="AQ10" s="286"/>
      <c r="AR10" s="286"/>
      <c r="AS10" s="286"/>
      <c r="AT10" s="286"/>
      <c r="AU10" s="286"/>
      <c r="AV10" s="286"/>
      <c r="AW10" s="286"/>
      <c r="AX10" s="286"/>
      <c r="AY10" s="286"/>
      <c r="AZ10" s="286"/>
      <c r="BA10" s="76"/>
      <c r="BB10" s="76"/>
      <c r="BC10" s="76"/>
      <c r="BD10" s="76"/>
      <c r="BE10" s="76"/>
      <c r="BF10" s="76"/>
      <c r="BG10" s="76"/>
      <c r="BH10" s="76"/>
      <c r="BI10" s="76"/>
      <c r="BJ10" s="76"/>
      <c r="BK10" s="77"/>
    </row>
    <row r="11" spans="1:67" ht="15.75" x14ac:dyDescent="0.25">
      <c r="A11" s="72"/>
      <c r="B11" s="73"/>
      <c r="C11" s="74" t="s">
        <v>21</v>
      </c>
      <c r="D11" s="75" t="s">
        <v>6</v>
      </c>
      <c r="E11" s="486">
        <f>CARATULA!G32</f>
        <v>0</v>
      </c>
      <c r="F11" s="292"/>
      <c r="G11" s="292"/>
      <c r="H11" s="292"/>
      <c r="I11" s="292"/>
      <c r="J11" s="292"/>
      <c r="K11" s="292"/>
      <c r="L11" s="292"/>
      <c r="M11" s="292"/>
      <c r="N11" s="292"/>
      <c r="O11" s="292"/>
      <c r="P11" s="292"/>
      <c r="Q11" s="286"/>
      <c r="R11" s="286"/>
      <c r="S11" s="286"/>
      <c r="T11" s="286"/>
      <c r="U11" s="286"/>
      <c r="V11" s="286"/>
      <c r="W11" s="286"/>
      <c r="X11" s="286"/>
      <c r="Y11" s="286"/>
      <c r="Z11" s="286"/>
      <c r="AA11" s="286"/>
      <c r="AB11" s="286"/>
      <c r="AC11" s="286"/>
      <c r="AD11" s="286"/>
      <c r="AE11" s="286"/>
      <c r="AF11" s="286"/>
      <c r="AG11" s="286"/>
      <c r="AH11" s="286"/>
      <c r="AI11" s="286"/>
      <c r="AJ11" s="286"/>
      <c r="AK11" s="286"/>
      <c r="AL11" s="286"/>
      <c r="AM11" s="286"/>
      <c r="AN11" s="286"/>
      <c r="AO11" s="286"/>
      <c r="AP11" s="286"/>
      <c r="AQ11" s="286"/>
      <c r="AR11" s="286"/>
      <c r="AS11" s="286"/>
      <c r="AT11" s="286"/>
      <c r="AU11" s="286"/>
      <c r="AV11" s="286"/>
      <c r="AW11" s="286"/>
      <c r="AX11" s="286"/>
      <c r="AY11" s="286"/>
      <c r="AZ11" s="286"/>
      <c r="BA11" s="76"/>
      <c r="BB11" s="76"/>
      <c r="BC11" s="76"/>
      <c r="BD11" s="76"/>
      <c r="BE11" s="76"/>
      <c r="BF11" s="76"/>
      <c r="BG11" s="76"/>
      <c r="BH11" s="76"/>
      <c r="BI11" s="76"/>
      <c r="BJ11" s="76"/>
      <c r="BK11" s="77"/>
    </row>
    <row r="12" spans="1:67" ht="1.5" customHeight="1" x14ac:dyDescent="0.25">
      <c r="B12" s="67"/>
      <c r="C12" s="68"/>
      <c r="D12" s="68"/>
      <c r="E12" s="68"/>
      <c r="F12" s="68"/>
      <c r="G12" s="68"/>
      <c r="H12" s="68"/>
      <c r="I12" s="68"/>
      <c r="J12" s="68"/>
      <c r="K12" s="68"/>
      <c r="L12" s="68"/>
      <c r="M12" s="68"/>
      <c r="N12" s="68"/>
      <c r="O12" s="68"/>
      <c r="P12" s="68"/>
      <c r="Q12" s="68"/>
      <c r="R12" s="68"/>
      <c r="S12" s="68"/>
      <c r="T12" s="68"/>
      <c r="U12" s="68"/>
      <c r="V12" s="68"/>
      <c r="W12" s="68"/>
      <c r="X12" s="68"/>
      <c r="Y12" s="68"/>
      <c r="Z12" s="68"/>
      <c r="AA12" s="68"/>
      <c r="AB12" s="68"/>
      <c r="AC12" s="68"/>
      <c r="AD12" s="68"/>
      <c r="AE12" s="68"/>
      <c r="AF12" s="68"/>
      <c r="AG12" s="68"/>
      <c r="AH12" s="68"/>
      <c r="AI12" s="68"/>
      <c r="AJ12" s="68"/>
      <c r="AK12" s="68"/>
      <c r="AL12" s="68"/>
      <c r="AM12" s="68"/>
      <c r="AN12" s="68"/>
      <c r="AO12" s="68"/>
      <c r="AP12" s="68"/>
      <c r="AQ12" s="68"/>
      <c r="AR12" s="68"/>
      <c r="AS12" s="68"/>
      <c r="AT12" s="68"/>
      <c r="AU12" s="68"/>
      <c r="AV12" s="68"/>
      <c r="AW12" s="68"/>
      <c r="AX12" s="68"/>
      <c r="AY12" s="68"/>
      <c r="AZ12" s="68"/>
      <c r="BA12" s="68"/>
      <c r="BB12" s="68"/>
      <c r="BC12" s="68"/>
      <c r="BD12" s="68"/>
      <c r="BE12" s="68"/>
      <c r="BF12" s="68"/>
      <c r="BG12" s="68"/>
      <c r="BH12" s="68"/>
      <c r="BI12" s="68"/>
      <c r="BJ12" s="68"/>
      <c r="BK12" s="69"/>
    </row>
    <row r="13" spans="1:67" x14ac:dyDescent="0.25">
      <c r="A13" s="72"/>
      <c r="B13" s="595" t="s">
        <v>41</v>
      </c>
      <c r="C13" s="608" t="s">
        <v>23</v>
      </c>
      <c r="D13" s="608"/>
      <c r="E13" s="597" t="s">
        <v>241</v>
      </c>
      <c r="F13" s="597"/>
      <c r="G13" s="597"/>
      <c r="H13" s="597"/>
      <c r="I13" s="597"/>
      <c r="J13" s="597"/>
      <c r="K13" s="597"/>
      <c r="L13" s="597"/>
      <c r="M13" s="597"/>
      <c r="N13" s="597"/>
      <c r="O13" s="597"/>
      <c r="P13" s="597"/>
      <c r="Q13" s="597"/>
      <c r="R13" s="597"/>
      <c r="S13" s="597"/>
      <c r="T13" s="597"/>
      <c r="U13" s="597"/>
      <c r="V13" s="597"/>
      <c r="W13" s="597"/>
      <c r="X13" s="597"/>
      <c r="Y13" s="597"/>
      <c r="Z13" s="597"/>
      <c r="AA13" s="597"/>
      <c r="AB13" s="597"/>
      <c r="AC13" s="597"/>
      <c r="AD13" s="597"/>
      <c r="AE13" s="597"/>
      <c r="AF13" s="597"/>
      <c r="AG13" s="597"/>
      <c r="AH13" s="597"/>
      <c r="AI13" s="597"/>
      <c r="AJ13" s="597"/>
      <c r="AK13" s="597"/>
      <c r="AL13" s="597"/>
      <c r="AM13" s="597"/>
      <c r="AN13" s="597"/>
      <c r="AO13" s="597"/>
      <c r="AP13" s="597"/>
      <c r="AQ13" s="597"/>
      <c r="AR13" s="597"/>
      <c r="AS13" s="597"/>
      <c r="AT13" s="597"/>
      <c r="AU13" s="597"/>
      <c r="AV13" s="597"/>
      <c r="AW13" s="597"/>
      <c r="AX13" s="597"/>
      <c r="AY13" s="597"/>
      <c r="AZ13" s="597"/>
      <c r="BA13" s="597"/>
      <c r="BB13" s="597"/>
      <c r="BC13" s="597"/>
      <c r="BD13" s="597"/>
      <c r="BE13" s="597"/>
      <c r="BF13" s="598"/>
      <c r="BG13" s="599" t="s">
        <v>42</v>
      </c>
      <c r="BH13" s="599"/>
      <c r="BI13" s="599"/>
      <c r="BJ13" s="600"/>
      <c r="BK13" s="679" t="s">
        <v>237</v>
      </c>
    </row>
    <row r="14" spans="1:67" ht="68.25" customHeight="1" thickBot="1" x14ac:dyDescent="0.3">
      <c r="A14" s="72"/>
      <c r="B14" s="596"/>
      <c r="C14" s="609"/>
      <c r="D14" s="609"/>
      <c r="E14" s="260"/>
      <c r="F14" s="260"/>
      <c r="G14" s="260"/>
      <c r="H14" s="260"/>
      <c r="I14" s="260"/>
      <c r="J14" s="260"/>
      <c r="K14" s="260"/>
      <c r="L14" s="260"/>
      <c r="M14" s="260"/>
      <c r="N14" s="260"/>
      <c r="O14" s="260"/>
      <c r="P14" s="260"/>
      <c r="Q14" s="260"/>
      <c r="R14" s="260"/>
      <c r="S14" s="260"/>
      <c r="T14" s="260"/>
      <c r="U14" s="260"/>
      <c r="V14" s="260"/>
      <c r="W14" s="260"/>
      <c r="X14" s="260"/>
      <c r="Y14" s="260"/>
      <c r="Z14" s="260"/>
      <c r="AA14" s="260"/>
      <c r="AB14" s="260"/>
      <c r="AC14" s="260"/>
      <c r="AD14" s="260"/>
      <c r="AE14" s="260"/>
      <c r="AF14" s="260"/>
      <c r="AG14" s="260"/>
      <c r="AH14" s="260"/>
      <c r="AI14" s="260"/>
      <c r="AJ14" s="260"/>
      <c r="AK14" s="260"/>
      <c r="AL14" s="260"/>
      <c r="AM14" s="260"/>
      <c r="AN14" s="260"/>
      <c r="AO14" s="260"/>
      <c r="AP14" s="260"/>
      <c r="AQ14" s="260"/>
      <c r="AR14" s="260"/>
      <c r="AS14" s="260"/>
      <c r="AT14" s="260"/>
      <c r="AU14" s="260"/>
      <c r="AV14" s="260"/>
      <c r="AW14" s="260"/>
      <c r="AX14" s="260"/>
      <c r="AY14" s="260"/>
      <c r="AZ14" s="260"/>
      <c r="BA14" s="260"/>
      <c r="BB14" s="260"/>
      <c r="BC14" s="260"/>
      <c r="BD14" s="260"/>
      <c r="BE14" s="260"/>
      <c r="BF14" s="261"/>
      <c r="BG14" s="79" t="s">
        <v>50</v>
      </c>
      <c r="BH14" s="79" t="s">
        <v>51</v>
      </c>
      <c r="BI14" s="79" t="s">
        <v>52</v>
      </c>
      <c r="BJ14" s="80" t="s">
        <v>53</v>
      </c>
      <c r="BK14" s="680"/>
    </row>
    <row r="15" spans="1:67" x14ac:dyDescent="0.25">
      <c r="A15" s="72"/>
      <c r="B15" s="81">
        <v>1</v>
      </c>
      <c r="C15" s="610" t="str">
        <f>'C. FILIACION'!C14</f>
        <v>SUAREZ EVELIN ISELA</v>
      </c>
      <c r="D15" s="610"/>
      <c r="E15" s="256"/>
      <c r="F15" s="256"/>
      <c r="G15" s="256"/>
      <c r="H15" s="256"/>
      <c r="I15" s="256"/>
      <c r="J15" s="256"/>
      <c r="K15" s="256"/>
      <c r="L15" s="256"/>
      <c r="M15" s="256"/>
      <c r="N15" s="256"/>
      <c r="O15" s="256"/>
      <c r="P15" s="256"/>
      <c r="Q15" s="256"/>
      <c r="R15" s="256"/>
      <c r="S15" s="256"/>
      <c r="T15" s="256"/>
      <c r="U15" s="256"/>
      <c r="V15" s="256"/>
      <c r="W15" s="256"/>
      <c r="X15" s="256"/>
      <c r="Y15" s="256"/>
      <c r="Z15" s="256"/>
      <c r="AA15" s="256"/>
      <c r="AB15" s="256"/>
      <c r="AC15" s="256"/>
      <c r="AD15" s="256"/>
      <c r="AE15" s="256"/>
      <c r="AF15" s="256"/>
      <c r="AG15" s="256"/>
      <c r="AH15" s="256"/>
      <c r="AI15" s="256"/>
      <c r="AJ15" s="256"/>
      <c r="AK15" s="256"/>
      <c r="AL15" s="256"/>
      <c r="AM15" s="256"/>
      <c r="AN15" s="256"/>
      <c r="AO15" s="256"/>
      <c r="AP15" s="256"/>
      <c r="AQ15" s="256"/>
      <c r="AR15" s="256"/>
      <c r="AS15" s="256"/>
      <c r="AT15" s="256"/>
      <c r="AU15" s="256"/>
      <c r="AV15" s="256"/>
      <c r="AW15" s="256"/>
      <c r="AX15" s="256"/>
      <c r="AY15" s="256"/>
      <c r="AZ15" s="256"/>
      <c r="BA15" s="256"/>
      <c r="BB15" s="256"/>
      <c r="BC15" s="256"/>
      <c r="BD15" s="256"/>
      <c r="BE15" s="256"/>
      <c r="BF15" s="256"/>
      <c r="BG15" s="508" t="str">
        <f t="shared" ref="BG15:BG59" si="0">IF(COUNTIF(E15:BF15,"A")=0,"",COUNTIF(E15:BF15,"A"))</f>
        <v/>
      </c>
      <c r="BH15" s="508" t="str">
        <f t="shared" ref="BH15:BH59" si="1">IF(COUNTIF(E15:BF15,"F")=0,"",COUNTIF(E15:BF15,"F"))</f>
        <v/>
      </c>
      <c r="BI15" s="508" t="str">
        <f t="shared" ref="BI15:BI59" si="2">IF(COUNTIF(E15:BF15,"R")=0,"",COUNTIF(E15:BF15,"R"))</f>
        <v/>
      </c>
      <c r="BJ15" s="509" t="str">
        <f t="shared" ref="BJ15:BJ59" si="3">IF(COUNTIF(E15:BF15,"L")=0,"",COUNTIF(E15:BF15,"L"))</f>
        <v/>
      </c>
      <c r="BK15" s="510" t="str">
        <f>IF((IF(BG15="",0,BG15)+IF(BI15="",0,BI15))=0,"",(IF(BG15="",0,BG15)+IF(BI15="",0,BI15)))</f>
        <v/>
      </c>
      <c r="BM15" s="72"/>
      <c r="BN15" s="72"/>
      <c r="BO15" s="72"/>
    </row>
    <row r="16" spans="1:67" x14ac:dyDescent="0.25">
      <c r="A16" s="72"/>
      <c r="B16" s="82">
        <v>2</v>
      </c>
      <c r="C16" s="604" t="str">
        <f>'C. FILIACION'!C15</f>
        <v>ALARCON  VARGAS JAIR ALEXIS</v>
      </c>
      <c r="D16" s="604"/>
      <c r="E16" s="257"/>
      <c r="F16" s="257"/>
      <c r="G16" s="257"/>
      <c r="H16" s="257"/>
      <c r="I16" s="257"/>
      <c r="J16" s="257"/>
      <c r="K16" s="257"/>
      <c r="L16" s="257"/>
      <c r="M16" s="257"/>
      <c r="N16" s="257"/>
      <c r="O16" s="257"/>
      <c r="P16" s="257"/>
      <c r="Q16" s="257"/>
      <c r="R16" s="257"/>
      <c r="S16" s="257"/>
      <c r="T16" s="257"/>
      <c r="U16" s="257"/>
      <c r="V16" s="257"/>
      <c r="W16" s="257"/>
      <c r="X16" s="257"/>
      <c r="Y16" s="257"/>
      <c r="Z16" s="257"/>
      <c r="AA16" s="257"/>
      <c r="AB16" s="257"/>
      <c r="AC16" s="257"/>
      <c r="AD16" s="257"/>
      <c r="AE16" s="257"/>
      <c r="AF16" s="257"/>
      <c r="AG16" s="257"/>
      <c r="AH16" s="257"/>
      <c r="AI16" s="257"/>
      <c r="AJ16" s="257"/>
      <c r="AK16" s="257"/>
      <c r="AL16" s="257"/>
      <c r="AM16" s="257"/>
      <c r="AN16" s="257"/>
      <c r="AO16" s="257"/>
      <c r="AP16" s="257"/>
      <c r="AQ16" s="257"/>
      <c r="AR16" s="257"/>
      <c r="AS16" s="257"/>
      <c r="AT16" s="257"/>
      <c r="AU16" s="257"/>
      <c r="AV16" s="257"/>
      <c r="AW16" s="257"/>
      <c r="AX16" s="257"/>
      <c r="AY16" s="257"/>
      <c r="AZ16" s="257"/>
      <c r="BA16" s="257"/>
      <c r="BB16" s="257"/>
      <c r="BC16" s="257"/>
      <c r="BD16" s="257"/>
      <c r="BE16" s="257"/>
      <c r="BF16" s="258"/>
      <c r="BG16" s="511" t="str">
        <f t="shared" si="0"/>
        <v/>
      </c>
      <c r="BH16" s="511" t="str">
        <f t="shared" si="1"/>
        <v/>
      </c>
      <c r="BI16" s="511" t="str">
        <f t="shared" si="2"/>
        <v/>
      </c>
      <c r="BJ16" s="512" t="str">
        <f t="shared" si="3"/>
        <v/>
      </c>
      <c r="BK16" s="513" t="str">
        <f t="shared" ref="BK16:BK59" si="4">IF((IF(BG16="",0,BG16)+IF(BI16="",0,BI16))=0,"",(IF(BG16="",0,BG16)+IF(BI16="",0,BI16)))</f>
        <v/>
      </c>
      <c r="BM16" s="72"/>
      <c r="BN16" s="72"/>
      <c r="BO16" s="72"/>
    </row>
    <row r="17" spans="1:67" x14ac:dyDescent="0.25">
      <c r="A17" s="72"/>
      <c r="B17" s="82">
        <v>3</v>
      </c>
      <c r="C17" s="604" t="str">
        <f>'C. FILIACION'!C16</f>
        <v>AÑAZGO  VARGAS NOELIA</v>
      </c>
      <c r="D17" s="604"/>
      <c r="E17" s="257"/>
      <c r="F17" s="257"/>
      <c r="G17" s="257"/>
      <c r="H17" s="257"/>
      <c r="I17" s="257"/>
      <c r="J17" s="257"/>
      <c r="K17" s="257"/>
      <c r="L17" s="257"/>
      <c r="M17" s="257"/>
      <c r="N17" s="257"/>
      <c r="O17" s="257"/>
      <c r="P17" s="257"/>
      <c r="Q17" s="257"/>
      <c r="R17" s="257"/>
      <c r="S17" s="257"/>
      <c r="T17" s="257"/>
      <c r="U17" s="257"/>
      <c r="V17" s="257"/>
      <c r="W17" s="257"/>
      <c r="X17" s="257"/>
      <c r="Y17" s="257"/>
      <c r="Z17" s="257"/>
      <c r="AA17" s="257"/>
      <c r="AB17" s="257"/>
      <c r="AC17" s="257"/>
      <c r="AD17" s="257"/>
      <c r="AE17" s="257"/>
      <c r="AF17" s="257"/>
      <c r="AG17" s="257"/>
      <c r="AH17" s="257"/>
      <c r="AI17" s="257"/>
      <c r="AJ17" s="257"/>
      <c r="AK17" s="257"/>
      <c r="AL17" s="257"/>
      <c r="AM17" s="257"/>
      <c r="AN17" s="257"/>
      <c r="AO17" s="257"/>
      <c r="AP17" s="257"/>
      <c r="AQ17" s="257"/>
      <c r="AR17" s="257"/>
      <c r="AS17" s="257"/>
      <c r="AT17" s="257"/>
      <c r="AU17" s="257"/>
      <c r="AV17" s="257"/>
      <c r="AW17" s="257"/>
      <c r="AX17" s="257"/>
      <c r="AY17" s="257"/>
      <c r="AZ17" s="257"/>
      <c r="BA17" s="257"/>
      <c r="BB17" s="257"/>
      <c r="BC17" s="257"/>
      <c r="BD17" s="257"/>
      <c r="BE17" s="257"/>
      <c r="BF17" s="258"/>
      <c r="BG17" s="511" t="str">
        <f t="shared" si="0"/>
        <v/>
      </c>
      <c r="BH17" s="511" t="str">
        <f t="shared" si="1"/>
        <v/>
      </c>
      <c r="BI17" s="511" t="str">
        <f t="shared" si="2"/>
        <v/>
      </c>
      <c r="BJ17" s="512" t="str">
        <f t="shared" si="3"/>
        <v/>
      </c>
      <c r="BK17" s="513" t="str">
        <f t="shared" si="4"/>
        <v/>
      </c>
      <c r="BM17" s="72"/>
      <c r="BN17" s="72"/>
      <c r="BO17" s="72"/>
    </row>
    <row r="18" spans="1:67" x14ac:dyDescent="0.25">
      <c r="A18" s="72"/>
      <c r="B18" s="82">
        <v>4</v>
      </c>
      <c r="C18" s="604" t="str">
        <f>'C. FILIACION'!C17</f>
        <v>AQUISE HINOJOSA YHAMIR FABIO</v>
      </c>
      <c r="D18" s="604"/>
      <c r="E18" s="257"/>
      <c r="F18" s="257"/>
      <c r="G18" s="257"/>
      <c r="H18" s="257"/>
      <c r="I18" s="257"/>
      <c r="J18" s="257"/>
      <c r="K18" s="257"/>
      <c r="L18" s="257"/>
      <c r="M18" s="257"/>
      <c r="N18" s="257"/>
      <c r="O18" s="257"/>
      <c r="P18" s="257"/>
      <c r="Q18" s="257"/>
      <c r="R18" s="257"/>
      <c r="S18" s="257"/>
      <c r="T18" s="257"/>
      <c r="U18" s="257"/>
      <c r="V18" s="257"/>
      <c r="W18" s="257"/>
      <c r="X18" s="257"/>
      <c r="Y18" s="257"/>
      <c r="Z18" s="257"/>
      <c r="AA18" s="257"/>
      <c r="AB18" s="257"/>
      <c r="AC18" s="257"/>
      <c r="AD18" s="257"/>
      <c r="AE18" s="257"/>
      <c r="AF18" s="257"/>
      <c r="AG18" s="257"/>
      <c r="AH18" s="257"/>
      <c r="AI18" s="257"/>
      <c r="AJ18" s="257"/>
      <c r="AK18" s="257"/>
      <c r="AL18" s="257"/>
      <c r="AM18" s="257"/>
      <c r="AN18" s="257"/>
      <c r="AO18" s="257"/>
      <c r="AP18" s="257"/>
      <c r="AQ18" s="257"/>
      <c r="AR18" s="257"/>
      <c r="AS18" s="257"/>
      <c r="AT18" s="257"/>
      <c r="AU18" s="257"/>
      <c r="AV18" s="257"/>
      <c r="AW18" s="257"/>
      <c r="AX18" s="257"/>
      <c r="AY18" s="257"/>
      <c r="AZ18" s="257"/>
      <c r="BA18" s="257"/>
      <c r="BB18" s="257"/>
      <c r="BC18" s="257"/>
      <c r="BD18" s="257"/>
      <c r="BE18" s="257"/>
      <c r="BF18" s="258"/>
      <c r="BG18" s="511" t="str">
        <f t="shared" si="0"/>
        <v/>
      </c>
      <c r="BH18" s="511" t="str">
        <f t="shared" si="1"/>
        <v/>
      </c>
      <c r="BI18" s="511" t="str">
        <f t="shared" si="2"/>
        <v/>
      </c>
      <c r="BJ18" s="512" t="str">
        <f t="shared" si="3"/>
        <v/>
      </c>
      <c r="BK18" s="513" t="str">
        <f t="shared" si="4"/>
        <v/>
      </c>
      <c r="BM18" s="72"/>
      <c r="BN18" s="72"/>
      <c r="BO18" s="72"/>
    </row>
    <row r="19" spans="1:67" x14ac:dyDescent="0.25">
      <c r="A19" s="72"/>
      <c r="B19" s="82">
        <v>5</v>
      </c>
      <c r="C19" s="604" t="str">
        <f>'C. FILIACION'!C18</f>
        <v>ARGANI  LAREDO MARIA JESUS</v>
      </c>
      <c r="D19" s="604"/>
      <c r="E19" s="257"/>
      <c r="F19" s="257"/>
      <c r="G19" s="257"/>
      <c r="H19" s="257"/>
      <c r="I19" s="257"/>
      <c r="J19" s="257"/>
      <c r="K19" s="257"/>
      <c r="L19" s="257"/>
      <c r="M19" s="257"/>
      <c r="N19" s="257"/>
      <c r="O19" s="257"/>
      <c r="P19" s="257"/>
      <c r="Q19" s="257"/>
      <c r="R19" s="257"/>
      <c r="S19" s="257"/>
      <c r="T19" s="257"/>
      <c r="U19" s="257"/>
      <c r="V19" s="257"/>
      <c r="W19" s="257"/>
      <c r="X19" s="257"/>
      <c r="Y19" s="257"/>
      <c r="Z19" s="257"/>
      <c r="AA19" s="257"/>
      <c r="AB19" s="257"/>
      <c r="AC19" s="257"/>
      <c r="AD19" s="257"/>
      <c r="AE19" s="257"/>
      <c r="AF19" s="257"/>
      <c r="AG19" s="257"/>
      <c r="AH19" s="257"/>
      <c r="AI19" s="257"/>
      <c r="AJ19" s="257"/>
      <c r="AK19" s="257"/>
      <c r="AL19" s="257"/>
      <c r="AM19" s="257"/>
      <c r="AN19" s="257"/>
      <c r="AO19" s="257"/>
      <c r="AP19" s="257"/>
      <c r="AQ19" s="257"/>
      <c r="AR19" s="257"/>
      <c r="AS19" s="257"/>
      <c r="AT19" s="257"/>
      <c r="AU19" s="257"/>
      <c r="AV19" s="257"/>
      <c r="AW19" s="257"/>
      <c r="AX19" s="257"/>
      <c r="AY19" s="257"/>
      <c r="AZ19" s="257"/>
      <c r="BA19" s="257"/>
      <c r="BB19" s="257"/>
      <c r="BC19" s="257"/>
      <c r="BD19" s="257"/>
      <c r="BE19" s="257"/>
      <c r="BF19" s="258"/>
      <c r="BG19" s="511" t="str">
        <f t="shared" si="0"/>
        <v/>
      </c>
      <c r="BH19" s="511" t="str">
        <f t="shared" si="1"/>
        <v/>
      </c>
      <c r="BI19" s="511" t="str">
        <f t="shared" si="2"/>
        <v/>
      </c>
      <c r="BJ19" s="512" t="str">
        <f t="shared" si="3"/>
        <v/>
      </c>
      <c r="BK19" s="513" t="str">
        <f t="shared" si="4"/>
        <v/>
      </c>
      <c r="BM19" s="72"/>
      <c r="BN19" s="72"/>
      <c r="BO19" s="72"/>
    </row>
    <row r="20" spans="1:67" x14ac:dyDescent="0.25">
      <c r="A20" s="72"/>
      <c r="B20" s="82">
        <v>6</v>
      </c>
      <c r="C20" s="604" t="str">
        <f>'C. FILIACION'!C19</f>
        <v>AYLLON MOLLO RONNY BRUCE</v>
      </c>
      <c r="D20" s="604"/>
      <c r="E20" s="257"/>
      <c r="F20" s="257"/>
      <c r="G20" s="257"/>
      <c r="H20" s="257"/>
      <c r="I20" s="257"/>
      <c r="J20" s="257"/>
      <c r="K20" s="257"/>
      <c r="L20" s="257"/>
      <c r="M20" s="257"/>
      <c r="N20" s="257"/>
      <c r="O20" s="257"/>
      <c r="P20" s="257"/>
      <c r="Q20" s="257"/>
      <c r="R20" s="257"/>
      <c r="S20" s="257"/>
      <c r="T20" s="257"/>
      <c r="U20" s="257"/>
      <c r="V20" s="257"/>
      <c r="W20" s="257"/>
      <c r="X20" s="257"/>
      <c r="Y20" s="257"/>
      <c r="Z20" s="257"/>
      <c r="AA20" s="257"/>
      <c r="AB20" s="257"/>
      <c r="AC20" s="257"/>
      <c r="AD20" s="257"/>
      <c r="AE20" s="257"/>
      <c r="AF20" s="257"/>
      <c r="AG20" s="257"/>
      <c r="AH20" s="257"/>
      <c r="AI20" s="257"/>
      <c r="AJ20" s="257"/>
      <c r="AK20" s="257"/>
      <c r="AL20" s="257"/>
      <c r="AM20" s="257"/>
      <c r="AN20" s="257"/>
      <c r="AO20" s="257"/>
      <c r="AP20" s="257"/>
      <c r="AQ20" s="257"/>
      <c r="AR20" s="257"/>
      <c r="AS20" s="257"/>
      <c r="AT20" s="257"/>
      <c r="AU20" s="257"/>
      <c r="AV20" s="257"/>
      <c r="AW20" s="257"/>
      <c r="AX20" s="257"/>
      <c r="AY20" s="257"/>
      <c r="AZ20" s="257"/>
      <c r="BA20" s="257"/>
      <c r="BB20" s="257"/>
      <c r="BC20" s="257"/>
      <c r="BD20" s="257"/>
      <c r="BE20" s="257"/>
      <c r="BF20" s="258"/>
      <c r="BG20" s="511" t="str">
        <f t="shared" si="0"/>
        <v/>
      </c>
      <c r="BH20" s="511" t="str">
        <f t="shared" si="1"/>
        <v/>
      </c>
      <c r="BI20" s="511" t="str">
        <f t="shared" si="2"/>
        <v/>
      </c>
      <c r="BJ20" s="512" t="str">
        <f t="shared" si="3"/>
        <v/>
      </c>
      <c r="BK20" s="513" t="str">
        <f t="shared" si="4"/>
        <v/>
      </c>
      <c r="BM20" s="72"/>
      <c r="BN20" s="72"/>
      <c r="BO20" s="72"/>
    </row>
    <row r="21" spans="1:67" x14ac:dyDescent="0.25">
      <c r="A21" s="72"/>
      <c r="B21" s="82">
        <v>7</v>
      </c>
      <c r="C21" s="604" t="str">
        <f>'C. FILIACION'!C20</f>
        <v>BALBOA  PAZ ANTHONY JR</v>
      </c>
      <c r="D21" s="604"/>
      <c r="E21" s="257"/>
      <c r="F21" s="257"/>
      <c r="G21" s="257"/>
      <c r="H21" s="257"/>
      <c r="I21" s="257"/>
      <c r="J21" s="257"/>
      <c r="K21" s="257"/>
      <c r="L21" s="257"/>
      <c r="M21" s="257"/>
      <c r="N21" s="257"/>
      <c r="O21" s="257"/>
      <c r="P21" s="257"/>
      <c r="Q21" s="257"/>
      <c r="R21" s="257"/>
      <c r="S21" s="257"/>
      <c r="T21" s="257"/>
      <c r="U21" s="257"/>
      <c r="V21" s="257"/>
      <c r="W21" s="257"/>
      <c r="X21" s="257"/>
      <c r="Y21" s="257"/>
      <c r="Z21" s="257"/>
      <c r="AA21" s="257"/>
      <c r="AB21" s="257"/>
      <c r="AC21" s="257"/>
      <c r="AD21" s="257"/>
      <c r="AE21" s="257"/>
      <c r="AF21" s="257"/>
      <c r="AG21" s="257"/>
      <c r="AH21" s="257"/>
      <c r="AI21" s="257"/>
      <c r="AJ21" s="257"/>
      <c r="AK21" s="257"/>
      <c r="AL21" s="257"/>
      <c r="AM21" s="257"/>
      <c r="AN21" s="257"/>
      <c r="AO21" s="257"/>
      <c r="AP21" s="257"/>
      <c r="AQ21" s="257"/>
      <c r="AR21" s="257"/>
      <c r="AS21" s="257"/>
      <c r="AT21" s="257"/>
      <c r="AU21" s="257"/>
      <c r="AV21" s="257"/>
      <c r="AW21" s="257"/>
      <c r="AX21" s="257"/>
      <c r="AY21" s="257"/>
      <c r="AZ21" s="257"/>
      <c r="BA21" s="257"/>
      <c r="BB21" s="257"/>
      <c r="BC21" s="257"/>
      <c r="BD21" s="257"/>
      <c r="BE21" s="257"/>
      <c r="BF21" s="258"/>
      <c r="BG21" s="511" t="str">
        <f t="shared" si="0"/>
        <v/>
      </c>
      <c r="BH21" s="511" t="str">
        <f t="shared" si="1"/>
        <v/>
      </c>
      <c r="BI21" s="511" t="str">
        <f t="shared" si="2"/>
        <v/>
      </c>
      <c r="BJ21" s="512" t="str">
        <f t="shared" si="3"/>
        <v/>
      </c>
      <c r="BK21" s="513" t="str">
        <f t="shared" si="4"/>
        <v/>
      </c>
      <c r="BM21" s="72"/>
      <c r="BN21" s="72"/>
      <c r="BO21" s="72"/>
    </row>
    <row r="22" spans="1:67" x14ac:dyDescent="0.25">
      <c r="A22" s="72"/>
      <c r="B22" s="82">
        <v>8</v>
      </c>
      <c r="C22" s="604" t="str">
        <f>'C. FILIACION'!C21</f>
        <v>CAMACHO SALGADO LEONARDO</v>
      </c>
      <c r="D22" s="604"/>
      <c r="E22" s="257"/>
      <c r="F22" s="257"/>
      <c r="G22" s="257"/>
      <c r="H22" s="257"/>
      <c r="I22" s="257"/>
      <c r="J22" s="257"/>
      <c r="K22" s="257"/>
      <c r="L22" s="257"/>
      <c r="M22" s="257"/>
      <c r="N22" s="257"/>
      <c r="O22" s="257"/>
      <c r="P22" s="257"/>
      <c r="Q22" s="257"/>
      <c r="R22" s="257"/>
      <c r="S22" s="257"/>
      <c r="T22" s="257"/>
      <c r="U22" s="257"/>
      <c r="V22" s="257"/>
      <c r="W22" s="257"/>
      <c r="X22" s="257"/>
      <c r="Y22" s="257"/>
      <c r="Z22" s="257"/>
      <c r="AA22" s="257"/>
      <c r="AB22" s="257"/>
      <c r="AC22" s="257"/>
      <c r="AD22" s="257"/>
      <c r="AE22" s="257"/>
      <c r="AF22" s="257"/>
      <c r="AG22" s="257"/>
      <c r="AH22" s="257"/>
      <c r="AI22" s="257"/>
      <c r="AJ22" s="257"/>
      <c r="AK22" s="257"/>
      <c r="AL22" s="257"/>
      <c r="AM22" s="257"/>
      <c r="AN22" s="257"/>
      <c r="AO22" s="257"/>
      <c r="AP22" s="257"/>
      <c r="AQ22" s="257"/>
      <c r="AR22" s="257"/>
      <c r="AS22" s="257"/>
      <c r="AT22" s="257"/>
      <c r="AU22" s="257"/>
      <c r="AV22" s="257"/>
      <c r="AW22" s="257"/>
      <c r="AX22" s="257"/>
      <c r="AY22" s="257"/>
      <c r="AZ22" s="257"/>
      <c r="BA22" s="257"/>
      <c r="BB22" s="257"/>
      <c r="BC22" s="257"/>
      <c r="BD22" s="257"/>
      <c r="BE22" s="257"/>
      <c r="BF22" s="258"/>
      <c r="BG22" s="511" t="str">
        <f t="shared" si="0"/>
        <v/>
      </c>
      <c r="BH22" s="511" t="str">
        <f t="shared" si="1"/>
        <v/>
      </c>
      <c r="BI22" s="511" t="str">
        <f t="shared" si="2"/>
        <v/>
      </c>
      <c r="BJ22" s="512" t="str">
        <f t="shared" si="3"/>
        <v/>
      </c>
      <c r="BK22" s="513" t="str">
        <f t="shared" si="4"/>
        <v/>
      </c>
      <c r="BM22" s="72"/>
      <c r="BN22" s="72"/>
      <c r="BO22" s="72"/>
    </row>
    <row r="23" spans="1:67" x14ac:dyDescent="0.25">
      <c r="A23" s="72"/>
      <c r="B23" s="82">
        <v>9</v>
      </c>
      <c r="C23" s="604" t="str">
        <f>'C. FILIACION'!C22</f>
        <v>CARRION MARGUAY FABIANA ALEXANDRA</v>
      </c>
      <c r="D23" s="604"/>
      <c r="E23" s="257"/>
      <c r="F23" s="257"/>
      <c r="G23" s="257"/>
      <c r="H23" s="257"/>
      <c r="I23" s="257"/>
      <c r="J23" s="257"/>
      <c r="K23" s="257"/>
      <c r="L23" s="257"/>
      <c r="M23" s="257"/>
      <c r="N23" s="257"/>
      <c r="O23" s="257"/>
      <c r="P23" s="257"/>
      <c r="Q23" s="257"/>
      <c r="R23" s="257"/>
      <c r="S23" s="257"/>
      <c r="T23" s="257"/>
      <c r="U23" s="257"/>
      <c r="V23" s="257"/>
      <c r="W23" s="257"/>
      <c r="X23" s="257"/>
      <c r="Y23" s="257"/>
      <c r="Z23" s="257"/>
      <c r="AA23" s="257"/>
      <c r="AB23" s="257"/>
      <c r="AC23" s="257"/>
      <c r="AD23" s="257"/>
      <c r="AE23" s="257"/>
      <c r="AF23" s="257"/>
      <c r="AG23" s="257"/>
      <c r="AH23" s="257"/>
      <c r="AI23" s="257"/>
      <c r="AJ23" s="257"/>
      <c r="AK23" s="257"/>
      <c r="AL23" s="257"/>
      <c r="AM23" s="257"/>
      <c r="AN23" s="257"/>
      <c r="AO23" s="257"/>
      <c r="AP23" s="257"/>
      <c r="AQ23" s="257"/>
      <c r="AR23" s="257"/>
      <c r="AS23" s="257"/>
      <c r="AT23" s="257"/>
      <c r="AU23" s="257"/>
      <c r="AV23" s="257"/>
      <c r="AW23" s="257"/>
      <c r="AX23" s="257"/>
      <c r="AY23" s="257"/>
      <c r="AZ23" s="257"/>
      <c r="BA23" s="257"/>
      <c r="BB23" s="257"/>
      <c r="BC23" s="257"/>
      <c r="BD23" s="257"/>
      <c r="BE23" s="257"/>
      <c r="BF23" s="258"/>
      <c r="BG23" s="511" t="str">
        <f t="shared" si="0"/>
        <v/>
      </c>
      <c r="BH23" s="511" t="str">
        <f t="shared" si="1"/>
        <v/>
      </c>
      <c r="BI23" s="511" t="str">
        <f t="shared" si="2"/>
        <v/>
      </c>
      <c r="BJ23" s="512" t="str">
        <f t="shared" si="3"/>
        <v/>
      </c>
      <c r="BK23" s="513" t="str">
        <f t="shared" si="4"/>
        <v/>
      </c>
      <c r="BM23" s="72"/>
      <c r="BN23" s="72"/>
      <c r="BO23" s="72"/>
    </row>
    <row r="24" spans="1:67" x14ac:dyDescent="0.25">
      <c r="A24" s="72"/>
      <c r="B24" s="82">
        <v>10</v>
      </c>
      <c r="C24" s="604" t="str">
        <f>'C. FILIACION'!C23</f>
        <v>CAYO CALLE JUAN PABLO</v>
      </c>
      <c r="D24" s="604"/>
      <c r="E24" s="257"/>
      <c r="F24" s="257"/>
      <c r="G24" s="257"/>
      <c r="H24" s="257"/>
      <c r="I24" s="257"/>
      <c r="J24" s="257"/>
      <c r="K24" s="257"/>
      <c r="L24" s="257"/>
      <c r="M24" s="257"/>
      <c r="N24" s="257"/>
      <c r="O24" s="257"/>
      <c r="P24" s="257"/>
      <c r="Q24" s="257"/>
      <c r="R24" s="257"/>
      <c r="S24" s="257"/>
      <c r="T24" s="257"/>
      <c r="U24" s="257"/>
      <c r="V24" s="257"/>
      <c r="W24" s="257"/>
      <c r="X24" s="257"/>
      <c r="Y24" s="257"/>
      <c r="Z24" s="257"/>
      <c r="AA24" s="257"/>
      <c r="AB24" s="257"/>
      <c r="AC24" s="257"/>
      <c r="AD24" s="257"/>
      <c r="AE24" s="257"/>
      <c r="AF24" s="257"/>
      <c r="AG24" s="257"/>
      <c r="AH24" s="257"/>
      <c r="AI24" s="257"/>
      <c r="AJ24" s="257"/>
      <c r="AK24" s="257"/>
      <c r="AL24" s="257"/>
      <c r="AM24" s="257"/>
      <c r="AN24" s="257"/>
      <c r="AO24" s="257"/>
      <c r="AP24" s="257"/>
      <c r="AQ24" s="257"/>
      <c r="AR24" s="257"/>
      <c r="AS24" s="257"/>
      <c r="AT24" s="257"/>
      <c r="AU24" s="257"/>
      <c r="AV24" s="257"/>
      <c r="AW24" s="257"/>
      <c r="AX24" s="257"/>
      <c r="AY24" s="257"/>
      <c r="AZ24" s="257"/>
      <c r="BA24" s="257"/>
      <c r="BB24" s="257"/>
      <c r="BC24" s="257"/>
      <c r="BD24" s="257"/>
      <c r="BE24" s="257"/>
      <c r="BF24" s="258"/>
      <c r="BG24" s="511" t="str">
        <f t="shared" si="0"/>
        <v/>
      </c>
      <c r="BH24" s="511" t="str">
        <f t="shared" si="1"/>
        <v/>
      </c>
      <c r="BI24" s="511" t="str">
        <f t="shared" si="2"/>
        <v/>
      </c>
      <c r="BJ24" s="512" t="str">
        <f t="shared" si="3"/>
        <v/>
      </c>
      <c r="BK24" s="513" t="str">
        <f t="shared" si="4"/>
        <v/>
      </c>
      <c r="BM24" s="72"/>
      <c r="BN24" s="72"/>
      <c r="BO24" s="72"/>
    </row>
    <row r="25" spans="1:67" x14ac:dyDescent="0.25">
      <c r="A25" s="72"/>
      <c r="B25" s="82">
        <v>11</v>
      </c>
      <c r="C25" s="604" t="str">
        <f>'C. FILIACION'!C24</f>
        <v>CONDE ZARATE ASHLY OTHANY</v>
      </c>
      <c r="D25" s="604"/>
      <c r="E25" s="257"/>
      <c r="F25" s="257"/>
      <c r="G25" s="257"/>
      <c r="H25" s="257"/>
      <c r="I25" s="257"/>
      <c r="J25" s="257"/>
      <c r="K25" s="257"/>
      <c r="L25" s="257"/>
      <c r="M25" s="257"/>
      <c r="N25" s="257"/>
      <c r="O25" s="257"/>
      <c r="P25" s="257"/>
      <c r="Q25" s="257"/>
      <c r="R25" s="257"/>
      <c r="S25" s="257"/>
      <c r="T25" s="257"/>
      <c r="U25" s="257"/>
      <c r="V25" s="257"/>
      <c r="W25" s="257"/>
      <c r="X25" s="257"/>
      <c r="Y25" s="257"/>
      <c r="Z25" s="257"/>
      <c r="AA25" s="257"/>
      <c r="AB25" s="257"/>
      <c r="AC25" s="257"/>
      <c r="AD25" s="257"/>
      <c r="AE25" s="257"/>
      <c r="AF25" s="257"/>
      <c r="AG25" s="257"/>
      <c r="AH25" s="257"/>
      <c r="AI25" s="257"/>
      <c r="AJ25" s="257"/>
      <c r="AK25" s="257"/>
      <c r="AL25" s="257"/>
      <c r="AM25" s="257"/>
      <c r="AN25" s="257"/>
      <c r="AO25" s="257"/>
      <c r="AP25" s="257"/>
      <c r="AQ25" s="257"/>
      <c r="AR25" s="257"/>
      <c r="AS25" s="257"/>
      <c r="AT25" s="257"/>
      <c r="AU25" s="257"/>
      <c r="AV25" s="257"/>
      <c r="AW25" s="257"/>
      <c r="AX25" s="257"/>
      <c r="AY25" s="257"/>
      <c r="AZ25" s="257"/>
      <c r="BA25" s="257"/>
      <c r="BB25" s="257"/>
      <c r="BC25" s="257"/>
      <c r="BD25" s="257"/>
      <c r="BE25" s="257"/>
      <c r="BF25" s="258"/>
      <c r="BG25" s="511" t="str">
        <f t="shared" si="0"/>
        <v/>
      </c>
      <c r="BH25" s="511" t="str">
        <f t="shared" si="1"/>
        <v/>
      </c>
      <c r="BI25" s="511" t="str">
        <f t="shared" si="2"/>
        <v/>
      </c>
      <c r="BJ25" s="512" t="str">
        <f t="shared" si="3"/>
        <v/>
      </c>
      <c r="BK25" s="513" t="str">
        <f t="shared" si="4"/>
        <v/>
      </c>
      <c r="BM25" s="72"/>
      <c r="BN25" s="72"/>
      <c r="BO25" s="72"/>
    </row>
    <row r="26" spans="1:67" x14ac:dyDescent="0.25">
      <c r="A26" s="72"/>
      <c r="B26" s="82">
        <v>12</v>
      </c>
      <c r="C26" s="604" t="str">
        <f>'C. FILIACION'!C25</f>
        <v>CORTEZ RODRIGUEZ  GONZALO AXCELL</v>
      </c>
      <c r="D26" s="604"/>
      <c r="E26" s="257"/>
      <c r="F26" s="257"/>
      <c r="G26" s="257"/>
      <c r="H26" s="257"/>
      <c r="I26" s="257"/>
      <c r="J26" s="257"/>
      <c r="K26" s="257"/>
      <c r="L26" s="257"/>
      <c r="M26" s="257"/>
      <c r="N26" s="257"/>
      <c r="O26" s="257"/>
      <c r="P26" s="257"/>
      <c r="Q26" s="257"/>
      <c r="R26" s="257"/>
      <c r="S26" s="257"/>
      <c r="T26" s="257"/>
      <c r="U26" s="257"/>
      <c r="V26" s="257"/>
      <c r="W26" s="257"/>
      <c r="X26" s="257"/>
      <c r="Y26" s="257"/>
      <c r="Z26" s="257"/>
      <c r="AA26" s="257"/>
      <c r="AB26" s="257"/>
      <c r="AC26" s="257"/>
      <c r="AD26" s="257"/>
      <c r="AE26" s="257"/>
      <c r="AF26" s="257"/>
      <c r="AG26" s="257"/>
      <c r="AH26" s="257"/>
      <c r="AI26" s="257"/>
      <c r="AJ26" s="257"/>
      <c r="AK26" s="257"/>
      <c r="AL26" s="257"/>
      <c r="AM26" s="257"/>
      <c r="AN26" s="257"/>
      <c r="AO26" s="257"/>
      <c r="AP26" s="257"/>
      <c r="AQ26" s="257"/>
      <c r="AR26" s="257"/>
      <c r="AS26" s="257"/>
      <c r="AT26" s="257"/>
      <c r="AU26" s="257"/>
      <c r="AV26" s="257"/>
      <c r="AW26" s="257"/>
      <c r="AX26" s="257"/>
      <c r="AY26" s="257"/>
      <c r="AZ26" s="257"/>
      <c r="BA26" s="257"/>
      <c r="BB26" s="257"/>
      <c r="BC26" s="257"/>
      <c r="BD26" s="257"/>
      <c r="BE26" s="257"/>
      <c r="BF26" s="258"/>
      <c r="BG26" s="511" t="str">
        <f t="shared" si="0"/>
        <v/>
      </c>
      <c r="BH26" s="511" t="str">
        <f t="shared" si="1"/>
        <v/>
      </c>
      <c r="BI26" s="511" t="str">
        <f t="shared" si="2"/>
        <v/>
      </c>
      <c r="BJ26" s="512" t="str">
        <f t="shared" si="3"/>
        <v/>
      </c>
      <c r="BK26" s="513" t="str">
        <f t="shared" si="4"/>
        <v/>
      </c>
      <c r="BM26" s="72"/>
      <c r="BN26" s="72"/>
      <c r="BO26" s="72"/>
    </row>
    <row r="27" spans="1:67" x14ac:dyDescent="0.25">
      <c r="A27" s="72"/>
      <c r="B27" s="82">
        <v>13</v>
      </c>
      <c r="C27" s="604" t="str">
        <f>'C. FILIACION'!C26</f>
        <v>HILAYA  TORREZ CARLA JHULIANA</v>
      </c>
      <c r="D27" s="604"/>
      <c r="E27" s="257"/>
      <c r="F27" s="257"/>
      <c r="G27" s="257"/>
      <c r="H27" s="257"/>
      <c r="I27" s="257"/>
      <c r="J27" s="257"/>
      <c r="K27" s="257"/>
      <c r="L27" s="257"/>
      <c r="M27" s="257"/>
      <c r="N27" s="257"/>
      <c r="O27" s="257"/>
      <c r="P27" s="257"/>
      <c r="Q27" s="257"/>
      <c r="R27" s="257"/>
      <c r="S27" s="257"/>
      <c r="T27" s="257"/>
      <c r="U27" s="257"/>
      <c r="V27" s="257"/>
      <c r="W27" s="257"/>
      <c r="X27" s="257"/>
      <c r="Y27" s="257"/>
      <c r="Z27" s="257"/>
      <c r="AA27" s="257"/>
      <c r="AB27" s="257"/>
      <c r="AC27" s="257"/>
      <c r="AD27" s="257"/>
      <c r="AE27" s="257"/>
      <c r="AF27" s="257"/>
      <c r="AG27" s="257"/>
      <c r="AH27" s="257"/>
      <c r="AI27" s="257"/>
      <c r="AJ27" s="257"/>
      <c r="AK27" s="257"/>
      <c r="AL27" s="257"/>
      <c r="AM27" s="257"/>
      <c r="AN27" s="257"/>
      <c r="AO27" s="257"/>
      <c r="AP27" s="257"/>
      <c r="AQ27" s="257"/>
      <c r="AR27" s="257"/>
      <c r="AS27" s="257"/>
      <c r="AT27" s="257"/>
      <c r="AU27" s="257"/>
      <c r="AV27" s="257"/>
      <c r="AW27" s="257"/>
      <c r="AX27" s="257"/>
      <c r="AY27" s="257"/>
      <c r="AZ27" s="257"/>
      <c r="BA27" s="257"/>
      <c r="BB27" s="257"/>
      <c r="BC27" s="257"/>
      <c r="BD27" s="257"/>
      <c r="BE27" s="257"/>
      <c r="BF27" s="258"/>
      <c r="BG27" s="511" t="str">
        <f t="shared" si="0"/>
        <v/>
      </c>
      <c r="BH27" s="511" t="str">
        <f t="shared" si="1"/>
        <v/>
      </c>
      <c r="BI27" s="511" t="str">
        <f t="shared" si="2"/>
        <v/>
      </c>
      <c r="BJ27" s="512" t="str">
        <f t="shared" si="3"/>
        <v/>
      </c>
      <c r="BK27" s="513" t="str">
        <f t="shared" si="4"/>
        <v/>
      </c>
      <c r="BM27" s="72"/>
      <c r="BN27" s="72"/>
      <c r="BO27" s="72"/>
    </row>
    <row r="28" spans="1:67" x14ac:dyDescent="0.25">
      <c r="A28" s="72"/>
      <c r="B28" s="82">
        <v>14</v>
      </c>
      <c r="C28" s="604" t="str">
        <f>'C. FILIACION'!C27</f>
        <v>HUANCA CALLISAYA  PATRICIA</v>
      </c>
      <c r="D28" s="604"/>
      <c r="E28" s="257"/>
      <c r="F28" s="257"/>
      <c r="G28" s="257"/>
      <c r="H28" s="257"/>
      <c r="I28" s="257"/>
      <c r="J28" s="257"/>
      <c r="K28" s="257"/>
      <c r="L28" s="257"/>
      <c r="M28" s="257"/>
      <c r="N28" s="257"/>
      <c r="O28" s="257"/>
      <c r="P28" s="257"/>
      <c r="Q28" s="257"/>
      <c r="R28" s="257"/>
      <c r="S28" s="257"/>
      <c r="T28" s="257"/>
      <c r="U28" s="257"/>
      <c r="V28" s="257"/>
      <c r="W28" s="257"/>
      <c r="X28" s="257"/>
      <c r="Y28" s="257"/>
      <c r="Z28" s="257"/>
      <c r="AA28" s="257"/>
      <c r="AB28" s="257"/>
      <c r="AC28" s="257"/>
      <c r="AD28" s="257"/>
      <c r="AE28" s="257"/>
      <c r="AF28" s="257"/>
      <c r="AG28" s="257"/>
      <c r="AH28" s="257"/>
      <c r="AI28" s="257"/>
      <c r="AJ28" s="257"/>
      <c r="AK28" s="257"/>
      <c r="AL28" s="257"/>
      <c r="AM28" s="257"/>
      <c r="AN28" s="257"/>
      <c r="AO28" s="257"/>
      <c r="AP28" s="257"/>
      <c r="AQ28" s="257"/>
      <c r="AR28" s="257"/>
      <c r="AS28" s="257"/>
      <c r="AT28" s="257"/>
      <c r="AU28" s="257"/>
      <c r="AV28" s="257"/>
      <c r="AW28" s="257"/>
      <c r="AX28" s="257"/>
      <c r="AY28" s="257"/>
      <c r="AZ28" s="257"/>
      <c r="BA28" s="257"/>
      <c r="BB28" s="257"/>
      <c r="BC28" s="257"/>
      <c r="BD28" s="257"/>
      <c r="BE28" s="257"/>
      <c r="BF28" s="258"/>
      <c r="BG28" s="511" t="str">
        <f t="shared" si="0"/>
        <v/>
      </c>
      <c r="BH28" s="511" t="str">
        <f t="shared" si="1"/>
        <v/>
      </c>
      <c r="BI28" s="511" t="str">
        <f t="shared" si="2"/>
        <v/>
      </c>
      <c r="BJ28" s="512" t="str">
        <f t="shared" si="3"/>
        <v/>
      </c>
      <c r="BK28" s="513" t="str">
        <f t="shared" si="4"/>
        <v/>
      </c>
      <c r="BM28" s="72"/>
      <c r="BN28" s="72"/>
      <c r="BO28" s="72"/>
    </row>
    <row r="29" spans="1:67" x14ac:dyDescent="0.25">
      <c r="A29" s="72"/>
      <c r="B29" s="82">
        <v>15</v>
      </c>
      <c r="C29" s="604" t="str">
        <f>'C. FILIACION'!C28</f>
        <v>LIMACHI RADA GERMAN DOMINGO</v>
      </c>
      <c r="D29" s="604"/>
      <c r="E29" s="257"/>
      <c r="F29" s="257"/>
      <c r="G29" s="257"/>
      <c r="H29" s="257"/>
      <c r="I29" s="257"/>
      <c r="J29" s="257"/>
      <c r="K29" s="257"/>
      <c r="L29" s="257"/>
      <c r="M29" s="257"/>
      <c r="N29" s="257"/>
      <c r="O29" s="257"/>
      <c r="P29" s="257"/>
      <c r="Q29" s="257"/>
      <c r="R29" s="257"/>
      <c r="S29" s="257"/>
      <c r="T29" s="257"/>
      <c r="U29" s="257"/>
      <c r="V29" s="257"/>
      <c r="W29" s="257"/>
      <c r="X29" s="257"/>
      <c r="Y29" s="257"/>
      <c r="Z29" s="257"/>
      <c r="AA29" s="257"/>
      <c r="AB29" s="257"/>
      <c r="AC29" s="257"/>
      <c r="AD29" s="257"/>
      <c r="AE29" s="257"/>
      <c r="AF29" s="257"/>
      <c r="AG29" s="257"/>
      <c r="AH29" s="257"/>
      <c r="AI29" s="257"/>
      <c r="AJ29" s="257"/>
      <c r="AK29" s="257"/>
      <c r="AL29" s="257"/>
      <c r="AM29" s="257"/>
      <c r="AN29" s="257"/>
      <c r="AO29" s="257"/>
      <c r="AP29" s="257"/>
      <c r="AQ29" s="257"/>
      <c r="AR29" s="257"/>
      <c r="AS29" s="257"/>
      <c r="AT29" s="257"/>
      <c r="AU29" s="257"/>
      <c r="AV29" s="257"/>
      <c r="AW29" s="257"/>
      <c r="AX29" s="257"/>
      <c r="AY29" s="257"/>
      <c r="AZ29" s="257"/>
      <c r="BA29" s="257"/>
      <c r="BB29" s="257"/>
      <c r="BC29" s="257"/>
      <c r="BD29" s="257"/>
      <c r="BE29" s="257"/>
      <c r="BF29" s="258"/>
      <c r="BG29" s="511" t="str">
        <f t="shared" si="0"/>
        <v/>
      </c>
      <c r="BH29" s="511" t="str">
        <f t="shared" si="1"/>
        <v/>
      </c>
      <c r="BI29" s="511" t="str">
        <f t="shared" si="2"/>
        <v/>
      </c>
      <c r="BJ29" s="512" t="str">
        <f t="shared" si="3"/>
        <v/>
      </c>
      <c r="BK29" s="513" t="str">
        <f t="shared" si="4"/>
        <v/>
      </c>
      <c r="BM29" s="72"/>
      <c r="BN29" s="72"/>
      <c r="BO29" s="72"/>
    </row>
    <row r="30" spans="1:67" x14ac:dyDescent="0.25">
      <c r="A30" s="72"/>
      <c r="B30" s="82">
        <v>16</v>
      </c>
      <c r="C30" s="604" t="str">
        <f>'C. FILIACION'!C29</f>
        <v>MANTILLA SANCHEZ CAROLINA VALERIA</v>
      </c>
      <c r="D30" s="604"/>
      <c r="E30" s="257"/>
      <c r="F30" s="257"/>
      <c r="G30" s="257"/>
      <c r="H30" s="257"/>
      <c r="I30" s="257"/>
      <c r="J30" s="257"/>
      <c r="K30" s="257"/>
      <c r="L30" s="257"/>
      <c r="M30" s="257"/>
      <c r="N30" s="257"/>
      <c r="O30" s="257"/>
      <c r="P30" s="257"/>
      <c r="Q30" s="257"/>
      <c r="R30" s="257"/>
      <c r="S30" s="257"/>
      <c r="T30" s="257"/>
      <c r="U30" s="257"/>
      <c r="V30" s="257"/>
      <c r="W30" s="257"/>
      <c r="X30" s="257"/>
      <c r="Y30" s="257"/>
      <c r="Z30" s="257"/>
      <c r="AA30" s="257"/>
      <c r="AB30" s="257"/>
      <c r="AC30" s="257"/>
      <c r="AD30" s="257"/>
      <c r="AE30" s="257"/>
      <c r="AF30" s="257"/>
      <c r="AG30" s="257"/>
      <c r="AH30" s="257"/>
      <c r="AI30" s="257"/>
      <c r="AJ30" s="257"/>
      <c r="AK30" s="257"/>
      <c r="AL30" s="257"/>
      <c r="AM30" s="257"/>
      <c r="AN30" s="257"/>
      <c r="AO30" s="257"/>
      <c r="AP30" s="257"/>
      <c r="AQ30" s="257"/>
      <c r="AR30" s="257"/>
      <c r="AS30" s="257"/>
      <c r="AT30" s="257"/>
      <c r="AU30" s="257"/>
      <c r="AV30" s="257"/>
      <c r="AW30" s="257"/>
      <c r="AX30" s="257"/>
      <c r="AY30" s="257"/>
      <c r="AZ30" s="257"/>
      <c r="BA30" s="257"/>
      <c r="BB30" s="257"/>
      <c r="BC30" s="257"/>
      <c r="BD30" s="257"/>
      <c r="BE30" s="257"/>
      <c r="BF30" s="258"/>
      <c r="BG30" s="511" t="str">
        <f t="shared" si="0"/>
        <v/>
      </c>
      <c r="BH30" s="511" t="str">
        <f t="shared" si="1"/>
        <v/>
      </c>
      <c r="BI30" s="511" t="str">
        <f t="shared" si="2"/>
        <v/>
      </c>
      <c r="BJ30" s="512" t="str">
        <f t="shared" si="3"/>
        <v/>
      </c>
      <c r="BK30" s="513" t="str">
        <f t="shared" si="4"/>
        <v/>
      </c>
      <c r="BM30" s="72"/>
      <c r="BN30" s="72"/>
      <c r="BO30" s="72"/>
    </row>
    <row r="31" spans="1:67" x14ac:dyDescent="0.25">
      <c r="A31" s="72"/>
      <c r="B31" s="82">
        <v>17</v>
      </c>
      <c r="C31" s="604" t="str">
        <f>'C. FILIACION'!C30</f>
        <v>MULLER  ESCOBAR MARCIA BIBIANA</v>
      </c>
      <c r="D31" s="604"/>
      <c r="E31" s="257"/>
      <c r="F31" s="257"/>
      <c r="G31" s="257"/>
      <c r="H31" s="257"/>
      <c r="I31" s="257"/>
      <c r="J31" s="257"/>
      <c r="K31" s="257"/>
      <c r="L31" s="257"/>
      <c r="M31" s="257"/>
      <c r="N31" s="257"/>
      <c r="O31" s="257"/>
      <c r="P31" s="257"/>
      <c r="Q31" s="257"/>
      <c r="R31" s="257"/>
      <c r="S31" s="257"/>
      <c r="T31" s="257"/>
      <c r="U31" s="257"/>
      <c r="V31" s="257"/>
      <c r="W31" s="257"/>
      <c r="X31" s="257"/>
      <c r="Y31" s="257"/>
      <c r="Z31" s="257"/>
      <c r="AA31" s="257"/>
      <c r="AB31" s="257"/>
      <c r="AC31" s="257"/>
      <c r="AD31" s="257"/>
      <c r="AE31" s="257"/>
      <c r="AF31" s="257"/>
      <c r="AG31" s="257"/>
      <c r="AH31" s="257"/>
      <c r="AI31" s="257"/>
      <c r="AJ31" s="257"/>
      <c r="AK31" s="257"/>
      <c r="AL31" s="257"/>
      <c r="AM31" s="257"/>
      <c r="AN31" s="257"/>
      <c r="AO31" s="257"/>
      <c r="AP31" s="257"/>
      <c r="AQ31" s="257"/>
      <c r="AR31" s="257"/>
      <c r="AS31" s="257"/>
      <c r="AT31" s="257"/>
      <c r="AU31" s="257"/>
      <c r="AV31" s="257"/>
      <c r="AW31" s="257"/>
      <c r="AX31" s="257"/>
      <c r="AY31" s="257"/>
      <c r="AZ31" s="257"/>
      <c r="BA31" s="257"/>
      <c r="BB31" s="257"/>
      <c r="BC31" s="257"/>
      <c r="BD31" s="257"/>
      <c r="BE31" s="257"/>
      <c r="BF31" s="258"/>
      <c r="BG31" s="511" t="str">
        <f t="shared" si="0"/>
        <v/>
      </c>
      <c r="BH31" s="511" t="str">
        <f t="shared" si="1"/>
        <v/>
      </c>
      <c r="BI31" s="511" t="str">
        <f t="shared" si="2"/>
        <v/>
      </c>
      <c r="BJ31" s="512" t="str">
        <f t="shared" si="3"/>
        <v/>
      </c>
      <c r="BK31" s="513" t="str">
        <f t="shared" si="4"/>
        <v/>
      </c>
      <c r="BM31" s="72"/>
      <c r="BN31" s="72"/>
      <c r="BO31" s="72"/>
    </row>
    <row r="32" spans="1:67" x14ac:dyDescent="0.25">
      <c r="A32" s="72"/>
      <c r="B32" s="82">
        <v>18</v>
      </c>
      <c r="C32" s="604" t="str">
        <f>'C. FILIACION'!C31</f>
        <v xml:space="preserve">POMA MAMANI ADRIAN </v>
      </c>
      <c r="D32" s="604"/>
      <c r="E32" s="257"/>
      <c r="F32" s="257"/>
      <c r="G32" s="257"/>
      <c r="H32" s="257"/>
      <c r="I32" s="257"/>
      <c r="J32" s="257"/>
      <c r="K32" s="257"/>
      <c r="L32" s="257"/>
      <c r="M32" s="257"/>
      <c r="N32" s="257"/>
      <c r="O32" s="257"/>
      <c r="P32" s="257"/>
      <c r="Q32" s="257"/>
      <c r="R32" s="257"/>
      <c r="S32" s="257"/>
      <c r="T32" s="257"/>
      <c r="U32" s="257"/>
      <c r="V32" s="257"/>
      <c r="W32" s="257"/>
      <c r="X32" s="257"/>
      <c r="Y32" s="257"/>
      <c r="Z32" s="257"/>
      <c r="AA32" s="257"/>
      <c r="AB32" s="257"/>
      <c r="AC32" s="257"/>
      <c r="AD32" s="257"/>
      <c r="AE32" s="257"/>
      <c r="AF32" s="257"/>
      <c r="AG32" s="257"/>
      <c r="AH32" s="257"/>
      <c r="AI32" s="257"/>
      <c r="AJ32" s="257"/>
      <c r="AK32" s="257"/>
      <c r="AL32" s="257"/>
      <c r="AM32" s="257"/>
      <c r="AN32" s="257"/>
      <c r="AO32" s="257"/>
      <c r="AP32" s="257"/>
      <c r="AQ32" s="257"/>
      <c r="AR32" s="257"/>
      <c r="AS32" s="257"/>
      <c r="AT32" s="257"/>
      <c r="AU32" s="257"/>
      <c r="AV32" s="257"/>
      <c r="AW32" s="257"/>
      <c r="AX32" s="257"/>
      <c r="AY32" s="257"/>
      <c r="AZ32" s="257"/>
      <c r="BA32" s="257"/>
      <c r="BB32" s="257"/>
      <c r="BC32" s="257"/>
      <c r="BD32" s="257"/>
      <c r="BE32" s="257"/>
      <c r="BF32" s="258"/>
      <c r="BG32" s="511" t="str">
        <f t="shared" si="0"/>
        <v/>
      </c>
      <c r="BH32" s="511" t="str">
        <f t="shared" si="1"/>
        <v/>
      </c>
      <c r="BI32" s="511" t="str">
        <f t="shared" si="2"/>
        <v/>
      </c>
      <c r="BJ32" s="512" t="str">
        <f t="shared" si="3"/>
        <v/>
      </c>
      <c r="BK32" s="513" t="str">
        <f t="shared" si="4"/>
        <v/>
      </c>
      <c r="BM32" s="72"/>
      <c r="BN32" s="72"/>
      <c r="BO32" s="72"/>
    </row>
    <row r="33" spans="1:67" x14ac:dyDescent="0.25">
      <c r="A33" s="72"/>
      <c r="B33" s="82">
        <v>19</v>
      </c>
      <c r="C33" s="604" t="str">
        <f>'C. FILIACION'!C32</f>
        <v>PORTILLO  JALJA JHOSEP ERLAN</v>
      </c>
      <c r="D33" s="604"/>
      <c r="E33" s="257"/>
      <c r="F33" s="257"/>
      <c r="G33" s="257"/>
      <c r="H33" s="257"/>
      <c r="I33" s="257"/>
      <c r="J33" s="257"/>
      <c r="K33" s="257"/>
      <c r="L33" s="257"/>
      <c r="M33" s="257"/>
      <c r="N33" s="257"/>
      <c r="O33" s="257"/>
      <c r="P33" s="257"/>
      <c r="Q33" s="257"/>
      <c r="R33" s="257"/>
      <c r="S33" s="257"/>
      <c r="T33" s="257"/>
      <c r="U33" s="257"/>
      <c r="V33" s="257"/>
      <c r="W33" s="257"/>
      <c r="X33" s="257"/>
      <c r="Y33" s="257"/>
      <c r="Z33" s="257"/>
      <c r="AA33" s="257"/>
      <c r="AB33" s="257"/>
      <c r="AC33" s="257"/>
      <c r="AD33" s="257"/>
      <c r="AE33" s="257"/>
      <c r="AF33" s="257"/>
      <c r="AG33" s="257"/>
      <c r="AH33" s="257"/>
      <c r="AI33" s="257"/>
      <c r="AJ33" s="257"/>
      <c r="AK33" s="257"/>
      <c r="AL33" s="257"/>
      <c r="AM33" s="257"/>
      <c r="AN33" s="257"/>
      <c r="AO33" s="257"/>
      <c r="AP33" s="257"/>
      <c r="AQ33" s="257"/>
      <c r="AR33" s="257"/>
      <c r="AS33" s="257"/>
      <c r="AT33" s="257"/>
      <c r="AU33" s="257"/>
      <c r="AV33" s="257"/>
      <c r="AW33" s="257"/>
      <c r="AX33" s="257"/>
      <c r="AY33" s="257"/>
      <c r="AZ33" s="257"/>
      <c r="BA33" s="257"/>
      <c r="BB33" s="257"/>
      <c r="BC33" s="257"/>
      <c r="BD33" s="257"/>
      <c r="BE33" s="257"/>
      <c r="BF33" s="258"/>
      <c r="BG33" s="511" t="str">
        <f t="shared" si="0"/>
        <v/>
      </c>
      <c r="BH33" s="511" t="str">
        <f t="shared" si="1"/>
        <v/>
      </c>
      <c r="BI33" s="511" t="str">
        <f t="shared" si="2"/>
        <v/>
      </c>
      <c r="BJ33" s="512" t="str">
        <f t="shared" si="3"/>
        <v/>
      </c>
      <c r="BK33" s="513" t="str">
        <f t="shared" si="4"/>
        <v/>
      </c>
      <c r="BM33" s="72"/>
      <c r="BN33" s="72"/>
      <c r="BO33" s="72"/>
    </row>
    <row r="34" spans="1:67" x14ac:dyDescent="0.25">
      <c r="A34" s="72"/>
      <c r="B34" s="82">
        <v>20</v>
      </c>
      <c r="C34" s="604" t="str">
        <f>'C. FILIACION'!C33</f>
        <v>PUJRO  CHAUCA DIANA MARIBEL</v>
      </c>
      <c r="D34" s="604"/>
      <c r="E34" s="257"/>
      <c r="F34" s="257"/>
      <c r="G34" s="257"/>
      <c r="H34" s="257"/>
      <c r="I34" s="257"/>
      <c r="J34" s="257"/>
      <c r="K34" s="257"/>
      <c r="L34" s="257"/>
      <c r="M34" s="257"/>
      <c r="N34" s="257"/>
      <c r="O34" s="257"/>
      <c r="P34" s="257"/>
      <c r="Q34" s="257"/>
      <c r="R34" s="257"/>
      <c r="S34" s="257"/>
      <c r="T34" s="257"/>
      <c r="U34" s="257"/>
      <c r="V34" s="257"/>
      <c r="W34" s="257"/>
      <c r="X34" s="257"/>
      <c r="Y34" s="257"/>
      <c r="Z34" s="257"/>
      <c r="AA34" s="257"/>
      <c r="AB34" s="257"/>
      <c r="AC34" s="257"/>
      <c r="AD34" s="257"/>
      <c r="AE34" s="257"/>
      <c r="AF34" s="257"/>
      <c r="AG34" s="257"/>
      <c r="AH34" s="257"/>
      <c r="AI34" s="257"/>
      <c r="AJ34" s="257"/>
      <c r="AK34" s="257"/>
      <c r="AL34" s="257"/>
      <c r="AM34" s="257"/>
      <c r="AN34" s="257"/>
      <c r="AO34" s="257"/>
      <c r="AP34" s="257"/>
      <c r="AQ34" s="257"/>
      <c r="AR34" s="257"/>
      <c r="AS34" s="257"/>
      <c r="AT34" s="257"/>
      <c r="AU34" s="257"/>
      <c r="AV34" s="257"/>
      <c r="AW34" s="257"/>
      <c r="AX34" s="257"/>
      <c r="AY34" s="257"/>
      <c r="AZ34" s="257"/>
      <c r="BA34" s="257"/>
      <c r="BB34" s="257"/>
      <c r="BC34" s="257"/>
      <c r="BD34" s="257"/>
      <c r="BE34" s="257"/>
      <c r="BF34" s="258"/>
      <c r="BG34" s="511" t="str">
        <f t="shared" si="0"/>
        <v/>
      </c>
      <c r="BH34" s="511" t="str">
        <f t="shared" si="1"/>
        <v/>
      </c>
      <c r="BI34" s="511" t="str">
        <f t="shared" si="2"/>
        <v/>
      </c>
      <c r="BJ34" s="512" t="str">
        <f t="shared" si="3"/>
        <v/>
      </c>
      <c r="BK34" s="513" t="str">
        <f t="shared" si="4"/>
        <v/>
      </c>
      <c r="BM34" s="72"/>
      <c r="BN34" s="72"/>
      <c r="BO34" s="72"/>
    </row>
    <row r="35" spans="1:67" x14ac:dyDescent="0.25">
      <c r="A35" s="72"/>
      <c r="B35" s="82">
        <v>21</v>
      </c>
      <c r="C35" s="604" t="str">
        <f>'C. FILIACION'!C34</f>
        <v>SANCHEZ  MOLINA ALEXIS VHADIR</v>
      </c>
      <c r="D35" s="604"/>
      <c r="E35" s="257"/>
      <c r="F35" s="257"/>
      <c r="G35" s="257"/>
      <c r="H35" s="257"/>
      <c r="I35" s="257"/>
      <c r="J35" s="257"/>
      <c r="K35" s="257"/>
      <c r="L35" s="257"/>
      <c r="M35" s="257"/>
      <c r="N35" s="257"/>
      <c r="O35" s="257"/>
      <c r="P35" s="257"/>
      <c r="Q35" s="257"/>
      <c r="R35" s="257"/>
      <c r="S35" s="257"/>
      <c r="T35" s="257"/>
      <c r="U35" s="257"/>
      <c r="V35" s="257"/>
      <c r="W35" s="257"/>
      <c r="X35" s="257"/>
      <c r="Y35" s="257"/>
      <c r="Z35" s="257"/>
      <c r="AA35" s="257"/>
      <c r="AB35" s="257"/>
      <c r="AC35" s="257"/>
      <c r="AD35" s="257"/>
      <c r="AE35" s="257"/>
      <c r="AF35" s="257"/>
      <c r="AG35" s="257"/>
      <c r="AH35" s="257"/>
      <c r="AI35" s="257"/>
      <c r="AJ35" s="257"/>
      <c r="AK35" s="257"/>
      <c r="AL35" s="257"/>
      <c r="AM35" s="257"/>
      <c r="AN35" s="257"/>
      <c r="AO35" s="257"/>
      <c r="AP35" s="257"/>
      <c r="AQ35" s="257"/>
      <c r="AR35" s="257"/>
      <c r="AS35" s="257"/>
      <c r="AT35" s="257"/>
      <c r="AU35" s="257"/>
      <c r="AV35" s="257"/>
      <c r="AW35" s="257"/>
      <c r="AX35" s="257"/>
      <c r="AY35" s="257"/>
      <c r="AZ35" s="257"/>
      <c r="BA35" s="257"/>
      <c r="BB35" s="257"/>
      <c r="BC35" s="257"/>
      <c r="BD35" s="257"/>
      <c r="BE35" s="257"/>
      <c r="BF35" s="258"/>
      <c r="BG35" s="511" t="str">
        <f t="shared" si="0"/>
        <v/>
      </c>
      <c r="BH35" s="511" t="str">
        <f t="shared" si="1"/>
        <v/>
      </c>
      <c r="BI35" s="511" t="str">
        <f t="shared" si="2"/>
        <v/>
      </c>
      <c r="BJ35" s="512" t="str">
        <f t="shared" si="3"/>
        <v/>
      </c>
      <c r="BK35" s="513" t="str">
        <f t="shared" si="4"/>
        <v/>
      </c>
      <c r="BM35" s="72"/>
      <c r="BN35" s="72"/>
      <c r="BO35" s="72"/>
    </row>
    <row r="36" spans="1:67" x14ac:dyDescent="0.25">
      <c r="A36" s="72"/>
      <c r="B36" s="82">
        <v>22</v>
      </c>
      <c r="C36" s="604" t="str">
        <f>'C. FILIACION'!C35</f>
        <v>SARAVIA SALVATIERRA JOSSE AMED</v>
      </c>
      <c r="D36" s="604"/>
      <c r="E36" s="257"/>
      <c r="F36" s="257"/>
      <c r="G36" s="257"/>
      <c r="H36" s="257"/>
      <c r="I36" s="257"/>
      <c r="J36" s="257"/>
      <c r="K36" s="257"/>
      <c r="L36" s="257"/>
      <c r="M36" s="257"/>
      <c r="N36" s="257"/>
      <c r="O36" s="257"/>
      <c r="P36" s="257"/>
      <c r="Q36" s="257"/>
      <c r="R36" s="257"/>
      <c r="S36" s="257"/>
      <c r="T36" s="257"/>
      <c r="U36" s="257"/>
      <c r="V36" s="257"/>
      <c r="W36" s="257"/>
      <c r="X36" s="257"/>
      <c r="Y36" s="257"/>
      <c r="Z36" s="257"/>
      <c r="AA36" s="257"/>
      <c r="AB36" s="257"/>
      <c r="AC36" s="257"/>
      <c r="AD36" s="257"/>
      <c r="AE36" s="257"/>
      <c r="AF36" s="257"/>
      <c r="AG36" s="257"/>
      <c r="AH36" s="257"/>
      <c r="AI36" s="257"/>
      <c r="AJ36" s="257"/>
      <c r="AK36" s="257"/>
      <c r="AL36" s="257"/>
      <c r="AM36" s="257"/>
      <c r="AN36" s="257"/>
      <c r="AO36" s="257"/>
      <c r="AP36" s="257"/>
      <c r="AQ36" s="257"/>
      <c r="AR36" s="257"/>
      <c r="AS36" s="257"/>
      <c r="AT36" s="257"/>
      <c r="AU36" s="257"/>
      <c r="AV36" s="257"/>
      <c r="AW36" s="257"/>
      <c r="AX36" s="257"/>
      <c r="AY36" s="257"/>
      <c r="AZ36" s="257"/>
      <c r="BA36" s="257"/>
      <c r="BB36" s="257"/>
      <c r="BC36" s="257"/>
      <c r="BD36" s="257"/>
      <c r="BE36" s="257"/>
      <c r="BF36" s="258"/>
      <c r="BG36" s="511" t="str">
        <f t="shared" si="0"/>
        <v/>
      </c>
      <c r="BH36" s="511" t="str">
        <f t="shared" si="1"/>
        <v/>
      </c>
      <c r="BI36" s="511" t="str">
        <f t="shared" si="2"/>
        <v/>
      </c>
      <c r="BJ36" s="512" t="str">
        <f t="shared" si="3"/>
        <v/>
      </c>
      <c r="BK36" s="513" t="str">
        <f t="shared" si="4"/>
        <v/>
      </c>
      <c r="BM36" s="72"/>
      <c r="BN36" s="72"/>
      <c r="BO36" s="72"/>
    </row>
    <row r="37" spans="1:67" x14ac:dyDescent="0.25">
      <c r="A37" s="72"/>
      <c r="B37" s="82">
        <v>23</v>
      </c>
      <c r="C37" s="604" t="str">
        <f>'C. FILIACION'!C36</f>
        <v>SIERRA LUNA GABRIEL  GERMAN</v>
      </c>
      <c r="D37" s="604"/>
      <c r="E37" s="257"/>
      <c r="F37" s="257"/>
      <c r="G37" s="257"/>
      <c r="H37" s="257"/>
      <c r="I37" s="257"/>
      <c r="J37" s="257"/>
      <c r="K37" s="257"/>
      <c r="L37" s="257"/>
      <c r="M37" s="257"/>
      <c r="N37" s="257"/>
      <c r="O37" s="257"/>
      <c r="P37" s="257"/>
      <c r="Q37" s="257"/>
      <c r="R37" s="257"/>
      <c r="S37" s="257"/>
      <c r="T37" s="257"/>
      <c r="U37" s="257"/>
      <c r="V37" s="257"/>
      <c r="W37" s="257"/>
      <c r="X37" s="257"/>
      <c r="Y37" s="257"/>
      <c r="Z37" s="257"/>
      <c r="AA37" s="257"/>
      <c r="AB37" s="257"/>
      <c r="AC37" s="257"/>
      <c r="AD37" s="257"/>
      <c r="AE37" s="257"/>
      <c r="AF37" s="257"/>
      <c r="AG37" s="257"/>
      <c r="AH37" s="257"/>
      <c r="AI37" s="257"/>
      <c r="AJ37" s="257"/>
      <c r="AK37" s="257"/>
      <c r="AL37" s="257"/>
      <c r="AM37" s="257"/>
      <c r="AN37" s="257"/>
      <c r="AO37" s="257"/>
      <c r="AP37" s="257"/>
      <c r="AQ37" s="257"/>
      <c r="AR37" s="257"/>
      <c r="AS37" s="257"/>
      <c r="AT37" s="257"/>
      <c r="AU37" s="257"/>
      <c r="AV37" s="257"/>
      <c r="AW37" s="257"/>
      <c r="AX37" s="257"/>
      <c r="AY37" s="257"/>
      <c r="AZ37" s="257"/>
      <c r="BA37" s="257"/>
      <c r="BB37" s="257"/>
      <c r="BC37" s="257"/>
      <c r="BD37" s="257"/>
      <c r="BE37" s="257"/>
      <c r="BF37" s="258"/>
      <c r="BG37" s="511" t="str">
        <f t="shared" si="0"/>
        <v/>
      </c>
      <c r="BH37" s="511" t="str">
        <f t="shared" si="1"/>
        <v/>
      </c>
      <c r="BI37" s="511" t="str">
        <f t="shared" si="2"/>
        <v/>
      </c>
      <c r="BJ37" s="512" t="str">
        <f t="shared" si="3"/>
        <v/>
      </c>
      <c r="BK37" s="513" t="str">
        <f t="shared" si="4"/>
        <v/>
      </c>
      <c r="BM37" s="72"/>
      <c r="BN37" s="72"/>
      <c r="BO37" s="72"/>
    </row>
    <row r="38" spans="1:67" x14ac:dyDescent="0.25">
      <c r="A38" s="72"/>
      <c r="B38" s="82">
        <v>24</v>
      </c>
      <c r="C38" s="604" t="str">
        <f>'C. FILIACION'!C37</f>
        <v>ZEWANE  MARTINEZ LINDA JHAMILETT</v>
      </c>
      <c r="D38" s="604"/>
      <c r="E38" s="257"/>
      <c r="F38" s="257"/>
      <c r="G38" s="257"/>
      <c r="H38" s="257"/>
      <c r="I38" s="257"/>
      <c r="J38" s="257"/>
      <c r="K38" s="257"/>
      <c r="L38" s="257"/>
      <c r="M38" s="257"/>
      <c r="N38" s="257"/>
      <c r="O38" s="257"/>
      <c r="P38" s="257"/>
      <c r="Q38" s="257"/>
      <c r="R38" s="257"/>
      <c r="S38" s="257"/>
      <c r="T38" s="257"/>
      <c r="U38" s="257"/>
      <c r="V38" s="257"/>
      <c r="W38" s="257"/>
      <c r="X38" s="257"/>
      <c r="Y38" s="257"/>
      <c r="Z38" s="257"/>
      <c r="AA38" s="257"/>
      <c r="AB38" s="257"/>
      <c r="AC38" s="257"/>
      <c r="AD38" s="257"/>
      <c r="AE38" s="257"/>
      <c r="AF38" s="257"/>
      <c r="AG38" s="257"/>
      <c r="AH38" s="257"/>
      <c r="AI38" s="257"/>
      <c r="AJ38" s="257"/>
      <c r="AK38" s="257"/>
      <c r="AL38" s="257"/>
      <c r="AM38" s="257"/>
      <c r="AN38" s="257"/>
      <c r="AO38" s="257"/>
      <c r="AP38" s="257"/>
      <c r="AQ38" s="257"/>
      <c r="AR38" s="257"/>
      <c r="AS38" s="257"/>
      <c r="AT38" s="257"/>
      <c r="AU38" s="257"/>
      <c r="AV38" s="257"/>
      <c r="AW38" s="257"/>
      <c r="AX38" s="257"/>
      <c r="AY38" s="257"/>
      <c r="AZ38" s="257"/>
      <c r="BA38" s="257"/>
      <c r="BB38" s="257"/>
      <c r="BC38" s="257"/>
      <c r="BD38" s="257"/>
      <c r="BE38" s="257"/>
      <c r="BF38" s="258"/>
      <c r="BG38" s="511" t="str">
        <f t="shared" si="0"/>
        <v/>
      </c>
      <c r="BH38" s="511" t="str">
        <f t="shared" si="1"/>
        <v/>
      </c>
      <c r="BI38" s="511" t="str">
        <f t="shared" si="2"/>
        <v/>
      </c>
      <c r="BJ38" s="512" t="str">
        <f t="shared" si="3"/>
        <v/>
      </c>
      <c r="BK38" s="513" t="str">
        <f t="shared" si="4"/>
        <v/>
      </c>
      <c r="BM38" s="72"/>
      <c r="BN38" s="72"/>
      <c r="BO38" s="72"/>
    </row>
    <row r="39" spans="1:67" x14ac:dyDescent="0.25">
      <c r="A39" s="72"/>
      <c r="B39" s="82">
        <v>25</v>
      </c>
      <c r="C39" s="604">
        <f>'C. FILIACION'!C38</f>
        <v>0</v>
      </c>
      <c r="D39" s="604"/>
      <c r="E39" s="257"/>
      <c r="F39" s="257"/>
      <c r="G39" s="257"/>
      <c r="H39" s="257"/>
      <c r="I39" s="257"/>
      <c r="J39" s="257"/>
      <c r="K39" s="257"/>
      <c r="L39" s="257"/>
      <c r="M39" s="257"/>
      <c r="N39" s="257"/>
      <c r="O39" s="257"/>
      <c r="P39" s="257"/>
      <c r="Q39" s="257"/>
      <c r="R39" s="257"/>
      <c r="S39" s="257"/>
      <c r="T39" s="257"/>
      <c r="U39" s="257"/>
      <c r="V39" s="257"/>
      <c r="W39" s="257"/>
      <c r="X39" s="257"/>
      <c r="Y39" s="257"/>
      <c r="Z39" s="257"/>
      <c r="AA39" s="257"/>
      <c r="AB39" s="257"/>
      <c r="AC39" s="257"/>
      <c r="AD39" s="257"/>
      <c r="AE39" s="257"/>
      <c r="AF39" s="257"/>
      <c r="AG39" s="257"/>
      <c r="AH39" s="257"/>
      <c r="AI39" s="257"/>
      <c r="AJ39" s="257"/>
      <c r="AK39" s="257"/>
      <c r="AL39" s="257"/>
      <c r="AM39" s="257"/>
      <c r="AN39" s="257"/>
      <c r="AO39" s="257"/>
      <c r="AP39" s="257"/>
      <c r="AQ39" s="257"/>
      <c r="AR39" s="257"/>
      <c r="AS39" s="257"/>
      <c r="AT39" s="257"/>
      <c r="AU39" s="257"/>
      <c r="AV39" s="257"/>
      <c r="AW39" s="257"/>
      <c r="AX39" s="257"/>
      <c r="AY39" s="257"/>
      <c r="AZ39" s="257"/>
      <c r="BA39" s="257"/>
      <c r="BB39" s="257"/>
      <c r="BC39" s="257"/>
      <c r="BD39" s="257"/>
      <c r="BE39" s="257"/>
      <c r="BF39" s="258"/>
      <c r="BG39" s="511" t="str">
        <f t="shared" si="0"/>
        <v/>
      </c>
      <c r="BH39" s="511" t="str">
        <f t="shared" si="1"/>
        <v/>
      </c>
      <c r="BI39" s="511" t="str">
        <f t="shared" si="2"/>
        <v/>
      </c>
      <c r="BJ39" s="512" t="str">
        <f t="shared" si="3"/>
        <v/>
      </c>
      <c r="BK39" s="513" t="str">
        <f t="shared" si="4"/>
        <v/>
      </c>
      <c r="BM39" s="72"/>
      <c r="BN39" s="72"/>
      <c r="BO39" s="72"/>
    </row>
    <row r="40" spans="1:67" x14ac:dyDescent="0.25">
      <c r="A40" s="72"/>
      <c r="B40" s="82">
        <v>26</v>
      </c>
      <c r="C40" s="604">
        <f>'C. FILIACION'!C39</f>
        <v>0</v>
      </c>
      <c r="D40" s="604"/>
      <c r="E40" s="257"/>
      <c r="F40" s="257"/>
      <c r="G40" s="257"/>
      <c r="H40" s="257"/>
      <c r="I40" s="257"/>
      <c r="J40" s="257"/>
      <c r="K40" s="257"/>
      <c r="L40" s="257"/>
      <c r="M40" s="257"/>
      <c r="N40" s="257"/>
      <c r="O40" s="257"/>
      <c r="P40" s="257"/>
      <c r="Q40" s="257"/>
      <c r="R40" s="257"/>
      <c r="S40" s="257"/>
      <c r="T40" s="257"/>
      <c r="U40" s="257"/>
      <c r="V40" s="257"/>
      <c r="W40" s="257"/>
      <c r="X40" s="257"/>
      <c r="Y40" s="257"/>
      <c r="Z40" s="257"/>
      <c r="AA40" s="257"/>
      <c r="AB40" s="257"/>
      <c r="AC40" s="257"/>
      <c r="AD40" s="257"/>
      <c r="AE40" s="257"/>
      <c r="AF40" s="257"/>
      <c r="AG40" s="257"/>
      <c r="AH40" s="257"/>
      <c r="AI40" s="257"/>
      <c r="AJ40" s="257"/>
      <c r="AK40" s="257"/>
      <c r="AL40" s="257"/>
      <c r="AM40" s="257"/>
      <c r="AN40" s="257"/>
      <c r="AO40" s="257"/>
      <c r="AP40" s="257"/>
      <c r="AQ40" s="257"/>
      <c r="AR40" s="257"/>
      <c r="AS40" s="257"/>
      <c r="AT40" s="257"/>
      <c r="AU40" s="257"/>
      <c r="AV40" s="257"/>
      <c r="AW40" s="257"/>
      <c r="AX40" s="257"/>
      <c r="AY40" s="257"/>
      <c r="AZ40" s="257"/>
      <c r="BA40" s="257"/>
      <c r="BB40" s="257"/>
      <c r="BC40" s="257"/>
      <c r="BD40" s="257"/>
      <c r="BE40" s="257"/>
      <c r="BF40" s="258"/>
      <c r="BG40" s="511" t="str">
        <f t="shared" si="0"/>
        <v/>
      </c>
      <c r="BH40" s="511" t="str">
        <f t="shared" si="1"/>
        <v/>
      </c>
      <c r="BI40" s="511" t="str">
        <f t="shared" si="2"/>
        <v/>
      </c>
      <c r="BJ40" s="512" t="str">
        <f t="shared" si="3"/>
        <v/>
      </c>
      <c r="BK40" s="513" t="str">
        <f t="shared" si="4"/>
        <v/>
      </c>
      <c r="BM40" s="72"/>
      <c r="BN40" s="72"/>
      <c r="BO40" s="72"/>
    </row>
    <row r="41" spans="1:67" x14ac:dyDescent="0.25">
      <c r="A41" s="72"/>
      <c r="B41" s="82">
        <v>27</v>
      </c>
      <c r="C41" s="604">
        <f>'C. FILIACION'!C40</f>
        <v>0</v>
      </c>
      <c r="D41" s="604"/>
      <c r="E41" s="257"/>
      <c r="F41" s="257"/>
      <c r="G41" s="257"/>
      <c r="H41" s="257"/>
      <c r="I41" s="257"/>
      <c r="J41" s="257"/>
      <c r="K41" s="257"/>
      <c r="L41" s="257"/>
      <c r="M41" s="257"/>
      <c r="N41" s="257"/>
      <c r="O41" s="257"/>
      <c r="P41" s="257"/>
      <c r="Q41" s="257"/>
      <c r="R41" s="257"/>
      <c r="S41" s="257"/>
      <c r="T41" s="257"/>
      <c r="U41" s="257"/>
      <c r="V41" s="257"/>
      <c r="W41" s="257"/>
      <c r="X41" s="257"/>
      <c r="Y41" s="257"/>
      <c r="Z41" s="257"/>
      <c r="AA41" s="257"/>
      <c r="AB41" s="257"/>
      <c r="AC41" s="257"/>
      <c r="AD41" s="257"/>
      <c r="AE41" s="257"/>
      <c r="AF41" s="257"/>
      <c r="AG41" s="257"/>
      <c r="AH41" s="257"/>
      <c r="AI41" s="257"/>
      <c r="AJ41" s="257"/>
      <c r="AK41" s="257"/>
      <c r="AL41" s="257"/>
      <c r="AM41" s="257"/>
      <c r="AN41" s="257"/>
      <c r="AO41" s="257"/>
      <c r="AP41" s="257"/>
      <c r="AQ41" s="257"/>
      <c r="AR41" s="257"/>
      <c r="AS41" s="257"/>
      <c r="AT41" s="257"/>
      <c r="AU41" s="257"/>
      <c r="AV41" s="257"/>
      <c r="AW41" s="257"/>
      <c r="AX41" s="257"/>
      <c r="AY41" s="257"/>
      <c r="AZ41" s="257"/>
      <c r="BA41" s="257"/>
      <c r="BB41" s="257"/>
      <c r="BC41" s="257"/>
      <c r="BD41" s="257"/>
      <c r="BE41" s="257"/>
      <c r="BF41" s="258"/>
      <c r="BG41" s="511" t="str">
        <f t="shared" si="0"/>
        <v/>
      </c>
      <c r="BH41" s="511" t="str">
        <f t="shared" si="1"/>
        <v/>
      </c>
      <c r="BI41" s="511" t="str">
        <f t="shared" si="2"/>
        <v/>
      </c>
      <c r="BJ41" s="512" t="str">
        <f t="shared" si="3"/>
        <v/>
      </c>
      <c r="BK41" s="513" t="str">
        <f t="shared" si="4"/>
        <v/>
      </c>
      <c r="BM41" s="72"/>
      <c r="BN41" s="72"/>
      <c r="BO41" s="72"/>
    </row>
    <row r="42" spans="1:67" x14ac:dyDescent="0.25">
      <c r="A42" s="72"/>
      <c r="B42" s="82">
        <v>28</v>
      </c>
      <c r="C42" s="604">
        <f>'C. FILIACION'!C41</f>
        <v>0</v>
      </c>
      <c r="D42" s="604"/>
      <c r="E42" s="257"/>
      <c r="F42" s="257"/>
      <c r="G42" s="257"/>
      <c r="H42" s="257"/>
      <c r="I42" s="257"/>
      <c r="J42" s="257"/>
      <c r="K42" s="257"/>
      <c r="L42" s="257"/>
      <c r="M42" s="257"/>
      <c r="N42" s="257"/>
      <c r="O42" s="257"/>
      <c r="P42" s="257"/>
      <c r="Q42" s="257"/>
      <c r="R42" s="257"/>
      <c r="S42" s="257"/>
      <c r="T42" s="257"/>
      <c r="U42" s="257"/>
      <c r="V42" s="257"/>
      <c r="W42" s="257"/>
      <c r="X42" s="257"/>
      <c r="Y42" s="257"/>
      <c r="Z42" s="257"/>
      <c r="AA42" s="257"/>
      <c r="AB42" s="257"/>
      <c r="AC42" s="257"/>
      <c r="AD42" s="257"/>
      <c r="AE42" s="257"/>
      <c r="AF42" s="257"/>
      <c r="AG42" s="257"/>
      <c r="AH42" s="257"/>
      <c r="AI42" s="257"/>
      <c r="AJ42" s="257"/>
      <c r="AK42" s="257"/>
      <c r="AL42" s="257"/>
      <c r="AM42" s="257"/>
      <c r="AN42" s="257"/>
      <c r="AO42" s="257"/>
      <c r="AP42" s="257"/>
      <c r="AQ42" s="257"/>
      <c r="AR42" s="257"/>
      <c r="AS42" s="257"/>
      <c r="AT42" s="257"/>
      <c r="AU42" s="257"/>
      <c r="AV42" s="257"/>
      <c r="AW42" s="257"/>
      <c r="AX42" s="257"/>
      <c r="AY42" s="257"/>
      <c r="AZ42" s="257"/>
      <c r="BA42" s="257"/>
      <c r="BB42" s="257"/>
      <c r="BC42" s="257"/>
      <c r="BD42" s="257"/>
      <c r="BE42" s="257"/>
      <c r="BF42" s="258"/>
      <c r="BG42" s="511" t="str">
        <f t="shared" si="0"/>
        <v/>
      </c>
      <c r="BH42" s="511" t="str">
        <f t="shared" si="1"/>
        <v/>
      </c>
      <c r="BI42" s="511" t="str">
        <f t="shared" si="2"/>
        <v/>
      </c>
      <c r="BJ42" s="512" t="str">
        <f t="shared" si="3"/>
        <v/>
      </c>
      <c r="BK42" s="513" t="str">
        <f t="shared" si="4"/>
        <v/>
      </c>
      <c r="BM42" s="72"/>
      <c r="BN42" s="72"/>
      <c r="BO42" s="72"/>
    </row>
    <row r="43" spans="1:67" x14ac:dyDescent="0.25">
      <c r="A43" s="72"/>
      <c r="B43" s="82">
        <v>29</v>
      </c>
      <c r="C43" s="604">
        <f>'C. FILIACION'!C42</f>
        <v>0</v>
      </c>
      <c r="D43" s="604"/>
      <c r="E43" s="257"/>
      <c r="F43" s="257"/>
      <c r="G43" s="257"/>
      <c r="H43" s="257"/>
      <c r="I43" s="257"/>
      <c r="J43" s="257"/>
      <c r="K43" s="257"/>
      <c r="L43" s="257"/>
      <c r="M43" s="257"/>
      <c r="N43" s="257"/>
      <c r="O43" s="257"/>
      <c r="P43" s="257"/>
      <c r="Q43" s="257"/>
      <c r="R43" s="257"/>
      <c r="S43" s="257"/>
      <c r="T43" s="257"/>
      <c r="U43" s="257"/>
      <c r="V43" s="257"/>
      <c r="W43" s="257"/>
      <c r="X43" s="257"/>
      <c r="Y43" s="257"/>
      <c r="Z43" s="257"/>
      <c r="AA43" s="257"/>
      <c r="AB43" s="257"/>
      <c r="AC43" s="257"/>
      <c r="AD43" s="257"/>
      <c r="AE43" s="257"/>
      <c r="AF43" s="257"/>
      <c r="AG43" s="257"/>
      <c r="AH43" s="257"/>
      <c r="AI43" s="257"/>
      <c r="AJ43" s="257"/>
      <c r="AK43" s="257"/>
      <c r="AL43" s="257"/>
      <c r="AM43" s="257"/>
      <c r="AN43" s="257"/>
      <c r="AO43" s="257"/>
      <c r="AP43" s="257"/>
      <c r="AQ43" s="257"/>
      <c r="AR43" s="257"/>
      <c r="AS43" s="257"/>
      <c r="AT43" s="257"/>
      <c r="AU43" s="257"/>
      <c r="AV43" s="257"/>
      <c r="AW43" s="257"/>
      <c r="AX43" s="257"/>
      <c r="AY43" s="257"/>
      <c r="AZ43" s="257"/>
      <c r="BA43" s="257"/>
      <c r="BB43" s="257"/>
      <c r="BC43" s="257"/>
      <c r="BD43" s="257"/>
      <c r="BE43" s="257"/>
      <c r="BF43" s="258"/>
      <c r="BG43" s="511" t="str">
        <f t="shared" si="0"/>
        <v/>
      </c>
      <c r="BH43" s="511" t="str">
        <f t="shared" si="1"/>
        <v/>
      </c>
      <c r="BI43" s="511" t="str">
        <f t="shared" si="2"/>
        <v/>
      </c>
      <c r="BJ43" s="512" t="str">
        <f t="shared" si="3"/>
        <v/>
      </c>
      <c r="BK43" s="513" t="str">
        <f t="shared" si="4"/>
        <v/>
      </c>
      <c r="BM43" s="72"/>
      <c r="BN43" s="72"/>
      <c r="BO43" s="72"/>
    </row>
    <row r="44" spans="1:67" x14ac:dyDescent="0.25">
      <c r="A44" s="72"/>
      <c r="B44" s="82">
        <v>30</v>
      </c>
      <c r="C44" s="604">
        <f>'C. FILIACION'!C43</f>
        <v>0</v>
      </c>
      <c r="D44" s="604"/>
      <c r="E44" s="257"/>
      <c r="F44" s="257"/>
      <c r="G44" s="257"/>
      <c r="H44" s="257"/>
      <c r="I44" s="257"/>
      <c r="J44" s="257"/>
      <c r="K44" s="257"/>
      <c r="L44" s="257"/>
      <c r="M44" s="257"/>
      <c r="N44" s="257"/>
      <c r="O44" s="257"/>
      <c r="P44" s="257"/>
      <c r="Q44" s="257"/>
      <c r="R44" s="257"/>
      <c r="S44" s="257"/>
      <c r="T44" s="257"/>
      <c r="U44" s="257"/>
      <c r="V44" s="257"/>
      <c r="W44" s="257"/>
      <c r="X44" s="257"/>
      <c r="Y44" s="257"/>
      <c r="Z44" s="257"/>
      <c r="AA44" s="257"/>
      <c r="AB44" s="257"/>
      <c r="AC44" s="257"/>
      <c r="AD44" s="257"/>
      <c r="AE44" s="257"/>
      <c r="AF44" s="257"/>
      <c r="AG44" s="257"/>
      <c r="AH44" s="257"/>
      <c r="AI44" s="257"/>
      <c r="AJ44" s="257"/>
      <c r="AK44" s="257"/>
      <c r="AL44" s="257"/>
      <c r="AM44" s="257"/>
      <c r="AN44" s="257"/>
      <c r="AO44" s="257"/>
      <c r="AP44" s="257"/>
      <c r="AQ44" s="257"/>
      <c r="AR44" s="257"/>
      <c r="AS44" s="257"/>
      <c r="AT44" s="257"/>
      <c r="AU44" s="257"/>
      <c r="AV44" s="257"/>
      <c r="AW44" s="257"/>
      <c r="AX44" s="257"/>
      <c r="AY44" s="257"/>
      <c r="AZ44" s="257"/>
      <c r="BA44" s="257"/>
      <c r="BB44" s="257"/>
      <c r="BC44" s="257"/>
      <c r="BD44" s="257"/>
      <c r="BE44" s="257"/>
      <c r="BF44" s="258"/>
      <c r="BG44" s="511" t="str">
        <f t="shared" si="0"/>
        <v/>
      </c>
      <c r="BH44" s="511" t="str">
        <f t="shared" si="1"/>
        <v/>
      </c>
      <c r="BI44" s="511" t="str">
        <f t="shared" si="2"/>
        <v/>
      </c>
      <c r="BJ44" s="512" t="str">
        <f t="shared" si="3"/>
        <v/>
      </c>
      <c r="BK44" s="513" t="str">
        <f t="shared" si="4"/>
        <v/>
      </c>
      <c r="BM44" s="72"/>
      <c r="BN44" s="72"/>
      <c r="BO44" s="72"/>
    </row>
    <row r="45" spans="1:67" x14ac:dyDescent="0.25">
      <c r="A45" s="72"/>
      <c r="B45" s="82">
        <v>31</v>
      </c>
      <c r="C45" s="604">
        <f>'C. FILIACION'!C44</f>
        <v>0</v>
      </c>
      <c r="D45" s="604"/>
      <c r="E45" s="257"/>
      <c r="F45" s="257"/>
      <c r="G45" s="257"/>
      <c r="H45" s="257"/>
      <c r="I45" s="257"/>
      <c r="J45" s="257"/>
      <c r="K45" s="257"/>
      <c r="L45" s="257"/>
      <c r="M45" s="257"/>
      <c r="N45" s="257"/>
      <c r="O45" s="257"/>
      <c r="P45" s="257"/>
      <c r="Q45" s="257"/>
      <c r="R45" s="257"/>
      <c r="S45" s="257"/>
      <c r="T45" s="257"/>
      <c r="U45" s="257"/>
      <c r="V45" s="257"/>
      <c r="W45" s="257"/>
      <c r="X45" s="257"/>
      <c r="Y45" s="257"/>
      <c r="Z45" s="257"/>
      <c r="AA45" s="257"/>
      <c r="AB45" s="257"/>
      <c r="AC45" s="257"/>
      <c r="AD45" s="257"/>
      <c r="AE45" s="257"/>
      <c r="AF45" s="257"/>
      <c r="AG45" s="257"/>
      <c r="AH45" s="257"/>
      <c r="AI45" s="257"/>
      <c r="AJ45" s="257"/>
      <c r="AK45" s="257"/>
      <c r="AL45" s="257"/>
      <c r="AM45" s="257"/>
      <c r="AN45" s="257"/>
      <c r="AO45" s="257"/>
      <c r="AP45" s="257"/>
      <c r="AQ45" s="257"/>
      <c r="AR45" s="257"/>
      <c r="AS45" s="257"/>
      <c r="AT45" s="257"/>
      <c r="AU45" s="257"/>
      <c r="AV45" s="257"/>
      <c r="AW45" s="257"/>
      <c r="AX45" s="257"/>
      <c r="AY45" s="257"/>
      <c r="AZ45" s="257"/>
      <c r="BA45" s="257"/>
      <c r="BB45" s="257"/>
      <c r="BC45" s="257"/>
      <c r="BD45" s="257"/>
      <c r="BE45" s="257"/>
      <c r="BF45" s="258"/>
      <c r="BG45" s="511" t="str">
        <f t="shared" si="0"/>
        <v/>
      </c>
      <c r="BH45" s="511" t="str">
        <f t="shared" si="1"/>
        <v/>
      </c>
      <c r="BI45" s="511" t="str">
        <f t="shared" si="2"/>
        <v/>
      </c>
      <c r="BJ45" s="512" t="str">
        <f t="shared" si="3"/>
        <v/>
      </c>
      <c r="BK45" s="513" t="str">
        <f t="shared" si="4"/>
        <v/>
      </c>
      <c r="BM45" s="72"/>
      <c r="BN45" s="72"/>
      <c r="BO45" s="72"/>
    </row>
    <row r="46" spans="1:67" x14ac:dyDescent="0.25">
      <c r="A46" s="72"/>
      <c r="B46" s="82">
        <v>32</v>
      </c>
      <c r="C46" s="604">
        <f>'C. FILIACION'!C45</f>
        <v>0</v>
      </c>
      <c r="D46" s="604"/>
      <c r="E46" s="257"/>
      <c r="F46" s="257"/>
      <c r="G46" s="257"/>
      <c r="H46" s="257"/>
      <c r="I46" s="257"/>
      <c r="J46" s="257"/>
      <c r="K46" s="257"/>
      <c r="L46" s="257"/>
      <c r="M46" s="257"/>
      <c r="N46" s="257"/>
      <c r="O46" s="257"/>
      <c r="P46" s="257"/>
      <c r="Q46" s="257"/>
      <c r="R46" s="257"/>
      <c r="S46" s="257"/>
      <c r="T46" s="257"/>
      <c r="U46" s="257"/>
      <c r="V46" s="257"/>
      <c r="W46" s="257"/>
      <c r="X46" s="257"/>
      <c r="Y46" s="257"/>
      <c r="Z46" s="257"/>
      <c r="AA46" s="257"/>
      <c r="AB46" s="257"/>
      <c r="AC46" s="257"/>
      <c r="AD46" s="257"/>
      <c r="AE46" s="257"/>
      <c r="AF46" s="257"/>
      <c r="AG46" s="257"/>
      <c r="AH46" s="257"/>
      <c r="AI46" s="257"/>
      <c r="AJ46" s="257"/>
      <c r="AK46" s="257"/>
      <c r="AL46" s="257"/>
      <c r="AM46" s="257"/>
      <c r="AN46" s="257"/>
      <c r="AO46" s="257"/>
      <c r="AP46" s="257"/>
      <c r="AQ46" s="257"/>
      <c r="AR46" s="257"/>
      <c r="AS46" s="257"/>
      <c r="AT46" s="257"/>
      <c r="AU46" s="257"/>
      <c r="AV46" s="257"/>
      <c r="AW46" s="257"/>
      <c r="AX46" s="257"/>
      <c r="AY46" s="257"/>
      <c r="AZ46" s="257"/>
      <c r="BA46" s="257"/>
      <c r="BB46" s="257"/>
      <c r="BC46" s="257"/>
      <c r="BD46" s="257"/>
      <c r="BE46" s="257"/>
      <c r="BF46" s="258"/>
      <c r="BG46" s="511" t="str">
        <f t="shared" si="0"/>
        <v/>
      </c>
      <c r="BH46" s="511" t="str">
        <f t="shared" si="1"/>
        <v/>
      </c>
      <c r="BI46" s="511" t="str">
        <f t="shared" si="2"/>
        <v/>
      </c>
      <c r="BJ46" s="512" t="str">
        <f t="shared" si="3"/>
        <v/>
      </c>
      <c r="BK46" s="513" t="str">
        <f t="shared" si="4"/>
        <v/>
      </c>
      <c r="BM46" s="72"/>
      <c r="BN46" s="72"/>
      <c r="BO46" s="72"/>
    </row>
    <row r="47" spans="1:67" x14ac:dyDescent="0.25">
      <c r="A47" s="72"/>
      <c r="B47" s="82">
        <v>33</v>
      </c>
      <c r="C47" s="604">
        <f>'C. FILIACION'!C46</f>
        <v>0</v>
      </c>
      <c r="D47" s="604"/>
      <c r="E47" s="257"/>
      <c r="F47" s="257"/>
      <c r="G47" s="257"/>
      <c r="H47" s="257"/>
      <c r="I47" s="257"/>
      <c r="J47" s="257"/>
      <c r="K47" s="257"/>
      <c r="L47" s="257"/>
      <c r="M47" s="257"/>
      <c r="N47" s="257"/>
      <c r="O47" s="257"/>
      <c r="P47" s="257"/>
      <c r="Q47" s="257"/>
      <c r="R47" s="257"/>
      <c r="S47" s="257"/>
      <c r="T47" s="257"/>
      <c r="U47" s="257"/>
      <c r="V47" s="257"/>
      <c r="W47" s="257"/>
      <c r="X47" s="257"/>
      <c r="Y47" s="257"/>
      <c r="Z47" s="257"/>
      <c r="AA47" s="257"/>
      <c r="AB47" s="257"/>
      <c r="AC47" s="257"/>
      <c r="AD47" s="257"/>
      <c r="AE47" s="257"/>
      <c r="AF47" s="257"/>
      <c r="AG47" s="257"/>
      <c r="AH47" s="257"/>
      <c r="AI47" s="257"/>
      <c r="AJ47" s="257"/>
      <c r="AK47" s="257"/>
      <c r="AL47" s="257"/>
      <c r="AM47" s="257"/>
      <c r="AN47" s="257"/>
      <c r="AO47" s="257"/>
      <c r="AP47" s="257"/>
      <c r="AQ47" s="257"/>
      <c r="AR47" s="257"/>
      <c r="AS47" s="257"/>
      <c r="AT47" s="257"/>
      <c r="AU47" s="257"/>
      <c r="AV47" s="257"/>
      <c r="AW47" s="257"/>
      <c r="AX47" s="257"/>
      <c r="AY47" s="257"/>
      <c r="AZ47" s="257"/>
      <c r="BA47" s="257"/>
      <c r="BB47" s="257"/>
      <c r="BC47" s="257"/>
      <c r="BD47" s="257"/>
      <c r="BE47" s="257"/>
      <c r="BF47" s="258"/>
      <c r="BG47" s="511" t="str">
        <f t="shared" si="0"/>
        <v/>
      </c>
      <c r="BH47" s="511" t="str">
        <f t="shared" si="1"/>
        <v/>
      </c>
      <c r="BI47" s="511" t="str">
        <f t="shared" si="2"/>
        <v/>
      </c>
      <c r="BJ47" s="512" t="str">
        <f t="shared" si="3"/>
        <v/>
      </c>
      <c r="BK47" s="513" t="str">
        <f t="shared" si="4"/>
        <v/>
      </c>
      <c r="BM47" s="72"/>
      <c r="BN47" s="72"/>
      <c r="BO47" s="72"/>
    </row>
    <row r="48" spans="1:67" x14ac:dyDescent="0.25">
      <c r="A48" s="72"/>
      <c r="B48" s="82">
        <v>34</v>
      </c>
      <c r="C48" s="604">
        <f>'C. FILIACION'!C47</f>
        <v>0</v>
      </c>
      <c r="D48" s="604"/>
      <c r="E48" s="257"/>
      <c r="F48" s="257"/>
      <c r="G48" s="257"/>
      <c r="H48" s="257"/>
      <c r="I48" s="257"/>
      <c r="J48" s="257"/>
      <c r="K48" s="257"/>
      <c r="L48" s="257"/>
      <c r="M48" s="257"/>
      <c r="N48" s="257"/>
      <c r="O48" s="257"/>
      <c r="P48" s="257"/>
      <c r="Q48" s="257"/>
      <c r="R48" s="257"/>
      <c r="S48" s="257"/>
      <c r="T48" s="257"/>
      <c r="U48" s="257"/>
      <c r="V48" s="257"/>
      <c r="W48" s="257"/>
      <c r="X48" s="257"/>
      <c r="Y48" s="257"/>
      <c r="Z48" s="257"/>
      <c r="AA48" s="257"/>
      <c r="AB48" s="257"/>
      <c r="AC48" s="257"/>
      <c r="AD48" s="257"/>
      <c r="AE48" s="257"/>
      <c r="AF48" s="257"/>
      <c r="AG48" s="257"/>
      <c r="AH48" s="257"/>
      <c r="AI48" s="257"/>
      <c r="AJ48" s="257"/>
      <c r="AK48" s="257"/>
      <c r="AL48" s="257"/>
      <c r="AM48" s="257"/>
      <c r="AN48" s="257"/>
      <c r="AO48" s="257"/>
      <c r="AP48" s="257"/>
      <c r="AQ48" s="257"/>
      <c r="AR48" s="257"/>
      <c r="AS48" s="257"/>
      <c r="AT48" s="257"/>
      <c r="AU48" s="257"/>
      <c r="AV48" s="257"/>
      <c r="AW48" s="257"/>
      <c r="AX48" s="257"/>
      <c r="AY48" s="257"/>
      <c r="AZ48" s="257"/>
      <c r="BA48" s="257"/>
      <c r="BB48" s="257"/>
      <c r="BC48" s="257"/>
      <c r="BD48" s="257"/>
      <c r="BE48" s="257"/>
      <c r="BF48" s="258"/>
      <c r="BG48" s="511" t="str">
        <f t="shared" si="0"/>
        <v/>
      </c>
      <c r="BH48" s="511" t="str">
        <f t="shared" si="1"/>
        <v/>
      </c>
      <c r="BI48" s="511" t="str">
        <f t="shared" si="2"/>
        <v/>
      </c>
      <c r="BJ48" s="512" t="str">
        <f t="shared" si="3"/>
        <v/>
      </c>
      <c r="BK48" s="513" t="str">
        <f t="shared" si="4"/>
        <v/>
      </c>
      <c r="BM48" s="72"/>
      <c r="BN48" s="72"/>
      <c r="BO48" s="72"/>
    </row>
    <row r="49" spans="1:67" x14ac:dyDescent="0.25">
      <c r="A49" s="72"/>
      <c r="B49" s="82">
        <v>35</v>
      </c>
      <c r="C49" s="604">
        <f>'C. FILIACION'!C48</f>
        <v>0</v>
      </c>
      <c r="D49" s="604"/>
      <c r="E49" s="257"/>
      <c r="F49" s="257"/>
      <c r="G49" s="257"/>
      <c r="H49" s="257"/>
      <c r="I49" s="257"/>
      <c r="J49" s="257"/>
      <c r="K49" s="257"/>
      <c r="L49" s="257"/>
      <c r="M49" s="257"/>
      <c r="N49" s="257"/>
      <c r="O49" s="257"/>
      <c r="P49" s="257"/>
      <c r="Q49" s="257"/>
      <c r="R49" s="257"/>
      <c r="S49" s="257"/>
      <c r="T49" s="257"/>
      <c r="U49" s="257"/>
      <c r="V49" s="257"/>
      <c r="W49" s="257"/>
      <c r="X49" s="257"/>
      <c r="Y49" s="257"/>
      <c r="Z49" s="257"/>
      <c r="AA49" s="257"/>
      <c r="AB49" s="257"/>
      <c r="AC49" s="257"/>
      <c r="AD49" s="257"/>
      <c r="AE49" s="257"/>
      <c r="AF49" s="257"/>
      <c r="AG49" s="257"/>
      <c r="AH49" s="257"/>
      <c r="AI49" s="257"/>
      <c r="AJ49" s="257"/>
      <c r="AK49" s="257"/>
      <c r="AL49" s="257"/>
      <c r="AM49" s="257"/>
      <c r="AN49" s="257"/>
      <c r="AO49" s="257"/>
      <c r="AP49" s="257"/>
      <c r="AQ49" s="257"/>
      <c r="AR49" s="257"/>
      <c r="AS49" s="257"/>
      <c r="AT49" s="257"/>
      <c r="AU49" s="257"/>
      <c r="AV49" s="257"/>
      <c r="AW49" s="257"/>
      <c r="AX49" s="257"/>
      <c r="AY49" s="257"/>
      <c r="AZ49" s="257"/>
      <c r="BA49" s="257"/>
      <c r="BB49" s="257"/>
      <c r="BC49" s="257"/>
      <c r="BD49" s="257"/>
      <c r="BE49" s="257"/>
      <c r="BF49" s="258"/>
      <c r="BG49" s="511" t="str">
        <f t="shared" si="0"/>
        <v/>
      </c>
      <c r="BH49" s="511" t="str">
        <f t="shared" si="1"/>
        <v/>
      </c>
      <c r="BI49" s="511" t="str">
        <f t="shared" si="2"/>
        <v/>
      </c>
      <c r="BJ49" s="512" t="str">
        <f t="shared" si="3"/>
        <v/>
      </c>
      <c r="BK49" s="513" t="str">
        <f t="shared" si="4"/>
        <v/>
      </c>
      <c r="BM49" s="72"/>
      <c r="BN49" s="72"/>
      <c r="BO49" s="72"/>
    </row>
    <row r="50" spans="1:67" x14ac:dyDescent="0.25">
      <c r="A50" s="72"/>
      <c r="B50" s="82">
        <v>36</v>
      </c>
      <c r="C50" s="604">
        <f>'C. FILIACION'!C49</f>
        <v>0</v>
      </c>
      <c r="D50" s="604"/>
      <c r="E50" s="257"/>
      <c r="F50" s="257"/>
      <c r="G50" s="257"/>
      <c r="H50" s="257"/>
      <c r="I50" s="257"/>
      <c r="J50" s="257"/>
      <c r="K50" s="257"/>
      <c r="L50" s="257"/>
      <c r="M50" s="257"/>
      <c r="N50" s="257"/>
      <c r="O50" s="257"/>
      <c r="P50" s="257"/>
      <c r="Q50" s="257"/>
      <c r="R50" s="257"/>
      <c r="S50" s="257"/>
      <c r="T50" s="257"/>
      <c r="U50" s="257"/>
      <c r="V50" s="257"/>
      <c r="W50" s="257"/>
      <c r="X50" s="257"/>
      <c r="Y50" s="257"/>
      <c r="Z50" s="257"/>
      <c r="AA50" s="257"/>
      <c r="AB50" s="257"/>
      <c r="AC50" s="257"/>
      <c r="AD50" s="257"/>
      <c r="AE50" s="257"/>
      <c r="AF50" s="257"/>
      <c r="AG50" s="257"/>
      <c r="AH50" s="257"/>
      <c r="AI50" s="257"/>
      <c r="AJ50" s="257"/>
      <c r="AK50" s="257"/>
      <c r="AL50" s="257"/>
      <c r="AM50" s="257"/>
      <c r="AN50" s="257"/>
      <c r="AO50" s="257"/>
      <c r="AP50" s="257"/>
      <c r="AQ50" s="257"/>
      <c r="AR50" s="257"/>
      <c r="AS50" s="257"/>
      <c r="AT50" s="257"/>
      <c r="AU50" s="257"/>
      <c r="AV50" s="257"/>
      <c r="AW50" s="257"/>
      <c r="AX50" s="257"/>
      <c r="AY50" s="257"/>
      <c r="AZ50" s="257"/>
      <c r="BA50" s="257"/>
      <c r="BB50" s="257"/>
      <c r="BC50" s="257"/>
      <c r="BD50" s="257"/>
      <c r="BE50" s="257"/>
      <c r="BF50" s="258"/>
      <c r="BG50" s="511" t="str">
        <f t="shared" si="0"/>
        <v/>
      </c>
      <c r="BH50" s="511" t="str">
        <f t="shared" si="1"/>
        <v/>
      </c>
      <c r="BI50" s="511" t="str">
        <f t="shared" si="2"/>
        <v/>
      </c>
      <c r="BJ50" s="512" t="str">
        <f t="shared" si="3"/>
        <v/>
      </c>
      <c r="BK50" s="513" t="str">
        <f t="shared" si="4"/>
        <v/>
      </c>
      <c r="BM50" s="72"/>
      <c r="BN50" s="72"/>
      <c r="BO50" s="72"/>
    </row>
    <row r="51" spans="1:67" x14ac:dyDescent="0.25">
      <c r="A51" s="72"/>
      <c r="B51" s="82">
        <v>37</v>
      </c>
      <c r="C51" s="604">
        <f>'C. FILIACION'!C50</f>
        <v>0</v>
      </c>
      <c r="D51" s="604"/>
      <c r="E51" s="257"/>
      <c r="F51" s="257"/>
      <c r="G51" s="257"/>
      <c r="H51" s="257"/>
      <c r="I51" s="257"/>
      <c r="J51" s="257"/>
      <c r="K51" s="257"/>
      <c r="L51" s="257"/>
      <c r="M51" s="257"/>
      <c r="N51" s="257"/>
      <c r="O51" s="257"/>
      <c r="P51" s="257"/>
      <c r="Q51" s="257"/>
      <c r="R51" s="257"/>
      <c r="S51" s="257"/>
      <c r="T51" s="257"/>
      <c r="U51" s="257"/>
      <c r="V51" s="257"/>
      <c r="W51" s="257"/>
      <c r="X51" s="257"/>
      <c r="Y51" s="257"/>
      <c r="Z51" s="257"/>
      <c r="AA51" s="257"/>
      <c r="AB51" s="257"/>
      <c r="AC51" s="257"/>
      <c r="AD51" s="257"/>
      <c r="AE51" s="257"/>
      <c r="AF51" s="257"/>
      <c r="AG51" s="257"/>
      <c r="AH51" s="257"/>
      <c r="AI51" s="257"/>
      <c r="AJ51" s="257"/>
      <c r="AK51" s="257"/>
      <c r="AL51" s="257"/>
      <c r="AM51" s="257"/>
      <c r="AN51" s="257"/>
      <c r="AO51" s="257"/>
      <c r="AP51" s="257"/>
      <c r="AQ51" s="257"/>
      <c r="AR51" s="257"/>
      <c r="AS51" s="257"/>
      <c r="AT51" s="257"/>
      <c r="AU51" s="257"/>
      <c r="AV51" s="257"/>
      <c r="AW51" s="257"/>
      <c r="AX51" s="257"/>
      <c r="AY51" s="257"/>
      <c r="AZ51" s="257"/>
      <c r="BA51" s="257"/>
      <c r="BB51" s="257"/>
      <c r="BC51" s="257"/>
      <c r="BD51" s="257"/>
      <c r="BE51" s="257"/>
      <c r="BF51" s="258"/>
      <c r="BG51" s="511" t="str">
        <f t="shared" si="0"/>
        <v/>
      </c>
      <c r="BH51" s="511" t="str">
        <f t="shared" si="1"/>
        <v/>
      </c>
      <c r="BI51" s="511" t="str">
        <f t="shared" si="2"/>
        <v/>
      </c>
      <c r="BJ51" s="512" t="str">
        <f t="shared" si="3"/>
        <v/>
      </c>
      <c r="BK51" s="513" t="str">
        <f t="shared" si="4"/>
        <v/>
      </c>
      <c r="BM51" s="72"/>
      <c r="BN51" s="72"/>
      <c r="BO51" s="72"/>
    </row>
    <row r="52" spans="1:67" x14ac:dyDescent="0.25">
      <c r="A52" s="72"/>
      <c r="B52" s="82">
        <v>38</v>
      </c>
      <c r="C52" s="604">
        <f>'C. FILIACION'!C51</f>
        <v>0</v>
      </c>
      <c r="D52" s="604"/>
      <c r="E52" s="257"/>
      <c r="F52" s="257"/>
      <c r="G52" s="257"/>
      <c r="H52" s="257"/>
      <c r="I52" s="257"/>
      <c r="J52" s="257"/>
      <c r="K52" s="257"/>
      <c r="L52" s="257"/>
      <c r="M52" s="257"/>
      <c r="N52" s="257"/>
      <c r="O52" s="257"/>
      <c r="P52" s="257"/>
      <c r="Q52" s="257"/>
      <c r="R52" s="257"/>
      <c r="S52" s="257"/>
      <c r="T52" s="257"/>
      <c r="U52" s="257"/>
      <c r="V52" s="257"/>
      <c r="W52" s="257"/>
      <c r="X52" s="257"/>
      <c r="Y52" s="257"/>
      <c r="Z52" s="257"/>
      <c r="AA52" s="257"/>
      <c r="AB52" s="257"/>
      <c r="AC52" s="257"/>
      <c r="AD52" s="257"/>
      <c r="AE52" s="257"/>
      <c r="AF52" s="257"/>
      <c r="AG52" s="257"/>
      <c r="AH52" s="257"/>
      <c r="AI52" s="257"/>
      <c r="AJ52" s="257"/>
      <c r="AK52" s="257"/>
      <c r="AL52" s="257"/>
      <c r="AM52" s="257"/>
      <c r="AN52" s="257"/>
      <c r="AO52" s="257"/>
      <c r="AP52" s="257"/>
      <c r="AQ52" s="257"/>
      <c r="AR52" s="257"/>
      <c r="AS52" s="257"/>
      <c r="AT52" s="257"/>
      <c r="AU52" s="257"/>
      <c r="AV52" s="257"/>
      <c r="AW52" s="257"/>
      <c r="AX52" s="257"/>
      <c r="AY52" s="257"/>
      <c r="AZ52" s="257"/>
      <c r="BA52" s="257"/>
      <c r="BB52" s="257"/>
      <c r="BC52" s="257"/>
      <c r="BD52" s="257"/>
      <c r="BE52" s="257"/>
      <c r="BF52" s="258"/>
      <c r="BG52" s="511" t="str">
        <f t="shared" si="0"/>
        <v/>
      </c>
      <c r="BH52" s="511" t="str">
        <f t="shared" si="1"/>
        <v/>
      </c>
      <c r="BI52" s="511" t="str">
        <f t="shared" si="2"/>
        <v/>
      </c>
      <c r="BJ52" s="512" t="str">
        <f t="shared" si="3"/>
        <v/>
      </c>
      <c r="BK52" s="513" t="str">
        <f t="shared" si="4"/>
        <v/>
      </c>
      <c r="BM52" s="72"/>
      <c r="BN52" s="72"/>
      <c r="BO52" s="72"/>
    </row>
    <row r="53" spans="1:67" x14ac:dyDescent="0.25">
      <c r="A53" s="72"/>
      <c r="B53" s="82">
        <v>39</v>
      </c>
      <c r="C53" s="604">
        <f>'C. FILIACION'!C52</f>
        <v>0</v>
      </c>
      <c r="D53" s="604"/>
      <c r="E53" s="257"/>
      <c r="F53" s="257"/>
      <c r="G53" s="257"/>
      <c r="H53" s="257"/>
      <c r="I53" s="257"/>
      <c r="J53" s="257"/>
      <c r="K53" s="257"/>
      <c r="L53" s="257"/>
      <c r="M53" s="257"/>
      <c r="N53" s="257"/>
      <c r="O53" s="257"/>
      <c r="P53" s="257"/>
      <c r="Q53" s="257"/>
      <c r="R53" s="257"/>
      <c r="S53" s="257"/>
      <c r="T53" s="257"/>
      <c r="U53" s="257"/>
      <c r="V53" s="257"/>
      <c r="W53" s="257"/>
      <c r="X53" s="257"/>
      <c r="Y53" s="257"/>
      <c r="Z53" s="257"/>
      <c r="AA53" s="257"/>
      <c r="AB53" s="257"/>
      <c r="AC53" s="257"/>
      <c r="AD53" s="257"/>
      <c r="AE53" s="257"/>
      <c r="AF53" s="257"/>
      <c r="AG53" s="257"/>
      <c r="AH53" s="257"/>
      <c r="AI53" s="257"/>
      <c r="AJ53" s="257"/>
      <c r="AK53" s="257"/>
      <c r="AL53" s="257"/>
      <c r="AM53" s="257"/>
      <c r="AN53" s="257"/>
      <c r="AO53" s="257"/>
      <c r="AP53" s="257"/>
      <c r="AQ53" s="257"/>
      <c r="AR53" s="257"/>
      <c r="AS53" s="257"/>
      <c r="AT53" s="257"/>
      <c r="AU53" s="257"/>
      <c r="AV53" s="257"/>
      <c r="AW53" s="257"/>
      <c r="AX53" s="257"/>
      <c r="AY53" s="257"/>
      <c r="AZ53" s="257"/>
      <c r="BA53" s="257"/>
      <c r="BB53" s="257"/>
      <c r="BC53" s="257"/>
      <c r="BD53" s="257"/>
      <c r="BE53" s="257"/>
      <c r="BF53" s="258"/>
      <c r="BG53" s="511" t="str">
        <f t="shared" si="0"/>
        <v/>
      </c>
      <c r="BH53" s="511" t="str">
        <f t="shared" si="1"/>
        <v/>
      </c>
      <c r="BI53" s="511" t="str">
        <f t="shared" si="2"/>
        <v/>
      </c>
      <c r="BJ53" s="512" t="str">
        <f t="shared" si="3"/>
        <v/>
      </c>
      <c r="BK53" s="513" t="str">
        <f t="shared" si="4"/>
        <v/>
      </c>
      <c r="BM53" s="72"/>
      <c r="BN53" s="72"/>
      <c r="BO53" s="72"/>
    </row>
    <row r="54" spans="1:67" x14ac:dyDescent="0.25">
      <c r="A54" s="72"/>
      <c r="B54" s="82">
        <v>40</v>
      </c>
      <c r="C54" s="604">
        <f>'C. FILIACION'!C53</f>
        <v>0</v>
      </c>
      <c r="D54" s="604"/>
      <c r="E54" s="257"/>
      <c r="F54" s="257"/>
      <c r="G54" s="257"/>
      <c r="H54" s="257"/>
      <c r="I54" s="257"/>
      <c r="J54" s="257"/>
      <c r="K54" s="257"/>
      <c r="L54" s="257"/>
      <c r="M54" s="257"/>
      <c r="N54" s="257"/>
      <c r="O54" s="257"/>
      <c r="P54" s="257"/>
      <c r="Q54" s="257"/>
      <c r="R54" s="257"/>
      <c r="S54" s="257"/>
      <c r="T54" s="257"/>
      <c r="U54" s="257"/>
      <c r="V54" s="257"/>
      <c r="W54" s="257"/>
      <c r="X54" s="257"/>
      <c r="Y54" s="257"/>
      <c r="Z54" s="257"/>
      <c r="AA54" s="257"/>
      <c r="AB54" s="257"/>
      <c r="AC54" s="257"/>
      <c r="AD54" s="257"/>
      <c r="AE54" s="257"/>
      <c r="AF54" s="257"/>
      <c r="AG54" s="257"/>
      <c r="AH54" s="257"/>
      <c r="AI54" s="257"/>
      <c r="AJ54" s="257"/>
      <c r="AK54" s="257"/>
      <c r="AL54" s="257"/>
      <c r="AM54" s="257"/>
      <c r="AN54" s="257"/>
      <c r="AO54" s="257"/>
      <c r="AP54" s="257"/>
      <c r="AQ54" s="257"/>
      <c r="AR54" s="257"/>
      <c r="AS54" s="257"/>
      <c r="AT54" s="257"/>
      <c r="AU54" s="257"/>
      <c r="AV54" s="257"/>
      <c r="AW54" s="257"/>
      <c r="AX54" s="257"/>
      <c r="AY54" s="257"/>
      <c r="AZ54" s="257"/>
      <c r="BA54" s="257"/>
      <c r="BB54" s="257"/>
      <c r="BC54" s="257"/>
      <c r="BD54" s="257"/>
      <c r="BE54" s="257"/>
      <c r="BF54" s="258"/>
      <c r="BG54" s="511" t="str">
        <f t="shared" si="0"/>
        <v/>
      </c>
      <c r="BH54" s="511" t="str">
        <f t="shared" si="1"/>
        <v/>
      </c>
      <c r="BI54" s="511" t="str">
        <f t="shared" si="2"/>
        <v/>
      </c>
      <c r="BJ54" s="512" t="str">
        <f t="shared" si="3"/>
        <v/>
      </c>
      <c r="BK54" s="513" t="str">
        <f t="shared" si="4"/>
        <v/>
      </c>
      <c r="BM54" s="72"/>
      <c r="BN54" s="72"/>
      <c r="BO54" s="72"/>
    </row>
    <row r="55" spans="1:67" x14ac:dyDescent="0.25">
      <c r="A55" s="72"/>
      <c r="B55" s="82">
        <v>41</v>
      </c>
      <c r="C55" s="604">
        <f>'C. FILIACION'!C54</f>
        <v>0</v>
      </c>
      <c r="D55" s="604"/>
      <c r="E55" s="257"/>
      <c r="F55" s="257"/>
      <c r="G55" s="257"/>
      <c r="H55" s="257"/>
      <c r="I55" s="257"/>
      <c r="J55" s="257"/>
      <c r="K55" s="257"/>
      <c r="L55" s="257"/>
      <c r="M55" s="257"/>
      <c r="N55" s="257"/>
      <c r="O55" s="257"/>
      <c r="P55" s="257"/>
      <c r="Q55" s="257"/>
      <c r="R55" s="257"/>
      <c r="S55" s="257"/>
      <c r="T55" s="257"/>
      <c r="U55" s="257"/>
      <c r="V55" s="257"/>
      <c r="W55" s="257"/>
      <c r="X55" s="257"/>
      <c r="Y55" s="257"/>
      <c r="Z55" s="257"/>
      <c r="AA55" s="257"/>
      <c r="AB55" s="257"/>
      <c r="AC55" s="257"/>
      <c r="AD55" s="257"/>
      <c r="AE55" s="257"/>
      <c r="AF55" s="257"/>
      <c r="AG55" s="257"/>
      <c r="AH55" s="257"/>
      <c r="AI55" s="257"/>
      <c r="AJ55" s="257"/>
      <c r="AK55" s="257"/>
      <c r="AL55" s="257"/>
      <c r="AM55" s="257"/>
      <c r="AN55" s="257"/>
      <c r="AO55" s="257"/>
      <c r="AP55" s="257"/>
      <c r="AQ55" s="257"/>
      <c r="AR55" s="257"/>
      <c r="AS55" s="257"/>
      <c r="AT55" s="257"/>
      <c r="AU55" s="257"/>
      <c r="AV55" s="257"/>
      <c r="AW55" s="257"/>
      <c r="AX55" s="257"/>
      <c r="AY55" s="257"/>
      <c r="AZ55" s="257"/>
      <c r="BA55" s="257"/>
      <c r="BB55" s="257"/>
      <c r="BC55" s="257"/>
      <c r="BD55" s="257"/>
      <c r="BE55" s="257"/>
      <c r="BF55" s="258"/>
      <c r="BG55" s="511" t="str">
        <f t="shared" si="0"/>
        <v/>
      </c>
      <c r="BH55" s="511" t="str">
        <f t="shared" si="1"/>
        <v/>
      </c>
      <c r="BI55" s="511" t="str">
        <f t="shared" si="2"/>
        <v/>
      </c>
      <c r="BJ55" s="512" t="str">
        <f t="shared" si="3"/>
        <v/>
      </c>
      <c r="BK55" s="513" t="str">
        <f t="shared" si="4"/>
        <v/>
      </c>
      <c r="BM55" s="72"/>
      <c r="BN55" s="72"/>
      <c r="BO55" s="72"/>
    </row>
    <row r="56" spans="1:67" x14ac:dyDescent="0.25">
      <c r="A56" s="72"/>
      <c r="B56" s="82">
        <v>42</v>
      </c>
      <c r="C56" s="604">
        <f>'C. FILIACION'!C55</f>
        <v>0</v>
      </c>
      <c r="D56" s="604"/>
      <c r="E56" s="257"/>
      <c r="F56" s="257"/>
      <c r="G56" s="257"/>
      <c r="H56" s="257"/>
      <c r="I56" s="257"/>
      <c r="J56" s="257"/>
      <c r="K56" s="257"/>
      <c r="L56" s="257"/>
      <c r="M56" s="257"/>
      <c r="N56" s="257"/>
      <c r="O56" s="257"/>
      <c r="P56" s="257"/>
      <c r="Q56" s="257"/>
      <c r="R56" s="257"/>
      <c r="S56" s="257"/>
      <c r="T56" s="257"/>
      <c r="U56" s="257"/>
      <c r="V56" s="257"/>
      <c r="W56" s="257"/>
      <c r="X56" s="257"/>
      <c r="Y56" s="257"/>
      <c r="Z56" s="257"/>
      <c r="AA56" s="257"/>
      <c r="AB56" s="257"/>
      <c r="AC56" s="257"/>
      <c r="AD56" s="257"/>
      <c r="AE56" s="257"/>
      <c r="AF56" s="257"/>
      <c r="AG56" s="257"/>
      <c r="AH56" s="257"/>
      <c r="AI56" s="257"/>
      <c r="AJ56" s="257"/>
      <c r="AK56" s="257"/>
      <c r="AL56" s="257"/>
      <c r="AM56" s="257"/>
      <c r="AN56" s="257"/>
      <c r="AO56" s="257"/>
      <c r="AP56" s="257"/>
      <c r="AQ56" s="257"/>
      <c r="AR56" s="257"/>
      <c r="AS56" s="257"/>
      <c r="AT56" s="257"/>
      <c r="AU56" s="257"/>
      <c r="AV56" s="257"/>
      <c r="AW56" s="257"/>
      <c r="AX56" s="257"/>
      <c r="AY56" s="257"/>
      <c r="AZ56" s="257"/>
      <c r="BA56" s="257"/>
      <c r="BB56" s="257"/>
      <c r="BC56" s="257"/>
      <c r="BD56" s="257"/>
      <c r="BE56" s="257"/>
      <c r="BF56" s="258"/>
      <c r="BG56" s="511" t="str">
        <f t="shared" si="0"/>
        <v/>
      </c>
      <c r="BH56" s="511" t="str">
        <f t="shared" si="1"/>
        <v/>
      </c>
      <c r="BI56" s="511" t="str">
        <f t="shared" si="2"/>
        <v/>
      </c>
      <c r="BJ56" s="512" t="str">
        <f t="shared" si="3"/>
        <v/>
      </c>
      <c r="BK56" s="513" t="str">
        <f t="shared" si="4"/>
        <v/>
      </c>
      <c r="BM56" s="72"/>
      <c r="BN56" s="72"/>
      <c r="BO56" s="72"/>
    </row>
    <row r="57" spans="1:67" x14ac:dyDescent="0.25">
      <c r="A57" s="72"/>
      <c r="B57" s="82">
        <v>43</v>
      </c>
      <c r="C57" s="604">
        <f>'C. FILIACION'!C56</f>
        <v>0</v>
      </c>
      <c r="D57" s="604"/>
      <c r="E57" s="257"/>
      <c r="F57" s="257"/>
      <c r="G57" s="257"/>
      <c r="H57" s="257"/>
      <c r="I57" s="257"/>
      <c r="J57" s="257"/>
      <c r="K57" s="257"/>
      <c r="L57" s="257"/>
      <c r="M57" s="257"/>
      <c r="N57" s="257"/>
      <c r="O57" s="257"/>
      <c r="P57" s="257"/>
      <c r="Q57" s="257"/>
      <c r="R57" s="257"/>
      <c r="S57" s="257"/>
      <c r="T57" s="257"/>
      <c r="U57" s="257"/>
      <c r="V57" s="257"/>
      <c r="W57" s="257"/>
      <c r="X57" s="257"/>
      <c r="Y57" s="257"/>
      <c r="Z57" s="257"/>
      <c r="AA57" s="257"/>
      <c r="AB57" s="257"/>
      <c r="AC57" s="257"/>
      <c r="AD57" s="257"/>
      <c r="AE57" s="257"/>
      <c r="AF57" s="257"/>
      <c r="AG57" s="257"/>
      <c r="AH57" s="257"/>
      <c r="AI57" s="257"/>
      <c r="AJ57" s="257"/>
      <c r="AK57" s="257"/>
      <c r="AL57" s="257"/>
      <c r="AM57" s="257"/>
      <c r="AN57" s="257"/>
      <c r="AO57" s="257"/>
      <c r="AP57" s="257"/>
      <c r="AQ57" s="257"/>
      <c r="AR57" s="257"/>
      <c r="AS57" s="257"/>
      <c r="AT57" s="257"/>
      <c r="AU57" s="257"/>
      <c r="AV57" s="257"/>
      <c r="AW57" s="257"/>
      <c r="AX57" s="257"/>
      <c r="AY57" s="257"/>
      <c r="AZ57" s="257"/>
      <c r="BA57" s="257"/>
      <c r="BB57" s="257"/>
      <c r="BC57" s="257"/>
      <c r="BD57" s="257"/>
      <c r="BE57" s="257"/>
      <c r="BF57" s="258"/>
      <c r="BG57" s="511" t="str">
        <f t="shared" si="0"/>
        <v/>
      </c>
      <c r="BH57" s="511" t="str">
        <f t="shared" si="1"/>
        <v/>
      </c>
      <c r="BI57" s="511" t="str">
        <f t="shared" si="2"/>
        <v/>
      </c>
      <c r="BJ57" s="512" t="str">
        <f t="shared" si="3"/>
        <v/>
      </c>
      <c r="BK57" s="513" t="str">
        <f t="shared" si="4"/>
        <v/>
      </c>
      <c r="BM57" s="72"/>
      <c r="BN57" s="72"/>
      <c r="BO57" s="72"/>
    </row>
    <row r="58" spans="1:67" x14ac:dyDescent="0.25">
      <c r="A58" s="72"/>
      <c r="B58" s="82">
        <v>44</v>
      </c>
      <c r="C58" s="604">
        <f>'C. FILIACION'!C57</f>
        <v>0</v>
      </c>
      <c r="D58" s="604"/>
      <c r="E58" s="257"/>
      <c r="F58" s="257"/>
      <c r="G58" s="257"/>
      <c r="H58" s="257"/>
      <c r="I58" s="257"/>
      <c r="J58" s="257"/>
      <c r="K58" s="257"/>
      <c r="L58" s="257"/>
      <c r="M58" s="257"/>
      <c r="N58" s="257"/>
      <c r="O58" s="257"/>
      <c r="P58" s="257"/>
      <c r="Q58" s="257"/>
      <c r="R58" s="257"/>
      <c r="S58" s="257"/>
      <c r="T58" s="257"/>
      <c r="U58" s="257"/>
      <c r="V58" s="257"/>
      <c r="W58" s="257"/>
      <c r="X58" s="257"/>
      <c r="Y58" s="257"/>
      <c r="Z58" s="257"/>
      <c r="AA58" s="257"/>
      <c r="AB58" s="257"/>
      <c r="AC58" s="257"/>
      <c r="AD58" s="257"/>
      <c r="AE58" s="257"/>
      <c r="AF58" s="257"/>
      <c r="AG58" s="257"/>
      <c r="AH58" s="257"/>
      <c r="AI58" s="257"/>
      <c r="AJ58" s="257"/>
      <c r="AK58" s="257"/>
      <c r="AL58" s="257"/>
      <c r="AM58" s="257"/>
      <c r="AN58" s="257"/>
      <c r="AO58" s="257"/>
      <c r="AP58" s="257"/>
      <c r="AQ58" s="257"/>
      <c r="AR58" s="257"/>
      <c r="AS58" s="257"/>
      <c r="AT58" s="257"/>
      <c r="AU58" s="257"/>
      <c r="AV58" s="257"/>
      <c r="AW58" s="257"/>
      <c r="AX58" s="257"/>
      <c r="AY58" s="257"/>
      <c r="AZ58" s="257"/>
      <c r="BA58" s="257"/>
      <c r="BB58" s="257"/>
      <c r="BC58" s="257"/>
      <c r="BD58" s="257"/>
      <c r="BE58" s="257"/>
      <c r="BF58" s="258"/>
      <c r="BG58" s="511" t="str">
        <f t="shared" si="0"/>
        <v/>
      </c>
      <c r="BH58" s="511" t="str">
        <f t="shared" si="1"/>
        <v/>
      </c>
      <c r="BI58" s="511" t="str">
        <f t="shared" si="2"/>
        <v/>
      </c>
      <c r="BJ58" s="512" t="str">
        <f t="shared" si="3"/>
        <v/>
      </c>
      <c r="BK58" s="513" t="str">
        <f t="shared" si="4"/>
        <v/>
      </c>
      <c r="BM58" s="72"/>
      <c r="BN58" s="72"/>
      <c r="BO58" s="72"/>
    </row>
    <row r="59" spans="1:67" x14ac:dyDescent="0.25">
      <c r="A59" s="72"/>
      <c r="B59" s="82">
        <v>45</v>
      </c>
      <c r="C59" s="604">
        <f>'C. FILIACION'!C58</f>
        <v>0</v>
      </c>
      <c r="D59" s="604"/>
      <c r="E59" s="257"/>
      <c r="F59" s="257"/>
      <c r="G59" s="257"/>
      <c r="H59" s="257"/>
      <c r="I59" s="257"/>
      <c r="J59" s="257"/>
      <c r="K59" s="257"/>
      <c r="L59" s="257"/>
      <c r="M59" s="257"/>
      <c r="N59" s="257"/>
      <c r="O59" s="257"/>
      <c r="P59" s="257"/>
      <c r="Q59" s="257"/>
      <c r="R59" s="257"/>
      <c r="S59" s="257"/>
      <c r="T59" s="257"/>
      <c r="U59" s="257"/>
      <c r="V59" s="257"/>
      <c r="W59" s="257"/>
      <c r="X59" s="257"/>
      <c r="Y59" s="257"/>
      <c r="Z59" s="257"/>
      <c r="AA59" s="257"/>
      <c r="AB59" s="257"/>
      <c r="AC59" s="257"/>
      <c r="AD59" s="257"/>
      <c r="AE59" s="257"/>
      <c r="AF59" s="257"/>
      <c r="AG59" s="257"/>
      <c r="AH59" s="257"/>
      <c r="AI59" s="257"/>
      <c r="AJ59" s="257"/>
      <c r="AK59" s="257"/>
      <c r="AL59" s="257"/>
      <c r="AM59" s="257"/>
      <c r="AN59" s="257"/>
      <c r="AO59" s="257"/>
      <c r="AP59" s="257"/>
      <c r="AQ59" s="257"/>
      <c r="AR59" s="257"/>
      <c r="AS59" s="257"/>
      <c r="AT59" s="257"/>
      <c r="AU59" s="257"/>
      <c r="AV59" s="257"/>
      <c r="AW59" s="257"/>
      <c r="AX59" s="257"/>
      <c r="AY59" s="257"/>
      <c r="AZ59" s="257"/>
      <c r="BA59" s="257"/>
      <c r="BB59" s="257"/>
      <c r="BC59" s="257"/>
      <c r="BD59" s="257"/>
      <c r="BE59" s="257"/>
      <c r="BF59" s="258"/>
      <c r="BG59" s="511" t="str">
        <f t="shared" si="0"/>
        <v/>
      </c>
      <c r="BH59" s="511" t="str">
        <f t="shared" si="1"/>
        <v/>
      </c>
      <c r="BI59" s="511" t="str">
        <f t="shared" si="2"/>
        <v/>
      </c>
      <c r="BJ59" s="512" t="str">
        <f t="shared" si="3"/>
        <v/>
      </c>
      <c r="BK59" s="513" t="str">
        <f t="shared" si="4"/>
        <v/>
      </c>
      <c r="BM59" s="72"/>
      <c r="BN59" s="72"/>
      <c r="BO59" s="72"/>
    </row>
    <row r="60" spans="1:67" x14ac:dyDescent="0.25">
      <c r="A60" s="72"/>
      <c r="B60" s="83"/>
      <c r="C60" s="83"/>
      <c r="D60" s="83"/>
      <c r="E60" s="35"/>
      <c r="F60" s="35"/>
      <c r="G60" s="35"/>
      <c r="H60" s="35"/>
      <c r="I60" s="35"/>
      <c r="J60" s="35"/>
      <c r="K60" s="35"/>
      <c r="L60" s="35"/>
      <c r="M60" s="35"/>
      <c r="N60" s="35"/>
      <c r="O60" s="35"/>
      <c r="P60" s="35"/>
      <c r="Q60" s="35"/>
      <c r="R60" s="35"/>
      <c r="S60" s="35"/>
      <c r="T60" s="35"/>
      <c r="U60" s="35"/>
      <c r="V60" s="35"/>
      <c r="W60" s="35"/>
      <c r="X60" s="35"/>
      <c r="Y60" s="35"/>
      <c r="Z60" s="35"/>
      <c r="AA60" s="35"/>
      <c r="AB60" s="35"/>
      <c r="AC60" s="35"/>
      <c r="AD60" s="35"/>
      <c r="AE60" s="35"/>
      <c r="AF60" s="35"/>
      <c r="AG60" s="35"/>
      <c r="AH60" s="35"/>
      <c r="AI60" s="35"/>
      <c r="AJ60" s="35"/>
      <c r="AK60" s="35"/>
      <c r="AL60" s="35"/>
      <c r="AM60" s="35"/>
      <c r="AN60" s="35"/>
      <c r="AO60" s="35"/>
      <c r="AP60" s="35"/>
      <c r="AQ60" s="35"/>
      <c r="AR60" s="35"/>
      <c r="AS60" s="35"/>
      <c r="AT60" s="35"/>
      <c r="AU60" s="35"/>
      <c r="AV60" s="35"/>
      <c r="AW60" s="35"/>
      <c r="AX60" s="35"/>
      <c r="AY60" s="35"/>
      <c r="AZ60" s="35"/>
      <c r="BA60" s="35"/>
      <c r="BB60" s="35"/>
      <c r="BC60" s="35"/>
      <c r="BD60" s="35"/>
      <c r="BE60" s="35"/>
      <c r="BF60" s="35"/>
      <c r="BG60" s="83"/>
      <c r="BH60" s="83"/>
      <c r="BI60" s="83"/>
      <c r="BJ60" s="83"/>
      <c r="BK60" s="83"/>
      <c r="BM60" s="72"/>
      <c r="BN60" s="72"/>
      <c r="BO60" s="72"/>
    </row>
    <row r="61" spans="1:67" x14ac:dyDescent="0.25">
      <c r="A61" s="72"/>
      <c r="B61" s="83"/>
      <c r="C61" s="83"/>
      <c r="D61" s="83"/>
      <c r="E61" s="35"/>
      <c r="F61" s="35"/>
      <c r="G61" s="35"/>
      <c r="H61" s="35"/>
      <c r="I61" s="35"/>
      <c r="J61" s="35"/>
      <c r="K61" s="35"/>
      <c r="L61" s="35"/>
      <c r="M61" s="35"/>
      <c r="N61" s="35"/>
      <c r="O61" s="35"/>
      <c r="P61" s="35"/>
      <c r="Q61" s="35"/>
      <c r="R61" s="35"/>
      <c r="S61" s="35"/>
      <c r="T61" s="35"/>
      <c r="U61" s="35"/>
      <c r="V61" s="35"/>
      <c r="W61" s="35"/>
      <c r="X61" s="35"/>
      <c r="Y61" s="35"/>
      <c r="Z61" s="35"/>
      <c r="AA61" s="35"/>
      <c r="AB61" s="35"/>
      <c r="AC61" s="35"/>
      <c r="AD61" s="35"/>
      <c r="AE61" s="35"/>
      <c r="AF61" s="35"/>
      <c r="AG61" s="35"/>
      <c r="AH61" s="35"/>
      <c r="AI61" s="35"/>
      <c r="AJ61" s="35"/>
      <c r="AK61" s="35"/>
      <c r="AL61" s="35"/>
      <c r="AM61" s="35"/>
      <c r="AN61" s="35"/>
      <c r="AO61" s="35"/>
      <c r="AP61" s="35"/>
      <c r="AQ61" s="35"/>
      <c r="AR61" s="35"/>
      <c r="AS61" s="35"/>
      <c r="AT61" s="35"/>
      <c r="AU61" s="35"/>
      <c r="AV61" s="35"/>
      <c r="AW61" s="35"/>
      <c r="AX61" s="35"/>
      <c r="AY61" s="35"/>
      <c r="AZ61" s="35"/>
      <c r="BA61" s="35"/>
      <c r="BB61" s="35"/>
      <c r="BC61" s="35"/>
      <c r="BD61" s="35"/>
      <c r="BE61" s="35"/>
      <c r="BF61" s="35"/>
      <c r="BG61" s="83"/>
      <c r="BH61" s="83"/>
      <c r="BI61" s="83"/>
      <c r="BJ61" s="83"/>
      <c r="BK61" s="83"/>
      <c r="BM61" s="72"/>
      <c r="BN61" s="72"/>
      <c r="BO61" s="72"/>
    </row>
    <row r="62" spans="1:67" ht="15.75" thickBot="1" x14ac:dyDescent="0.3">
      <c r="A62" s="72"/>
      <c r="B62" s="83"/>
      <c r="C62" s="83"/>
      <c r="D62" s="35"/>
      <c r="E62" s="35"/>
      <c r="F62" s="35"/>
      <c r="G62" s="35"/>
      <c r="H62" s="35"/>
      <c r="I62" s="35"/>
      <c r="J62" s="35"/>
      <c r="K62" s="35"/>
      <c r="L62" s="35"/>
      <c r="M62" s="35"/>
      <c r="N62" s="35"/>
      <c r="O62" s="35"/>
      <c r="P62" s="35"/>
      <c r="Q62" s="35"/>
      <c r="R62" s="35"/>
      <c r="S62" s="35"/>
      <c r="T62" s="35"/>
      <c r="U62" s="351"/>
      <c r="V62" s="351"/>
      <c r="W62" s="351"/>
      <c r="X62" s="351"/>
      <c r="Y62" s="351"/>
      <c r="Z62" s="351"/>
      <c r="AA62" s="351"/>
      <c r="AB62" s="351"/>
      <c r="AC62" s="351"/>
      <c r="AD62" s="351"/>
      <c r="AE62" s="351"/>
      <c r="AF62" s="351"/>
      <c r="AG62" s="351"/>
      <c r="AH62" s="351"/>
      <c r="AI62" s="351"/>
      <c r="AJ62" s="351"/>
      <c r="AK62" s="351"/>
      <c r="AL62" s="351"/>
      <c r="AM62" s="351"/>
      <c r="AN62" s="351"/>
      <c r="AO62" s="351"/>
      <c r="AP62" s="351"/>
      <c r="AQ62" s="351"/>
      <c r="AR62" s="351"/>
      <c r="AS62" s="351"/>
      <c r="AT62" s="351"/>
      <c r="AU62" s="351"/>
      <c r="AV62" s="351"/>
      <c r="AW62" s="711"/>
      <c r="AX62" s="711"/>
      <c r="AY62" s="711"/>
      <c r="AZ62" s="711"/>
      <c r="BA62" s="711"/>
      <c r="BB62" s="711"/>
      <c r="BC62" s="711"/>
      <c r="BD62" s="711"/>
      <c r="BE62" s="711"/>
      <c r="BF62" s="711"/>
      <c r="BG62" s="711"/>
      <c r="BH62" s="35"/>
      <c r="BI62" s="35"/>
      <c r="BJ62" s="35"/>
      <c r="BK62" s="35"/>
      <c r="BM62" s="72"/>
      <c r="BN62" s="72"/>
      <c r="BO62" s="72"/>
    </row>
    <row r="63" spans="1:67" ht="25.5" customHeight="1" thickTop="1" x14ac:dyDescent="0.25">
      <c r="A63" s="72"/>
      <c r="B63" s="83"/>
      <c r="C63" s="83"/>
      <c r="D63" s="35"/>
      <c r="E63" s="710">
        <f>CARATULA!G22</f>
        <v>0</v>
      </c>
      <c r="F63" s="710"/>
      <c r="G63" s="710"/>
      <c r="H63" s="710"/>
      <c r="I63" s="710"/>
      <c r="J63" s="710"/>
      <c r="K63" s="710"/>
      <c r="L63" s="710"/>
      <c r="M63" s="710"/>
      <c r="N63" s="710"/>
      <c r="O63" s="710"/>
      <c r="P63" s="98"/>
      <c r="Q63" s="98"/>
      <c r="R63" s="98"/>
      <c r="S63" s="98"/>
      <c r="T63" s="98"/>
      <c r="U63" s="352"/>
      <c r="V63" s="352"/>
      <c r="W63" s="352"/>
      <c r="X63" s="352"/>
      <c r="Y63" s="352"/>
      <c r="Z63" s="352"/>
      <c r="AA63" s="352"/>
      <c r="AB63" s="352"/>
      <c r="AC63" s="352"/>
      <c r="AD63" s="352"/>
      <c r="AE63" s="352"/>
      <c r="AF63" s="352"/>
      <c r="AG63" s="352"/>
      <c r="AH63" s="352"/>
      <c r="AI63" s="352"/>
      <c r="AJ63" s="352"/>
      <c r="AK63" s="352"/>
      <c r="AL63" s="352"/>
      <c r="AM63" s="352"/>
      <c r="AN63" s="352"/>
      <c r="AO63" s="352"/>
      <c r="AP63" s="352"/>
      <c r="AQ63" s="352"/>
      <c r="AR63" s="352"/>
      <c r="AS63" s="352"/>
      <c r="AT63" s="352"/>
      <c r="AU63" s="352"/>
      <c r="AV63" s="352"/>
      <c r="AW63" s="712">
        <f>CARATULA!G24</f>
        <v>0</v>
      </c>
      <c r="AX63" s="712"/>
      <c r="AY63" s="712"/>
      <c r="AZ63" s="712"/>
      <c r="BA63" s="712"/>
      <c r="BB63" s="712"/>
      <c r="BC63" s="712"/>
      <c r="BD63" s="712"/>
      <c r="BE63" s="712"/>
      <c r="BF63" s="712"/>
      <c r="BG63" s="712"/>
      <c r="BH63" s="35"/>
      <c r="BI63" s="35"/>
      <c r="BJ63" s="35"/>
      <c r="BK63" s="35"/>
      <c r="BM63" s="72"/>
      <c r="BN63" s="72"/>
      <c r="BO63" s="72"/>
    </row>
    <row r="64" spans="1:67" ht="15" customHeight="1" x14ac:dyDescent="0.25">
      <c r="A64" s="72"/>
      <c r="B64" s="83"/>
      <c r="C64" s="83"/>
      <c r="D64" s="35"/>
      <c r="E64" s="99"/>
      <c r="F64" s="99"/>
      <c r="G64" s="99"/>
      <c r="H64" s="99"/>
      <c r="I64" s="99"/>
      <c r="J64" s="99"/>
      <c r="K64" s="99"/>
      <c r="L64" s="99"/>
      <c r="M64" s="99"/>
      <c r="N64" s="99"/>
      <c r="O64" s="99"/>
      <c r="P64" s="98"/>
      <c r="Q64" s="98"/>
      <c r="R64" s="98"/>
      <c r="S64" s="98"/>
      <c r="T64" s="98"/>
      <c r="U64" s="100"/>
      <c r="V64" s="100"/>
      <c r="W64" s="100"/>
      <c r="X64" s="100"/>
      <c r="Y64" s="100"/>
      <c r="Z64" s="100"/>
      <c r="AA64" s="100"/>
      <c r="AB64" s="100"/>
      <c r="AC64" s="100"/>
      <c r="AD64" s="100"/>
      <c r="AE64" s="100"/>
      <c r="AF64" s="100"/>
      <c r="AG64" s="100"/>
      <c r="AH64" s="100"/>
      <c r="AI64" s="100"/>
      <c r="AJ64" s="100"/>
      <c r="AK64" s="100"/>
      <c r="AL64" s="100"/>
      <c r="AM64" s="100"/>
      <c r="AN64" s="100"/>
      <c r="AO64" s="100"/>
      <c r="AP64" s="100"/>
      <c r="AQ64" s="100"/>
      <c r="AR64" s="100"/>
      <c r="AS64" s="100"/>
      <c r="AT64" s="100"/>
      <c r="AU64" s="100"/>
      <c r="AV64" s="100"/>
      <c r="AW64" s="100"/>
      <c r="AX64" s="100"/>
      <c r="AY64" s="100"/>
      <c r="AZ64" s="100"/>
      <c r="BA64" s="100"/>
      <c r="BB64" s="100"/>
      <c r="BC64" s="100"/>
      <c r="BD64" s="100"/>
      <c r="BE64" s="100"/>
      <c r="BF64" s="100"/>
      <c r="BG64" s="100"/>
      <c r="BH64" s="35"/>
      <c r="BI64" s="35"/>
      <c r="BJ64" s="35"/>
      <c r="BK64" s="35"/>
      <c r="BM64" s="72"/>
      <c r="BN64" s="72"/>
      <c r="BO64" s="72"/>
    </row>
    <row r="65" spans="1:67" x14ac:dyDescent="0.25">
      <c r="A65" s="72"/>
      <c r="B65" s="72"/>
      <c r="C65" s="72"/>
      <c r="BM65" s="72"/>
      <c r="BN65" s="72"/>
      <c r="BO65" s="72"/>
    </row>
    <row r="66" spans="1:67" x14ac:dyDescent="0.25">
      <c r="A66" s="72"/>
      <c r="B66" s="87"/>
      <c r="C66" s="87"/>
      <c r="D66" s="72"/>
      <c r="E66" s="72"/>
      <c r="F66" s="72"/>
      <c r="G66" s="72"/>
      <c r="H66" s="72"/>
      <c r="I66" s="72"/>
      <c r="J66" s="72"/>
      <c r="K66" s="72"/>
      <c r="L66" s="72"/>
      <c r="M66" s="72"/>
      <c r="N66" s="72"/>
      <c r="O66" s="72"/>
      <c r="P66" s="72"/>
      <c r="Q66" s="72"/>
      <c r="R66" s="72"/>
      <c r="S66" s="72"/>
      <c r="T66" s="72"/>
      <c r="U66" s="72"/>
      <c r="V66" s="72"/>
      <c r="W66" s="72"/>
      <c r="X66" s="72"/>
      <c r="Y66" s="72"/>
      <c r="Z66" s="72"/>
      <c r="AA66" s="72"/>
      <c r="AB66" s="72"/>
      <c r="AC66" s="72"/>
      <c r="AD66" s="72"/>
      <c r="AE66" s="72"/>
      <c r="AF66" s="72"/>
      <c r="AG66" s="72"/>
      <c r="AH66" s="72"/>
      <c r="AI66" s="72"/>
      <c r="AJ66" s="72"/>
      <c r="AK66" s="72"/>
      <c r="AL66" s="72"/>
      <c r="AM66" s="72"/>
      <c r="AN66" s="72"/>
      <c r="AO66" s="72"/>
      <c r="AP66" s="72"/>
      <c r="AQ66" s="72"/>
      <c r="AR66" s="72"/>
      <c r="AS66" s="72"/>
      <c r="AT66" s="72"/>
      <c r="AU66" s="72"/>
      <c r="AV66" s="72"/>
      <c r="AW66" s="72"/>
      <c r="AX66" s="72"/>
      <c r="AY66" s="72"/>
      <c r="AZ66" s="72"/>
      <c r="BA66" s="72"/>
      <c r="BB66" s="72"/>
      <c r="BC66" s="72"/>
      <c r="BD66" s="72"/>
      <c r="BE66" s="72"/>
      <c r="BF66" s="72"/>
      <c r="BG66" s="72"/>
      <c r="BH66" s="72"/>
      <c r="BI66" s="72"/>
      <c r="BJ66" s="72"/>
      <c r="BK66" s="72"/>
      <c r="BL66" s="72"/>
      <c r="BM66" s="72"/>
      <c r="BN66" s="72"/>
      <c r="BO66" s="72"/>
    </row>
    <row r="67" spans="1:67" x14ac:dyDescent="0.25">
      <c r="A67" s="72"/>
      <c r="B67" s="87"/>
      <c r="C67" s="87" t="s">
        <v>46</v>
      </c>
      <c r="D67" s="72"/>
      <c r="E67" s="72"/>
      <c r="F67" s="72"/>
      <c r="G67" s="72"/>
      <c r="H67" s="72"/>
      <c r="I67" s="72"/>
      <c r="J67" s="72"/>
      <c r="K67" s="72"/>
      <c r="L67" s="72"/>
      <c r="M67" s="72"/>
      <c r="N67" s="72"/>
      <c r="O67" s="72"/>
      <c r="P67" s="72"/>
      <c r="Q67" s="72"/>
      <c r="R67" s="72"/>
      <c r="S67" s="72"/>
      <c r="T67" s="72"/>
      <c r="U67" s="72"/>
      <c r="V67" s="72"/>
      <c r="W67" s="72"/>
      <c r="X67" s="72"/>
      <c r="Y67" s="72"/>
      <c r="Z67" s="72"/>
      <c r="AA67" s="72"/>
      <c r="AB67" s="72"/>
      <c r="AC67" s="72"/>
      <c r="AD67" s="72"/>
      <c r="AE67" s="72"/>
      <c r="AF67" s="72"/>
      <c r="AG67" s="72"/>
      <c r="AH67" s="72"/>
      <c r="AI67" s="72"/>
      <c r="AJ67" s="72"/>
      <c r="AK67" s="72"/>
      <c r="AL67" s="72"/>
      <c r="AM67" s="72"/>
      <c r="AN67" s="72"/>
      <c r="AO67" s="72"/>
      <c r="AP67" s="72"/>
      <c r="AQ67" s="72"/>
      <c r="AR67" s="72"/>
      <c r="AS67" s="72"/>
      <c r="AT67" s="72"/>
      <c r="AU67" s="72"/>
      <c r="AV67" s="72"/>
      <c r="AW67" s="72"/>
      <c r="AX67" s="72"/>
      <c r="AY67" s="72"/>
      <c r="AZ67" s="72"/>
      <c r="BA67" s="72"/>
      <c r="BB67" s="72"/>
      <c r="BC67" s="72"/>
      <c r="BD67" s="72"/>
      <c r="BE67" s="72"/>
      <c r="BF67" s="72"/>
      <c r="BG67" s="72"/>
      <c r="BH67" s="72"/>
      <c r="BI67" s="72"/>
      <c r="BJ67" s="72"/>
      <c r="BK67" s="72"/>
      <c r="BL67" s="72"/>
      <c r="BM67" s="72"/>
      <c r="BN67" s="72"/>
      <c r="BO67" s="72"/>
    </row>
    <row r="68" spans="1:67" x14ac:dyDescent="0.25">
      <c r="A68" s="72"/>
      <c r="B68" s="87"/>
      <c r="C68" s="87" t="s">
        <v>47</v>
      </c>
      <c r="D68" s="72"/>
      <c r="E68" s="72"/>
      <c r="F68" s="72"/>
      <c r="G68" s="72"/>
      <c r="H68" s="72"/>
      <c r="I68" s="72"/>
      <c r="J68" s="72"/>
      <c r="K68" s="72"/>
      <c r="L68" s="72"/>
      <c r="M68" s="72"/>
      <c r="N68" s="72"/>
      <c r="O68" s="72"/>
      <c r="P68" s="72"/>
      <c r="Q68" s="72"/>
      <c r="R68" s="72"/>
      <c r="S68" s="72"/>
      <c r="T68" s="72"/>
      <c r="U68" s="72"/>
      <c r="V68" s="72"/>
      <c r="W68" s="72"/>
      <c r="X68" s="72"/>
      <c r="Y68" s="72"/>
      <c r="Z68" s="72"/>
      <c r="AA68" s="72"/>
      <c r="AB68" s="72"/>
      <c r="AC68" s="72"/>
      <c r="AD68" s="72"/>
      <c r="AE68" s="72"/>
      <c r="AF68" s="72"/>
      <c r="AG68" s="72"/>
      <c r="AH68" s="72"/>
      <c r="AI68" s="72"/>
      <c r="AJ68" s="72"/>
      <c r="AK68" s="72"/>
      <c r="AL68" s="72"/>
      <c r="AM68" s="72"/>
      <c r="AN68" s="72"/>
      <c r="AO68" s="72"/>
      <c r="AP68" s="72"/>
      <c r="AQ68" s="72"/>
      <c r="AR68" s="72"/>
      <c r="AS68" s="72"/>
      <c r="AT68" s="72"/>
      <c r="AU68" s="72"/>
      <c r="AV68" s="72"/>
      <c r="AW68" s="72"/>
      <c r="AX68" s="72"/>
      <c r="AY68" s="72"/>
      <c r="AZ68" s="72"/>
      <c r="BA68" s="72"/>
      <c r="BB68" s="72"/>
      <c r="BC68" s="72"/>
      <c r="BD68" s="72"/>
      <c r="BE68" s="72"/>
      <c r="BF68" s="72"/>
      <c r="BG68" s="72"/>
      <c r="BH68" s="72"/>
      <c r="BI68" s="72"/>
      <c r="BJ68" s="72"/>
      <c r="BK68" s="72"/>
      <c r="BL68" s="72"/>
      <c r="BM68" s="72"/>
      <c r="BN68" s="72"/>
    </row>
    <row r="69" spans="1:67" x14ac:dyDescent="0.25">
      <c r="A69" s="72"/>
      <c r="B69" s="87"/>
      <c r="C69" s="87" t="s">
        <v>48</v>
      </c>
      <c r="D69" s="72"/>
      <c r="E69" s="72"/>
      <c r="F69" s="72"/>
      <c r="G69" s="72"/>
      <c r="H69" s="72"/>
      <c r="I69" s="72"/>
      <c r="J69" s="72"/>
      <c r="K69" s="72"/>
      <c r="L69" s="72"/>
      <c r="M69" s="72"/>
      <c r="N69" s="72"/>
      <c r="O69" s="72"/>
      <c r="P69" s="72"/>
      <c r="Q69" s="72"/>
      <c r="R69" s="72"/>
      <c r="S69" s="72"/>
      <c r="T69" s="72"/>
      <c r="U69" s="72"/>
      <c r="V69" s="72"/>
      <c r="W69" s="72"/>
      <c r="X69" s="72"/>
      <c r="Y69" s="72"/>
      <c r="Z69" s="72"/>
      <c r="AA69" s="72"/>
      <c r="AB69" s="72"/>
      <c r="AC69" s="72"/>
      <c r="AD69" s="72"/>
      <c r="AE69" s="72"/>
      <c r="AF69" s="72"/>
      <c r="AG69" s="72"/>
      <c r="AH69" s="72"/>
      <c r="AI69" s="72"/>
      <c r="AJ69" s="72"/>
      <c r="AK69" s="72"/>
      <c r="AL69" s="72"/>
      <c r="AM69" s="72"/>
      <c r="AN69" s="72"/>
      <c r="AO69" s="72"/>
      <c r="AP69" s="72"/>
      <c r="AQ69" s="72"/>
      <c r="AR69" s="72"/>
      <c r="AS69" s="72"/>
      <c r="AT69" s="72"/>
      <c r="AU69" s="72"/>
      <c r="AV69" s="72"/>
      <c r="AW69" s="72"/>
      <c r="AX69" s="72"/>
      <c r="AY69" s="72"/>
      <c r="AZ69" s="72"/>
      <c r="BA69" s="72"/>
      <c r="BB69" s="72"/>
      <c r="BC69" s="72"/>
      <c r="BD69" s="72"/>
      <c r="BE69" s="72"/>
      <c r="BF69" s="72"/>
      <c r="BG69" s="72"/>
      <c r="BH69" s="72"/>
      <c r="BI69" s="72"/>
      <c r="BJ69" s="72"/>
      <c r="BK69" s="72"/>
      <c r="BL69" s="72"/>
      <c r="BM69" s="72"/>
      <c r="BN69" s="72"/>
    </row>
    <row r="70" spans="1:67" x14ac:dyDescent="0.25">
      <c r="A70" s="72"/>
      <c r="B70" s="87"/>
      <c r="C70" s="87" t="s">
        <v>49</v>
      </c>
      <c r="D70" s="72"/>
      <c r="E70" s="72"/>
      <c r="F70" s="72"/>
      <c r="G70" s="72"/>
      <c r="H70" s="72"/>
      <c r="I70" s="72"/>
      <c r="J70" s="72"/>
      <c r="K70" s="72"/>
      <c r="L70" s="72"/>
      <c r="M70" s="72"/>
      <c r="N70" s="72"/>
      <c r="O70" s="72"/>
      <c r="P70" s="72"/>
      <c r="Q70" s="72"/>
      <c r="R70" s="72"/>
      <c r="S70" s="72"/>
      <c r="T70" s="72"/>
      <c r="U70" s="72"/>
      <c r="V70" s="72"/>
      <c r="W70" s="72"/>
      <c r="X70" s="72"/>
      <c r="Y70" s="72"/>
      <c r="Z70" s="72"/>
      <c r="AA70" s="72"/>
      <c r="AB70" s="72"/>
      <c r="AC70" s="72"/>
      <c r="AD70" s="72"/>
      <c r="AE70" s="72"/>
      <c r="AF70" s="72"/>
      <c r="AG70" s="72"/>
      <c r="AH70" s="72"/>
      <c r="AI70" s="72"/>
      <c r="AJ70" s="72"/>
      <c r="AK70" s="72"/>
      <c r="AL70" s="72"/>
      <c r="AM70" s="72"/>
      <c r="AN70" s="72"/>
      <c r="AO70" s="72"/>
      <c r="AP70" s="72"/>
      <c r="AQ70" s="72"/>
      <c r="AR70" s="72"/>
      <c r="AS70" s="72"/>
      <c r="AT70" s="72"/>
      <c r="AU70" s="72"/>
      <c r="AV70" s="72"/>
      <c r="AW70" s="72"/>
      <c r="AX70" s="72"/>
      <c r="AY70" s="72"/>
      <c r="AZ70" s="72"/>
      <c r="BA70" s="72"/>
      <c r="BB70" s="72"/>
      <c r="BC70" s="72"/>
      <c r="BD70" s="72"/>
      <c r="BE70" s="72"/>
      <c r="BF70" s="72"/>
      <c r="BG70" s="72"/>
      <c r="BH70" s="72"/>
      <c r="BI70" s="72"/>
      <c r="BJ70" s="72"/>
      <c r="BK70" s="72"/>
      <c r="BL70" s="72"/>
      <c r="BM70" s="72"/>
      <c r="BN70" s="72"/>
    </row>
    <row r="71" spans="1:67" x14ac:dyDescent="0.25">
      <c r="A71" s="72"/>
      <c r="B71" s="87"/>
      <c r="C71" s="87"/>
      <c r="D71" s="72"/>
      <c r="E71" s="72"/>
      <c r="F71" s="72"/>
      <c r="G71" s="72"/>
      <c r="H71" s="72"/>
      <c r="I71" s="72"/>
      <c r="J71" s="72"/>
      <c r="K71" s="72"/>
      <c r="L71" s="72"/>
      <c r="M71" s="72"/>
      <c r="N71" s="72"/>
      <c r="O71" s="72"/>
      <c r="P71" s="72"/>
      <c r="Q71" s="72"/>
      <c r="R71" s="72"/>
      <c r="S71" s="72"/>
      <c r="T71" s="72"/>
      <c r="U71" s="72"/>
      <c r="V71" s="72"/>
      <c r="W71" s="72"/>
      <c r="X71" s="72"/>
      <c r="Y71" s="72"/>
      <c r="Z71" s="72"/>
      <c r="AA71" s="72"/>
      <c r="AB71" s="72"/>
      <c r="AC71" s="72"/>
      <c r="AD71" s="72"/>
      <c r="AE71" s="72"/>
      <c r="AF71" s="72"/>
      <c r="AG71" s="72"/>
      <c r="AH71" s="72"/>
      <c r="AI71" s="72"/>
      <c r="AJ71" s="72"/>
      <c r="AK71" s="72"/>
      <c r="AL71" s="72"/>
      <c r="AM71" s="72"/>
      <c r="AN71" s="72"/>
      <c r="AO71" s="72"/>
      <c r="AP71" s="72"/>
      <c r="AQ71" s="72"/>
      <c r="AR71" s="72"/>
      <c r="AS71" s="72"/>
      <c r="AT71" s="72"/>
      <c r="AU71" s="72"/>
      <c r="AV71" s="72"/>
      <c r="AW71" s="72"/>
      <c r="AX71" s="72"/>
      <c r="AY71" s="72"/>
      <c r="AZ71" s="72"/>
      <c r="BA71" s="72"/>
      <c r="BB71" s="72"/>
      <c r="BC71" s="72"/>
      <c r="BD71" s="72"/>
      <c r="BE71" s="72"/>
      <c r="BF71" s="72"/>
      <c r="BG71" s="72"/>
      <c r="BH71" s="72"/>
      <c r="BI71" s="72"/>
      <c r="BJ71" s="72"/>
      <c r="BK71" s="72"/>
      <c r="BL71" s="72"/>
      <c r="BM71" s="72"/>
      <c r="BN71" s="72"/>
    </row>
    <row r="72" spans="1:67" x14ac:dyDescent="0.25">
      <c r="A72" s="72"/>
      <c r="B72" s="87"/>
      <c r="C72" s="87"/>
      <c r="D72" s="72"/>
      <c r="E72" s="72"/>
      <c r="F72" s="72"/>
      <c r="G72" s="72"/>
      <c r="H72" s="72"/>
      <c r="I72" s="72"/>
      <c r="J72" s="72"/>
      <c r="K72" s="72"/>
      <c r="L72" s="72"/>
      <c r="M72" s="72"/>
      <c r="N72" s="72"/>
      <c r="O72" s="72"/>
      <c r="P72" s="72"/>
      <c r="Q72" s="72"/>
      <c r="R72" s="72"/>
      <c r="S72" s="72"/>
      <c r="T72" s="72"/>
      <c r="U72" s="72"/>
      <c r="V72" s="72"/>
      <c r="W72" s="72"/>
      <c r="X72" s="72"/>
      <c r="Y72" s="72"/>
      <c r="Z72" s="72"/>
      <c r="AA72" s="72"/>
      <c r="AB72" s="72"/>
      <c r="AC72" s="72"/>
      <c r="AD72" s="72"/>
      <c r="AE72" s="72"/>
      <c r="AF72" s="72"/>
      <c r="AG72" s="72"/>
      <c r="AH72" s="72"/>
      <c r="AI72" s="72"/>
      <c r="AJ72" s="72"/>
      <c r="AK72" s="72"/>
      <c r="AL72" s="72"/>
      <c r="AM72" s="72"/>
      <c r="AN72" s="72"/>
      <c r="AO72" s="72"/>
      <c r="AP72" s="72"/>
      <c r="AQ72" s="72"/>
      <c r="AR72" s="72"/>
      <c r="AS72" s="72"/>
      <c r="AT72" s="72"/>
      <c r="AU72" s="72"/>
      <c r="AV72" s="72"/>
      <c r="AW72" s="72"/>
      <c r="AX72" s="72"/>
      <c r="AY72" s="72"/>
      <c r="AZ72" s="72"/>
      <c r="BA72" s="72"/>
      <c r="BB72" s="72"/>
      <c r="BC72" s="72"/>
      <c r="BD72" s="72"/>
      <c r="BE72" s="72"/>
      <c r="BF72" s="72"/>
      <c r="BG72" s="72"/>
      <c r="BH72" s="72"/>
      <c r="BI72" s="72"/>
      <c r="BJ72" s="72"/>
      <c r="BK72" s="72"/>
      <c r="BL72" s="72"/>
      <c r="BM72" s="72"/>
      <c r="BN72" s="72"/>
    </row>
    <row r="73" spans="1:67" x14ac:dyDescent="0.25">
      <c r="A73" s="72"/>
      <c r="B73" s="72"/>
      <c r="C73" s="102"/>
      <c r="D73" s="72"/>
      <c r="E73" s="72"/>
      <c r="F73" s="72"/>
      <c r="G73" s="72"/>
      <c r="H73" s="72"/>
      <c r="I73" s="72"/>
      <c r="J73" s="72"/>
      <c r="K73" s="72"/>
      <c r="L73" s="72"/>
      <c r="M73" s="72"/>
      <c r="N73" s="72"/>
      <c r="O73" s="72"/>
      <c r="P73" s="72"/>
      <c r="Q73" s="72"/>
      <c r="R73" s="72"/>
      <c r="S73" s="72"/>
      <c r="T73" s="72"/>
      <c r="U73" s="72"/>
      <c r="V73" s="72"/>
      <c r="W73" s="72"/>
      <c r="X73" s="72"/>
      <c r="Y73" s="72"/>
      <c r="Z73" s="72"/>
      <c r="AA73" s="72"/>
      <c r="AB73" s="72"/>
      <c r="AC73" s="72"/>
      <c r="AD73" s="72"/>
      <c r="AE73" s="72"/>
      <c r="AF73" s="72"/>
      <c r="AG73" s="72"/>
      <c r="AH73" s="72"/>
      <c r="AI73" s="72"/>
      <c r="AJ73" s="72"/>
      <c r="AK73" s="72"/>
      <c r="AL73" s="72"/>
      <c r="AM73" s="72"/>
      <c r="AN73" s="72"/>
      <c r="AO73" s="72"/>
      <c r="AP73" s="72"/>
      <c r="AQ73" s="72"/>
      <c r="AR73" s="72"/>
      <c r="AS73" s="72"/>
      <c r="AT73" s="72"/>
      <c r="AU73" s="72"/>
      <c r="AV73" s="72"/>
      <c r="AW73" s="72"/>
      <c r="AX73" s="72"/>
      <c r="AY73" s="72"/>
      <c r="AZ73" s="72"/>
      <c r="BA73" s="72"/>
      <c r="BB73" s="72"/>
      <c r="BC73" s="72"/>
      <c r="BD73" s="72"/>
      <c r="BE73" s="72"/>
      <c r="BF73" s="72"/>
      <c r="BG73" s="72"/>
      <c r="BH73" s="72"/>
      <c r="BI73" s="72"/>
      <c r="BJ73" s="72"/>
      <c r="BK73" s="72"/>
      <c r="BL73" s="72"/>
      <c r="BM73" s="72"/>
      <c r="BN73" s="72"/>
    </row>
    <row r="74" spans="1:67" x14ac:dyDescent="0.25">
      <c r="A74" s="72"/>
      <c r="B74" s="72"/>
      <c r="C74" s="72"/>
      <c r="D74" s="72"/>
      <c r="E74" s="72"/>
      <c r="F74" s="72"/>
      <c r="G74" s="72"/>
      <c r="H74" s="72"/>
      <c r="I74" s="72"/>
      <c r="J74" s="72"/>
      <c r="K74" s="72"/>
      <c r="L74" s="72"/>
      <c r="M74" s="72"/>
      <c r="N74" s="72"/>
      <c r="O74" s="72"/>
      <c r="P74" s="72"/>
      <c r="Q74" s="72"/>
      <c r="R74" s="72"/>
      <c r="S74" s="72"/>
      <c r="T74" s="72"/>
      <c r="U74" s="72"/>
      <c r="V74" s="72"/>
      <c r="W74" s="72"/>
      <c r="X74" s="72"/>
      <c r="Y74" s="72"/>
      <c r="Z74" s="72"/>
      <c r="AA74" s="72"/>
      <c r="AB74" s="72"/>
      <c r="AC74" s="72"/>
      <c r="AD74" s="72"/>
      <c r="AE74" s="72"/>
      <c r="AF74" s="72"/>
      <c r="AG74" s="72"/>
      <c r="AH74" s="72"/>
      <c r="AI74" s="72"/>
      <c r="AJ74" s="72"/>
      <c r="AK74" s="72"/>
      <c r="AL74" s="72"/>
      <c r="AM74" s="72"/>
      <c r="AN74" s="72"/>
      <c r="AO74" s="72"/>
      <c r="AP74" s="72"/>
      <c r="AQ74" s="72"/>
      <c r="AR74" s="72"/>
      <c r="AS74" s="72"/>
      <c r="AT74" s="72"/>
      <c r="AU74" s="72"/>
      <c r="AV74" s="72"/>
      <c r="AW74" s="72"/>
      <c r="AX74" s="72"/>
      <c r="AY74" s="72"/>
      <c r="AZ74" s="72"/>
      <c r="BA74" s="72"/>
      <c r="BB74" s="72"/>
      <c r="BC74" s="72"/>
      <c r="BD74" s="72"/>
      <c r="BE74" s="72"/>
      <c r="BF74" s="72"/>
      <c r="BG74" s="72"/>
      <c r="BH74" s="72"/>
      <c r="BI74" s="72"/>
      <c r="BJ74" s="72"/>
      <c r="BK74" s="72"/>
      <c r="BL74" s="72"/>
      <c r="BM74" s="72"/>
      <c r="BN74" s="72"/>
    </row>
    <row r="75" spans="1:67" x14ac:dyDescent="0.25">
      <c r="A75" s="72"/>
      <c r="B75" s="72"/>
      <c r="C75" s="72"/>
      <c r="D75" s="72"/>
      <c r="E75" s="72"/>
      <c r="F75" s="72"/>
      <c r="G75" s="72"/>
      <c r="H75" s="72"/>
      <c r="I75" s="72"/>
      <c r="J75" s="72"/>
      <c r="K75" s="72"/>
      <c r="L75" s="72"/>
      <c r="M75" s="72"/>
      <c r="N75" s="72"/>
      <c r="O75" s="72"/>
      <c r="P75" s="72"/>
      <c r="Q75" s="72"/>
      <c r="R75" s="72"/>
      <c r="S75" s="72"/>
      <c r="T75" s="72"/>
      <c r="U75" s="72"/>
      <c r="V75" s="72"/>
      <c r="W75" s="72"/>
      <c r="X75" s="72"/>
      <c r="Y75" s="72"/>
      <c r="Z75" s="72"/>
      <c r="AA75" s="72"/>
      <c r="AB75" s="72"/>
      <c r="AC75" s="72"/>
      <c r="AD75" s="72"/>
      <c r="AE75" s="72"/>
      <c r="AF75" s="72"/>
      <c r="AG75" s="72"/>
      <c r="AH75" s="72"/>
      <c r="AI75" s="72"/>
      <c r="AJ75" s="72"/>
      <c r="AK75" s="72"/>
      <c r="AL75" s="72"/>
      <c r="AM75" s="72"/>
      <c r="AN75" s="72"/>
      <c r="AO75" s="72"/>
      <c r="AP75" s="72"/>
      <c r="AQ75" s="72"/>
      <c r="AR75" s="72"/>
      <c r="AS75" s="72"/>
      <c r="AT75" s="72"/>
      <c r="AU75" s="72"/>
      <c r="AV75" s="72"/>
      <c r="AW75" s="72"/>
      <c r="AX75" s="72"/>
      <c r="AY75" s="72"/>
      <c r="AZ75" s="72"/>
      <c r="BA75" s="72"/>
      <c r="BB75" s="72"/>
      <c r="BC75" s="72"/>
      <c r="BD75" s="72"/>
      <c r="BE75" s="72"/>
      <c r="BF75" s="72"/>
      <c r="BG75" s="72"/>
      <c r="BH75" s="72"/>
      <c r="BI75" s="72"/>
      <c r="BJ75" s="72"/>
      <c r="BK75" s="72"/>
      <c r="BL75" s="72"/>
      <c r="BM75" s="72"/>
      <c r="BN75" s="72"/>
    </row>
    <row r="76" spans="1:67" x14ac:dyDescent="0.25">
      <c r="A76" s="72"/>
      <c r="B76" s="72"/>
      <c r="C76" s="72"/>
      <c r="D76" s="72"/>
      <c r="E76" s="72"/>
      <c r="F76" s="72"/>
      <c r="G76" s="72"/>
      <c r="H76" s="72"/>
      <c r="I76" s="72"/>
      <c r="J76" s="72"/>
      <c r="K76" s="72"/>
      <c r="L76" s="72"/>
      <c r="M76" s="72"/>
      <c r="N76" s="72"/>
      <c r="O76" s="72"/>
      <c r="P76" s="72"/>
      <c r="Q76" s="72"/>
      <c r="R76" s="72"/>
      <c r="S76" s="72"/>
      <c r="T76" s="72"/>
      <c r="U76" s="72"/>
      <c r="V76" s="72"/>
      <c r="W76" s="72"/>
      <c r="X76" s="72"/>
      <c r="Y76" s="72"/>
      <c r="Z76" s="72"/>
      <c r="AA76" s="72"/>
      <c r="AB76" s="72"/>
      <c r="AC76" s="72"/>
      <c r="AD76" s="72"/>
      <c r="AE76" s="72"/>
      <c r="AF76" s="72"/>
      <c r="AG76" s="72"/>
      <c r="AH76" s="72"/>
      <c r="AI76" s="72"/>
      <c r="AJ76" s="72"/>
      <c r="AK76" s="72"/>
      <c r="AL76" s="72"/>
      <c r="AM76" s="72"/>
      <c r="AN76" s="72"/>
      <c r="AO76" s="72"/>
      <c r="AP76" s="72"/>
      <c r="AQ76" s="72"/>
      <c r="AR76" s="72"/>
      <c r="AS76" s="72"/>
      <c r="AT76" s="72"/>
      <c r="AU76" s="72"/>
      <c r="AV76" s="72"/>
      <c r="AW76" s="72"/>
      <c r="AX76" s="72"/>
      <c r="AY76" s="72"/>
      <c r="AZ76" s="72"/>
      <c r="BA76" s="72"/>
      <c r="BB76" s="72"/>
      <c r="BC76" s="72"/>
      <c r="BD76" s="72"/>
      <c r="BE76" s="72"/>
      <c r="BF76" s="72"/>
      <c r="BG76" s="72"/>
      <c r="BH76" s="72"/>
      <c r="BI76" s="72"/>
      <c r="BJ76" s="72"/>
      <c r="BK76" s="72"/>
      <c r="BL76" s="72"/>
      <c r="BM76" s="72"/>
      <c r="BN76" s="72"/>
    </row>
    <row r="77" spans="1:67" x14ac:dyDescent="0.25">
      <c r="A77" s="72"/>
      <c r="B77" s="72"/>
      <c r="C77" s="72"/>
    </row>
    <row r="78" spans="1:67" x14ac:dyDescent="0.25">
      <c r="A78" s="72"/>
      <c r="B78" s="72"/>
      <c r="C78" s="72"/>
    </row>
    <row r="79" spans="1:67" x14ac:dyDescent="0.25">
      <c r="A79" s="72"/>
      <c r="B79" s="72"/>
      <c r="C79" s="72"/>
    </row>
    <row r="80" spans="1:67" x14ac:dyDescent="0.25">
      <c r="A80" s="72"/>
      <c r="B80" s="72"/>
      <c r="C80" s="72"/>
    </row>
    <row r="81" spans="1:3" x14ac:dyDescent="0.25">
      <c r="A81" s="72"/>
      <c r="B81" s="72"/>
      <c r="C81" s="72"/>
    </row>
    <row r="82" spans="1:3" x14ac:dyDescent="0.25">
      <c r="A82" s="72"/>
      <c r="B82" s="72"/>
      <c r="C82" s="72"/>
    </row>
    <row r="83" spans="1:3" x14ac:dyDescent="0.25">
      <c r="A83" s="72"/>
      <c r="B83" s="72"/>
      <c r="C83" s="72"/>
    </row>
    <row r="84" spans="1:3" x14ac:dyDescent="0.25">
      <c r="A84" s="72"/>
      <c r="B84" s="72"/>
      <c r="C84" s="72"/>
    </row>
    <row r="85" spans="1:3" x14ac:dyDescent="0.25">
      <c r="A85" s="72"/>
      <c r="B85" s="72"/>
      <c r="C85" s="72"/>
    </row>
    <row r="86" spans="1:3" x14ac:dyDescent="0.25">
      <c r="A86" s="72"/>
      <c r="B86" s="72"/>
      <c r="C86" s="72"/>
    </row>
    <row r="87" spans="1:3" x14ac:dyDescent="0.25">
      <c r="A87" s="72"/>
      <c r="B87" s="72"/>
      <c r="C87" s="72"/>
    </row>
    <row r="88" spans="1:3" x14ac:dyDescent="0.25">
      <c r="A88" s="72"/>
      <c r="B88" s="72"/>
      <c r="C88" s="72"/>
    </row>
    <row r="89" spans="1:3" x14ac:dyDescent="0.25">
      <c r="A89" s="72"/>
      <c r="B89" s="72"/>
      <c r="C89" s="72"/>
    </row>
    <row r="90" spans="1:3" x14ac:dyDescent="0.25">
      <c r="A90" s="72"/>
      <c r="B90" s="72"/>
      <c r="C90" s="72"/>
    </row>
    <row r="91" spans="1:3" x14ac:dyDescent="0.25">
      <c r="A91" s="72"/>
      <c r="B91" s="72"/>
      <c r="C91" s="72"/>
    </row>
    <row r="92" spans="1:3" x14ac:dyDescent="0.25">
      <c r="A92" s="72"/>
      <c r="B92" s="72"/>
      <c r="C92" s="72"/>
    </row>
    <row r="93" spans="1:3" x14ac:dyDescent="0.25">
      <c r="A93" s="72"/>
      <c r="B93" s="72"/>
      <c r="C93" s="72"/>
    </row>
    <row r="94" spans="1:3" x14ac:dyDescent="0.25">
      <c r="A94" s="72"/>
      <c r="B94" s="72"/>
      <c r="C94" s="72"/>
    </row>
    <row r="95" spans="1:3" x14ac:dyDescent="0.25">
      <c r="A95" s="72"/>
      <c r="B95" s="72"/>
      <c r="C95" s="72"/>
    </row>
    <row r="96" spans="1:3" x14ac:dyDescent="0.25">
      <c r="A96" s="72"/>
      <c r="B96" s="72"/>
      <c r="C96" s="72"/>
    </row>
    <row r="97" spans="1:3" x14ac:dyDescent="0.25">
      <c r="A97" s="72"/>
      <c r="B97" s="72"/>
      <c r="C97" s="72"/>
    </row>
    <row r="98" spans="1:3" x14ac:dyDescent="0.25">
      <c r="A98" s="72"/>
      <c r="B98" s="72"/>
      <c r="C98" s="72"/>
    </row>
    <row r="99" spans="1:3" x14ac:dyDescent="0.25">
      <c r="A99" s="72"/>
      <c r="B99" s="72"/>
      <c r="C99" s="72"/>
    </row>
    <row r="100" spans="1:3" x14ac:dyDescent="0.25">
      <c r="A100" s="72"/>
      <c r="B100" s="72"/>
      <c r="C100" s="72"/>
    </row>
    <row r="101" spans="1:3" x14ac:dyDescent="0.25">
      <c r="A101" s="72"/>
      <c r="B101" s="72"/>
      <c r="C101" s="72"/>
    </row>
    <row r="102" spans="1:3" x14ac:dyDescent="0.25">
      <c r="A102" s="72"/>
      <c r="B102" s="72"/>
      <c r="C102" s="72"/>
    </row>
    <row r="103" spans="1:3" x14ac:dyDescent="0.25">
      <c r="A103" s="72"/>
      <c r="B103" s="72"/>
      <c r="C103" s="72"/>
    </row>
    <row r="104" spans="1:3" x14ac:dyDescent="0.25">
      <c r="A104" s="72"/>
      <c r="B104" s="72"/>
      <c r="C104" s="72"/>
    </row>
    <row r="105" spans="1:3" x14ac:dyDescent="0.25">
      <c r="A105" s="72"/>
      <c r="B105" s="72"/>
      <c r="C105" s="72"/>
    </row>
    <row r="106" spans="1:3" x14ac:dyDescent="0.25">
      <c r="A106" s="72"/>
      <c r="B106" s="72"/>
      <c r="C106" s="72"/>
    </row>
    <row r="107" spans="1:3" x14ac:dyDescent="0.25">
      <c r="A107" s="72"/>
      <c r="B107" s="72"/>
      <c r="C107" s="72"/>
    </row>
    <row r="108" spans="1:3" x14ac:dyDescent="0.25">
      <c r="A108" s="72"/>
      <c r="B108" s="72"/>
      <c r="C108" s="72"/>
    </row>
    <row r="109" spans="1:3" x14ac:dyDescent="0.25">
      <c r="A109" s="72"/>
      <c r="B109" s="72"/>
      <c r="C109" s="72"/>
    </row>
    <row r="110" spans="1:3" x14ac:dyDescent="0.25">
      <c r="A110" s="72"/>
      <c r="B110" s="72"/>
      <c r="C110" s="72"/>
    </row>
    <row r="111" spans="1:3" x14ac:dyDescent="0.25">
      <c r="A111" s="72"/>
      <c r="B111" s="72"/>
      <c r="C111" s="72"/>
    </row>
    <row r="112" spans="1:3" x14ac:dyDescent="0.25">
      <c r="A112" s="72"/>
      <c r="B112" s="72"/>
      <c r="C112" s="72"/>
    </row>
    <row r="113" spans="1:3" x14ac:dyDescent="0.25">
      <c r="A113" s="72"/>
      <c r="B113" s="72"/>
      <c r="C113" s="72"/>
    </row>
    <row r="114" spans="1:3" x14ac:dyDescent="0.25">
      <c r="A114" s="72"/>
      <c r="B114" s="72"/>
      <c r="C114" s="72"/>
    </row>
    <row r="115" spans="1:3" x14ac:dyDescent="0.25">
      <c r="A115" s="72"/>
      <c r="B115" s="72"/>
      <c r="C115" s="72"/>
    </row>
    <row r="116" spans="1:3" x14ac:dyDescent="0.25">
      <c r="A116" s="72"/>
      <c r="B116" s="72"/>
      <c r="C116" s="72"/>
    </row>
  </sheetData>
  <sheetProtection password="D989" sheet="1" objects="1" scenarios="1"/>
  <mergeCells count="61">
    <mergeCell ref="C53:D53"/>
    <mergeCell ref="C48:D48"/>
    <mergeCell ref="C49:D49"/>
    <mergeCell ref="C50:D50"/>
    <mergeCell ref="C51:D51"/>
    <mergeCell ref="C52:D52"/>
    <mergeCell ref="E63:O63"/>
    <mergeCell ref="AW62:BG62"/>
    <mergeCell ref="AW63:BG63"/>
    <mergeCell ref="C42:D42"/>
    <mergeCell ref="C40:D40"/>
    <mergeCell ref="C55:D55"/>
    <mergeCell ref="C56:D56"/>
    <mergeCell ref="C57:D57"/>
    <mergeCell ref="C58:D58"/>
    <mergeCell ref="C59:D59"/>
    <mergeCell ref="C54:D54"/>
    <mergeCell ref="C43:D43"/>
    <mergeCell ref="C44:D44"/>
    <mergeCell ref="C45:D45"/>
    <mergeCell ref="C46:D46"/>
    <mergeCell ref="C47:D47"/>
    <mergeCell ref="C29:D29"/>
    <mergeCell ref="C36:D36"/>
    <mergeCell ref="C37:D37"/>
    <mergeCell ref="C38:D38"/>
    <mergeCell ref="C39:D39"/>
    <mergeCell ref="C31:D31"/>
    <mergeCell ref="C32:D32"/>
    <mergeCell ref="C33:D33"/>
    <mergeCell ref="C34:D34"/>
    <mergeCell ref="C35:D35"/>
    <mergeCell ref="BK13:BK14"/>
    <mergeCell ref="C15:D15"/>
    <mergeCell ref="C16:D16"/>
    <mergeCell ref="C17:D17"/>
    <mergeCell ref="C41:D41"/>
    <mergeCell ref="C30:D30"/>
    <mergeCell ref="C19:D19"/>
    <mergeCell ref="C20:D20"/>
    <mergeCell ref="C21:D21"/>
    <mergeCell ref="C22:D22"/>
    <mergeCell ref="C23:D23"/>
    <mergeCell ref="C24:D24"/>
    <mergeCell ref="C25:D25"/>
    <mergeCell ref="C26:D26"/>
    <mergeCell ref="C27:D27"/>
    <mergeCell ref="C28:D28"/>
    <mergeCell ref="C18:D18"/>
    <mergeCell ref="B13:B14"/>
    <mergeCell ref="C13:D14"/>
    <mergeCell ref="E13:BF13"/>
    <mergeCell ref="BB9:BG9"/>
    <mergeCell ref="BG13:BJ13"/>
    <mergeCell ref="BH9:BJ9"/>
    <mergeCell ref="B2:BK3"/>
    <mergeCell ref="B4:BK4"/>
    <mergeCell ref="BB5:BG5"/>
    <mergeCell ref="BH5:BJ5"/>
    <mergeCell ref="BB7:BG7"/>
    <mergeCell ref="BH7:BJ7"/>
  </mergeCells>
  <conditionalFormatting sqref="BK15:BK59">
    <cfRule type="containsErrors" priority="2">
      <formula>ISERROR(BK15)</formula>
    </cfRule>
  </conditionalFormatting>
  <conditionalFormatting sqref="BK15:BK59">
    <cfRule type="containsText" dxfId="48" priority="1" operator="containsText" text="#¡VALOR!">
      <formula>NOT(ISERROR(SEARCH("#¡VALOR!",BK15)))</formula>
    </cfRule>
  </conditionalFormatting>
  <pageMargins left="0.25" right="0.25" top="0.75" bottom="0.75" header="0.3" footer="0.3"/>
  <pageSetup scale="59" orientation="portrait" r:id="rId1"/>
  <drawing r:id="rId2"/>
  <legacyDrawing r:id="rId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2">
    <tabColor theme="9" tint="-0.499984740745262"/>
    <pageSetUpPr fitToPage="1"/>
  </sheetPr>
  <dimension ref="A1:BD83"/>
  <sheetViews>
    <sheetView showZeros="0" zoomScale="80" zoomScaleNormal="80" workbookViewId="0">
      <pane ySplit="18" topLeftCell="A49" activePane="bottomLeft" state="frozen"/>
      <selection pane="bottomLeft" activeCell="C60" sqref="C60:D60"/>
    </sheetView>
  </sheetViews>
  <sheetFormatPr baseColWidth="10" defaultColWidth="11.42578125" defaultRowHeight="15" x14ac:dyDescent="0.25"/>
  <cols>
    <col min="1" max="1" width="2.140625" style="66" customWidth="1"/>
    <col min="2" max="2" width="3.5703125" style="66" customWidth="1"/>
    <col min="3" max="3" width="28.5703125" style="66" customWidth="1"/>
    <col min="4" max="4" width="4" style="66" customWidth="1"/>
    <col min="5" max="9" width="2.7109375" style="66" customWidth="1"/>
    <col min="10" max="10" width="5.7109375" style="66" customWidth="1"/>
    <col min="11" max="25" width="2.7109375" style="66" customWidth="1"/>
    <col min="26" max="26" width="5.7109375" style="66" customWidth="1"/>
    <col min="27" max="41" width="2.7109375" style="66" customWidth="1"/>
    <col min="42" max="42" width="5.7109375" style="66" customWidth="1"/>
    <col min="43" max="47" width="2.7109375" style="66" customWidth="1"/>
    <col min="48" max="48" width="5.7109375" style="66" customWidth="1"/>
    <col min="49" max="49" width="8.7109375" style="66" customWidth="1"/>
    <col min="50" max="50" width="9.42578125" style="66" customWidth="1"/>
    <col min="51" max="51" width="8.42578125" style="66" customWidth="1"/>
    <col min="52" max="52" width="12.7109375" style="66" customWidth="1"/>
    <col min="53" max="53" width="8.5703125" style="66" customWidth="1"/>
    <col min="54" max="54" width="9.140625" style="66" customWidth="1"/>
    <col min="55" max="55" width="50.5703125" style="66" customWidth="1"/>
    <col min="56" max="16384" width="11.42578125" style="66"/>
  </cols>
  <sheetData>
    <row r="1" spans="1:56" ht="6" customHeight="1" x14ac:dyDescent="0.25">
      <c r="A1" s="102"/>
      <c r="B1" s="72"/>
      <c r="C1" s="72"/>
      <c r="D1" s="72"/>
      <c r="E1" s="72"/>
      <c r="F1" s="72"/>
      <c r="G1" s="72"/>
      <c r="H1" s="72"/>
      <c r="I1" s="72"/>
      <c r="J1" s="72"/>
      <c r="K1" s="72"/>
      <c r="L1" s="72"/>
      <c r="M1" s="72"/>
      <c r="N1" s="72"/>
      <c r="O1" s="72"/>
      <c r="P1" s="72"/>
      <c r="Q1" s="72"/>
      <c r="R1" s="72"/>
      <c r="S1" s="72"/>
      <c r="T1" s="72"/>
      <c r="U1" s="72"/>
      <c r="V1" s="72"/>
      <c r="W1" s="72"/>
      <c r="X1" s="72"/>
      <c r="Y1" s="72"/>
      <c r="Z1" s="7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2"/>
      <c r="AT1" s="72"/>
      <c r="AU1" s="72"/>
      <c r="AV1" s="72"/>
      <c r="AW1" s="72"/>
      <c r="AX1" s="72"/>
      <c r="AY1" s="72"/>
      <c r="AZ1" s="72"/>
      <c r="BA1" s="72"/>
    </row>
    <row r="2" spans="1:56" ht="6.75" customHeight="1" x14ac:dyDescent="0.25">
      <c r="A2" s="102"/>
      <c r="B2" s="72"/>
      <c r="C2" s="72"/>
      <c r="D2" s="72"/>
      <c r="E2" s="72"/>
      <c r="F2" s="72"/>
      <c r="G2" s="72"/>
      <c r="H2" s="72"/>
      <c r="I2" s="72"/>
      <c r="J2" s="72"/>
      <c r="K2" s="72"/>
      <c r="L2" s="72"/>
      <c r="M2" s="72"/>
      <c r="N2" s="72"/>
      <c r="O2" s="72"/>
      <c r="P2" s="72"/>
      <c r="Q2" s="72"/>
      <c r="R2" s="72"/>
      <c r="S2" s="72"/>
      <c r="T2" s="72"/>
      <c r="U2" s="72"/>
      <c r="V2" s="72"/>
      <c r="W2" s="72"/>
      <c r="X2" s="72"/>
      <c r="Y2" s="72"/>
      <c r="Z2" s="72"/>
      <c r="AA2" s="72"/>
      <c r="AB2" s="72"/>
      <c r="AC2" s="72"/>
      <c r="AD2" s="72"/>
      <c r="AE2" s="72"/>
      <c r="AF2" s="72"/>
      <c r="AG2" s="72"/>
      <c r="AH2" s="72"/>
      <c r="AI2" s="72"/>
      <c r="AJ2" s="72"/>
      <c r="AK2" s="72"/>
      <c r="AL2" s="72"/>
      <c r="AM2" s="72"/>
      <c r="AN2" s="72"/>
      <c r="AO2" s="72"/>
      <c r="AP2" s="72"/>
      <c r="AQ2" s="72"/>
      <c r="AR2" s="72"/>
      <c r="AS2" s="72"/>
      <c r="AT2" s="72"/>
      <c r="AU2" s="72"/>
      <c r="AV2" s="72"/>
      <c r="AW2" s="72"/>
      <c r="AX2" s="72"/>
      <c r="AY2" s="72"/>
      <c r="AZ2" s="72"/>
      <c r="BA2" s="72"/>
    </row>
    <row r="3" spans="1:56" ht="9.9499999999999993" customHeight="1" x14ac:dyDescent="0.25">
      <c r="A3" s="102"/>
      <c r="B3" s="639" t="s">
        <v>263</v>
      </c>
      <c r="C3" s="640"/>
      <c r="D3" s="640"/>
      <c r="E3" s="640"/>
      <c r="F3" s="640"/>
      <c r="G3" s="640"/>
      <c r="H3" s="640"/>
      <c r="I3" s="640"/>
      <c r="J3" s="640"/>
      <c r="K3" s="640"/>
      <c r="L3" s="640"/>
      <c r="M3" s="640"/>
      <c r="N3" s="640"/>
      <c r="O3" s="640"/>
      <c r="P3" s="640"/>
      <c r="Q3" s="640"/>
      <c r="R3" s="640"/>
      <c r="S3" s="640"/>
      <c r="T3" s="640"/>
      <c r="U3" s="640"/>
      <c r="V3" s="640"/>
      <c r="W3" s="640"/>
      <c r="X3" s="640"/>
      <c r="Y3" s="640"/>
      <c r="Z3" s="640"/>
      <c r="AA3" s="640"/>
      <c r="AB3" s="640"/>
      <c r="AC3" s="640"/>
      <c r="AD3" s="640"/>
      <c r="AE3" s="640"/>
      <c r="AF3" s="640"/>
      <c r="AG3" s="640"/>
      <c r="AH3" s="640"/>
      <c r="AI3" s="640"/>
      <c r="AJ3" s="640"/>
      <c r="AK3" s="640"/>
      <c r="AL3" s="640"/>
      <c r="AM3" s="640"/>
      <c r="AN3" s="640"/>
      <c r="AO3" s="640"/>
      <c r="AP3" s="640"/>
      <c r="AQ3" s="640"/>
      <c r="AR3" s="640"/>
      <c r="AS3" s="640"/>
      <c r="AT3" s="640"/>
      <c r="AU3" s="640"/>
      <c r="AV3" s="640"/>
      <c r="AW3" s="640"/>
      <c r="AX3" s="640"/>
      <c r="AY3" s="640"/>
      <c r="AZ3" s="640"/>
      <c r="BA3" s="72"/>
    </row>
    <row r="4" spans="1:56" ht="7.5" customHeight="1" x14ac:dyDescent="0.25">
      <c r="A4" s="102"/>
      <c r="B4" s="639"/>
      <c r="C4" s="640"/>
      <c r="D4" s="640"/>
      <c r="E4" s="640"/>
      <c r="F4" s="640"/>
      <c r="G4" s="640"/>
      <c r="H4" s="640"/>
      <c r="I4" s="640"/>
      <c r="J4" s="640"/>
      <c r="K4" s="640"/>
      <c r="L4" s="640"/>
      <c r="M4" s="640"/>
      <c r="N4" s="640"/>
      <c r="O4" s="640"/>
      <c r="P4" s="640"/>
      <c r="Q4" s="640"/>
      <c r="R4" s="640"/>
      <c r="S4" s="640"/>
      <c r="T4" s="640"/>
      <c r="U4" s="640"/>
      <c r="V4" s="640"/>
      <c r="W4" s="640"/>
      <c r="X4" s="640"/>
      <c r="Y4" s="640"/>
      <c r="Z4" s="640"/>
      <c r="AA4" s="640"/>
      <c r="AB4" s="640"/>
      <c r="AC4" s="640"/>
      <c r="AD4" s="640"/>
      <c r="AE4" s="640"/>
      <c r="AF4" s="640"/>
      <c r="AG4" s="640"/>
      <c r="AH4" s="640"/>
      <c r="AI4" s="640"/>
      <c r="AJ4" s="640"/>
      <c r="AK4" s="640"/>
      <c r="AL4" s="640"/>
      <c r="AM4" s="640"/>
      <c r="AN4" s="640"/>
      <c r="AO4" s="640"/>
      <c r="AP4" s="640"/>
      <c r="AQ4" s="640"/>
      <c r="AR4" s="640"/>
      <c r="AS4" s="640"/>
      <c r="AT4" s="640"/>
      <c r="AU4" s="640"/>
      <c r="AV4" s="640"/>
      <c r="AW4" s="640"/>
      <c r="AX4" s="640"/>
      <c r="AY4" s="640"/>
      <c r="AZ4" s="640"/>
      <c r="BA4" s="72"/>
    </row>
    <row r="5" spans="1:56" ht="3" customHeight="1" x14ac:dyDescent="0.25">
      <c r="A5" s="102"/>
      <c r="B5" s="115"/>
      <c r="C5" s="115"/>
      <c r="D5" s="115"/>
      <c r="E5" s="115"/>
      <c r="F5" s="115"/>
      <c r="G5" s="115"/>
      <c r="H5" s="115"/>
      <c r="I5" s="115"/>
      <c r="J5" s="115"/>
      <c r="K5" s="115"/>
      <c r="L5" s="115"/>
      <c r="M5" s="115"/>
      <c r="N5" s="115"/>
      <c r="O5" s="115"/>
      <c r="P5" s="115"/>
      <c r="Q5" s="115"/>
      <c r="R5" s="115"/>
      <c r="S5" s="115"/>
      <c r="T5" s="115"/>
      <c r="U5" s="115"/>
      <c r="V5" s="115"/>
      <c r="W5" s="115"/>
      <c r="X5" s="115"/>
      <c r="Y5" s="115"/>
      <c r="Z5" s="115"/>
      <c r="AA5" s="115"/>
      <c r="AB5" s="115"/>
      <c r="AC5" s="115"/>
      <c r="AD5" s="115"/>
      <c r="AE5" s="116"/>
      <c r="AF5" s="72"/>
      <c r="AG5" s="72"/>
      <c r="AH5" s="72"/>
      <c r="AI5" s="72"/>
      <c r="AJ5" s="72"/>
      <c r="AK5" s="72"/>
      <c r="AL5" s="72"/>
      <c r="AM5" s="72"/>
      <c r="AN5" s="72"/>
      <c r="AO5" s="72"/>
      <c r="AP5" s="72"/>
      <c r="AQ5" s="72"/>
      <c r="AR5" s="72"/>
      <c r="AS5" s="72"/>
      <c r="AT5" s="72"/>
      <c r="AU5" s="72"/>
      <c r="AV5" s="72"/>
      <c r="AW5" s="72"/>
      <c r="AX5" s="72"/>
      <c r="AY5" s="72"/>
      <c r="AZ5" s="72"/>
      <c r="BA5" s="72"/>
    </row>
    <row r="6" spans="1:56" ht="19.5" customHeight="1" x14ac:dyDescent="0.25">
      <c r="A6" s="102"/>
      <c r="B6" s="117"/>
      <c r="C6" s="118" t="s">
        <v>1</v>
      </c>
      <c r="D6" s="119" t="s">
        <v>6</v>
      </c>
      <c r="E6" s="119"/>
      <c r="F6" s="495">
        <f>CARATULA!G20</f>
        <v>0</v>
      </c>
      <c r="G6" s="288"/>
      <c r="H6" s="288"/>
      <c r="I6" s="288"/>
      <c r="J6" s="288"/>
      <c r="K6" s="288"/>
      <c r="L6" s="288"/>
      <c r="M6" s="288"/>
      <c r="N6" s="288"/>
      <c r="O6" s="288"/>
      <c r="P6" s="288"/>
      <c r="Q6" s="288"/>
      <c r="R6" s="288"/>
      <c r="S6" s="288"/>
      <c r="T6" s="120"/>
      <c r="U6" s="120"/>
      <c r="V6" s="120" t="s">
        <v>44</v>
      </c>
      <c r="W6" s="120"/>
      <c r="X6" s="120"/>
      <c r="Y6" s="120"/>
      <c r="Z6" s="120"/>
      <c r="AA6" s="120"/>
      <c r="AB6" s="120"/>
      <c r="AC6" s="303" t="s">
        <v>6</v>
      </c>
      <c r="AD6" s="641">
        <f>CARATULA!P19</f>
        <v>43663</v>
      </c>
      <c r="AE6" s="641"/>
      <c r="AF6" s="641"/>
      <c r="AG6" s="641"/>
      <c r="AH6" s="641"/>
      <c r="AI6" s="121"/>
      <c r="AJ6" s="647"/>
      <c r="AK6" s="647"/>
      <c r="AL6" s="647"/>
      <c r="AM6" s="647"/>
      <c r="AN6" s="647"/>
      <c r="AO6" s="647"/>
      <c r="AP6" s="647"/>
      <c r="AQ6" s="649"/>
      <c r="AR6" s="649"/>
      <c r="AS6" s="668"/>
      <c r="AT6" s="669"/>
      <c r="AU6" s="669"/>
      <c r="AV6" s="669"/>
      <c r="AW6" s="669"/>
      <c r="AX6" s="670"/>
      <c r="AY6" s="643" t="s">
        <v>68</v>
      </c>
      <c r="AZ6" s="644"/>
      <c r="BA6" s="72"/>
    </row>
    <row r="7" spans="1:56" ht="12.95" customHeight="1" x14ac:dyDescent="0.25">
      <c r="A7" s="102"/>
      <c r="B7" s="117"/>
      <c r="C7" s="118" t="s">
        <v>2</v>
      </c>
      <c r="D7" s="119" t="s">
        <v>6</v>
      </c>
      <c r="E7" s="119"/>
      <c r="F7" s="495">
        <f>CARATULA!G26</f>
        <v>0</v>
      </c>
      <c r="G7" s="288"/>
      <c r="H7" s="288"/>
      <c r="I7" s="288"/>
      <c r="J7" s="288"/>
      <c r="K7" s="288"/>
      <c r="L7" s="288"/>
      <c r="M7" s="288"/>
      <c r="N7" s="288"/>
      <c r="O7" s="288"/>
      <c r="P7" s="288"/>
      <c r="Q7" s="288"/>
      <c r="R7" s="288"/>
      <c r="S7" s="288"/>
      <c r="T7" s="122"/>
      <c r="U7" s="122"/>
      <c r="V7" s="299"/>
      <c r="W7" s="299"/>
      <c r="X7" s="299"/>
      <c r="Y7" s="305"/>
      <c r="Z7" s="305"/>
      <c r="AA7" s="305"/>
      <c r="AB7" s="305"/>
      <c r="AC7" s="303"/>
      <c r="AD7" s="392"/>
      <c r="AE7" s="392"/>
      <c r="AF7" s="306"/>
      <c r="AG7" s="306"/>
      <c r="AH7" s="306"/>
      <c r="AI7" s="78"/>
      <c r="AJ7" s="651" t="s">
        <v>228</v>
      </c>
      <c r="AK7" s="651"/>
      <c r="AL7" s="651"/>
      <c r="AM7" s="651"/>
      <c r="AN7" s="651"/>
      <c r="AO7" s="651"/>
      <c r="AP7" s="651"/>
      <c r="AQ7" s="652">
        <f>COUNTIF(AY19:AY63,"&gt;=50,500")</f>
        <v>0</v>
      </c>
      <c r="AR7" s="652"/>
      <c r="AS7" s="671"/>
      <c r="AT7" s="649"/>
      <c r="AU7" s="649"/>
      <c r="AV7" s="649"/>
      <c r="AW7" s="649"/>
      <c r="AX7" s="672"/>
      <c r="AY7" s="643"/>
      <c r="AZ7" s="644"/>
      <c r="BA7" s="72"/>
    </row>
    <row r="8" spans="1:56" ht="12.95" customHeight="1" x14ac:dyDescent="0.25">
      <c r="A8" s="102"/>
      <c r="B8" s="117"/>
      <c r="C8" s="118" t="s">
        <v>99</v>
      </c>
      <c r="D8" s="119" t="s">
        <v>6</v>
      </c>
      <c r="E8" s="119"/>
      <c r="F8" s="495" t="str">
        <f>CONCATENATE(CARATULA!G28," ",CARATULA!H28)</f>
        <v xml:space="preserve"> </v>
      </c>
      <c r="G8" s="288"/>
      <c r="H8" s="288"/>
      <c r="I8" s="288"/>
      <c r="J8" s="288"/>
      <c r="K8" s="288"/>
      <c r="L8" s="288"/>
      <c r="M8" s="288"/>
      <c r="N8" s="288"/>
      <c r="O8" s="288"/>
      <c r="P8" s="288"/>
      <c r="Q8" s="288"/>
      <c r="R8" s="288"/>
      <c r="S8" s="288"/>
      <c r="T8" s="125"/>
      <c r="U8" s="120"/>
      <c r="V8" s="125" t="s">
        <v>45</v>
      </c>
      <c r="W8" s="125"/>
      <c r="X8" s="125"/>
      <c r="Y8" s="125"/>
      <c r="Z8" s="125"/>
      <c r="AA8" s="125"/>
      <c r="AB8" s="125"/>
      <c r="AC8" s="303" t="s">
        <v>6</v>
      </c>
      <c r="AD8" s="641">
        <f>CARATULA!R19</f>
        <v>43736</v>
      </c>
      <c r="AE8" s="641"/>
      <c r="AF8" s="641"/>
      <c r="AG8" s="641"/>
      <c r="AH8" s="641"/>
      <c r="AI8" s="121"/>
      <c r="AJ8" s="648" t="s">
        <v>229</v>
      </c>
      <c r="AK8" s="648"/>
      <c r="AL8" s="648"/>
      <c r="AM8" s="648"/>
      <c r="AN8" s="648"/>
      <c r="AO8" s="648"/>
      <c r="AP8" s="648"/>
      <c r="AQ8" s="706">
        <f>COUNTIFS(AY19:AY63,"&gt;=1",AY19:AY63,"&lt;=50,499")</f>
        <v>0</v>
      </c>
      <c r="AR8" s="719"/>
      <c r="AS8" s="671"/>
      <c r="AT8" s="649"/>
      <c r="AU8" s="649"/>
      <c r="AV8" s="649"/>
      <c r="AW8" s="649"/>
      <c r="AX8" s="672"/>
      <c r="AY8" s="645">
        <f ca="1">AD8-AD10</f>
        <v>226</v>
      </c>
      <c r="AZ8" s="646"/>
      <c r="BA8" s="72"/>
    </row>
    <row r="9" spans="1:56" ht="12.95" customHeight="1" x14ac:dyDescent="0.25">
      <c r="A9" s="102"/>
      <c r="B9" s="117"/>
      <c r="C9" s="118" t="s">
        <v>382</v>
      </c>
      <c r="D9" s="119" t="s">
        <v>6</v>
      </c>
      <c r="E9" s="119"/>
      <c r="F9" s="495">
        <f>CARATULA!G22</f>
        <v>0</v>
      </c>
      <c r="G9" s="288"/>
      <c r="H9" s="288"/>
      <c r="I9" s="288"/>
      <c r="J9" s="288"/>
      <c r="K9" s="288"/>
      <c r="L9" s="288"/>
      <c r="M9" s="288"/>
      <c r="N9" s="288"/>
      <c r="O9" s="288"/>
      <c r="P9" s="288"/>
      <c r="Q9" s="288"/>
      <c r="R9" s="288"/>
      <c r="S9" s="288"/>
      <c r="T9" s="120"/>
      <c r="U9" s="120"/>
      <c r="V9" s="299"/>
      <c r="W9" s="299"/>
      <c r="X9" s="299"/>
      <c r="Y9" s="305"/>
      <c r="Z9" s="305"/>
      <c r="AA9" s="305"/>
      <c r="AB9" s="305"/>
      <c r="AC9" s="303"/>
      <c r="AD9" s="392"/>
      <c r="AE9" s="392"/>
      <c r="AF9" s="359"/>
      <c r="AG9" s="359"/>
      <c r="AH9" s="359"/>
      <c r="AI9" s="76"/>
      <c r="AJ9" s="76"/>
      <c r="AK9" s="76"/>
      <c r="AL9" s="76"/>
      <c r="AM9" s="76"/>
      <c r="AN9" s="76"/>
      <c r="AO9" s="76"/>
      <c r="AP9" s="76"/>
      <c r="AQ9" s="76"/>
      <c r="AR9" s="76"/>
      <c r="AS9" s="671"/>
      <c r="AT9" s="649"/>
      <c r="AU9" s="649"/>
      <c r="AV9" s="649"/>
      <c r="AW9" s="649"/>
      <c r="AX9" s="672"/>
      <c r="AY9" s="645"/>
      <c r="AZ9" s="646"/>
      <c r="BA9" s="72"/>
      <c r="BB9" s="421" t="s">
        <v>313</v>
      </c>
      <c r="BC9" s="421" t="s">
        <v>312</v>
      </c>
    </row>
    <row r="10" spans="1:56" ht="12.95" customHeight="1" x14ac:dyDescent="0.25">
      <c r="A10" s="102"/>
      <c r="B10" s="117"/>
      <c r="C10" s="118" t="s">
        <v>383</v>
      </c>
      <c r="D10" s="119" t="s">
        <v>6</v>
      </c>
      <c r="E10" s="119"/>
      <c r="F10" s="495">
        <f>CARATULA!G24</f>
        <v>0</v>
      </c>
      <c r="G10" s="288"/>
      <c r="H10" s="288"/>
      <c r="I10" s="288"/>
      <c r="J10" s="288"/>
      <c r="K10" s="288"/>
      <c r="L10" s="288"/>
      <c r="M10" s="288"/>
      <c r="N10" s="288"/>
      <c r="O10" s="288"/>
      <c r="P10" s="288"/>
      <c r="Q10" s="288"/>
      <c r="R10" s="288"/>
      <c r="S10" s="288"/>
      <c r="T10" s="120"/>
      <c r="U10" s="120"/>
      <c r="V10" s="120" t="s">
        <v>66</v>
      </c>
      <c r="W10" s="120"/>
      <c r="X10" s="120"/>
      <c r="Y10" s="120"/>
      <c r="Z10" s="120"/>
      <c r="AA10" s="120"/>
      <c r="AB10" s="120"/>
      <c r="AC10" s="303" t="s">
        <v>6</v>
      </c>
      <c r="AD10" s="641">
        <f ca="1">TODAY()</f>
        <v>43510</v>
      </c>
      <c r="AE10" s="660"/>
      <c r="AF10" s="660"/>
      <c r="AG10" s="660"/>
      <c r="AH10" s="660"/>
      <c r="AI10" s="76"/>
      <c r="AJ10" s="76"/>
      <c r="AK10" s="76"/>
      <c r="AL10" s="76"/>
      <c r="AM10" s="76"/>
      <c r="AN10" s="76"/>
      <c r="AO10" s="76"/>
      <c r="AP10" s="76"/>
      <c r="AQ10" s="76"/>
      <c r="AR10" s="76"/>
      <c r="AS10" s="671"/>
      <c r="AT10" s="649"/>
      <c r="AU10" s="649"/>
      <c r="AV10" s="649"/>
      <c r="AW10" s="649"/>
      <c r="AX10" s="672"/>
      <c r="AY10" s="645"/>
      <c r="AZ10" s="646"/>
      <c r="BA10" s="72"/>
      <c r="BB10" s="423">
        <v>1</v>
      </c>
      <c r="BC10" s="514" t="str">
        <f>VLOOKUP(BB10,'C. FILIACION'!B14:C58, 2,FALSE)</f>
        <v>SUAREZ EVELIN ISELA</v>
      </c>
    </row>
    <row r="11" spans="1:56" ht="12.95" customHeight="1" x14ac:dyDescent="0.25">
      <c r="A11" s="494">
        <f>COUNTIF(AY19:AY63,¨&gt;=50)</f>
        <v>0</v>
      </c>
      <c r="B11" s="117"/>
      <c r="C11" s="118" t="s">
        <v>3</v>
      </c>
      <c r="D11" s="119" t="s">
        <v>6</v>
      </c>
      <c r="E11" s="119"/>
      <c r="F11" s="495">
        <f>CARATULA!G30</f>
        <v>0</v>
      </c>
      <c r="G11" s="288"/>
      <c r="H11" s="288"/>
      <c r="I11" s="288"/>
      <c r="J11" s="288"/>
      <c r="K11" s="288"/>
      <c r="L11" s="288"/>
      <c r="M11" s="288"/>
      <c r="N11" s="288"/>
      <c r="O11" s="288"/>
      <c r="P11" s="288"/>
      <c r="Q11" s="288"/>
      <c r="R11" s="288"/>
      <c r="S11" s="288"/>
      <c r="T11" s="120"/>
      <c r="U11" s="120"/>
      <c r="V11" s="299"/>
      <c r="W11" s="299"/>
      <c r="X11" s="299"/>
      <c r="Y11" s="305"/>
      <c r="Z11" s="305"/>
      <c r="AA11" s="305"/>
      <c r="AB11" s="305"/>
      <c r="AC11" s="123"/>
      <c r="AD11" s="298"/>
      <c r="AE11" s="298"/>
      <c r="AF11" s="307"/>
      <c r="AG11" s="307"/>
      <c r="AH11" s="307"/>
      <c r="AI11" s="76"/>
      <c r="AJ11" s="76"/>
      <c r="AK11" s="76"/>
      <c r="AL11" s="76"/>
      <c r="AM11" s="76"/>
      <c r="AN11" s="76"/>
      <c r="AO11" s="76"/>
      <c r="AP11" s="76"/>
      <c r="AQ11" s="76"/>
      <c r="AR11" s="76"/>
      <c r="AS11" s="671"/>
      <c r="AT11" s="649"/>
      <c r="AU11" s="649"/>
      <c r="AV11" s="649"/>
      <c r="AW11" s="649"/>
      <c r="AX11" s="672"/>
      <c r="AY11" s="645"/>
      <c r="AZ11" s="646"/>
      <c r="BA11" s="72"/>
    </row>
    <row r="12" spans="1:56" ht="12.95" customHeight="1" x14ac:dyDescent="0.25">
      <c r="A12" s="102"/>
      <c r="B12" s="117"/>
      <c r="C12" s="118" t="s">
        <v>21</v>
      </c>
      <c r="D12" s="119" t="s">
        <v>6</v>
      </c>
      <c r="E12" s="119"/>
      <c r="F12" s="495">
        <f>CARATULA!G32</f>
        <v>0</v>
      </c>
      <c r="G12" s="288"/>
      <c r="H12" s="288"/>
      <c r="I12" s="288"/>
      <c r="J12" s="288"/>
      <c r="K12" s="288"/>
      <c r="L12" s="288"/>
      <c r="M12" s="288"/>
      <c r="N12" s="288"/>
      <c r="O12" s="288"/>
      <c r="P12" s="288"/>
      <c r="Q12" s="288"/>
      <c r="R12" s="288"/>
      <c r="S12" s="288"/>
      <c r="T12" s="122"/>
      <c r="U12" s="122"/>
      <c r="V12" s="122"/>
      <c r="W12" s="122"/>
      <c r="X12" s="122"/>
      <c r="Y12" s="124"/>
      <c r="Z12" s="124"/>
      <c r="AA12" s="124"/>
      <c r="AB12" s="124"/>
      <c r="AC12" s="124"/>
      <c r="AD12" s="124"/>
      <c r="AE12" s="124"/>
      <c r="AF12" s="76"/>
      <c r="AG12" s="76"/>
      <c r="AH12" s="76"/>
      <c r="AI12" s="76"/>
      <c r="AJ12" s="76"/>
      <c r="AK12" s="76"/>
      <c r="AL12" s="76"/>
      <c r="AM12" s="76"/>
      <c r="AN12" s="76"/>
      <c r="AO12" s="76"/>
      <c r="AP12" s="76"/>
      <c r="AQ12" s="76"/>
      <c r="AR12" s="76"/>
      <c r="AS12" s="673"/>
      <c r="AT12" s="674"/>
      <c r="AU12" s="674"/>
      <c r="AV12" s="674"/>
      <c r="AW12" s="674"/>
      <c r="AX12" s="675"/>
      <c r="AY12" s="645"/>
      <c r="AZ12" s="646"/>
      <c r="BA12" s="72"/>
      <c r="BC12" s="421" t="s">
        <v>308</v>
      </c>
    </row>
    <row r="13" spans="1:56" ht="2.25" customHeight="1" x14ac:dyDescent="0.25">
      <c r="A13" s="101"/>
      <c r="B13" s="103"/>
      <c r="C13" s="103"/>
      <c r="D13" s="104"/>
      <c r="E13" s="105"/>
      <c r="F13" s="106"/>
      <c r="G13" s="106"/>
      <c r="H13" s="106"/>
      <c r="I13" s="106"/>
      <c r="J13" s="106"/>
      <c r="K13" s="106"/>
      <c r="L13" s="106"/>
      <c r="M13" s="106"/>
      <c r="N13" s="106"/>
      <c r="O13" s="106"/>
      <c r="P13" s="107"/>
      <c r="Q13" s="107"/>
      <c r="R13" s="106"/>
      <c r="S13" s="106"/>
      <c r="T13" s="106"/>
      <c r="U13" s="106"/>
      <c r="V13" s="106"/>
      <c r="W13" s="106"/>
      <c r="X13" s="106"/>
      <c r="Y13" s="103"/>
      <c r="Z13" s="103"/>
      <c r="AA13" s="103"/>
      <c r="AB13" s="103"/>
      <c r="AC13" s="103"/>
      <c r="AD13" s="103"/>
      <c r="AE13" s="103"/>
      <c r="AF13" s="103"/>
      <c r="AG13" s="103"/>
      <c r="AH13" s="103"/>
      <c r="AI13" s="103"/>
      <c r="AJ13" s="103"/>
      <c r="AZ13" s="108"/>
    </row>
    <row r="14" spans="1:56" ht="24" customHeight="1" x14ac:dyDescent="0.25">
      <c r="A14" s="102"/>
      <c r="B14" s="623"/>
      <c r="C14" s="623"/>
      <c r="D14" s="661" t="s">
        <v>240</v>
      </c>
      <c r="E14" s="662"/>
      <c r="F14" s="662"/>
      <c r="G14" s="662"/>
      <c r="H14" s="662"/>
      <c r="I14" s="662"/>
      <c r="J14" s="662"/>
      <c r="K14" s="662"/>
      <c r="L14" s="662"/>
      <c r="M14" s="662"/>
      <c r="N14" s="662"/>
      <c r="O14" s="662"/>
      <c r="P14" s="662"/>
      <c r="Q14" s="662"/>
      <c r="R14" s="662"/>
      <c r="S14" s="662"/>
      <c r="T14" s="662"/>
      <c r="U14" s="662"/>
      <c r="V14" s="662"/>
      <c r="W14" s="662"/>
      <c r="X14" s="662"/>
      <c r="Y14" s="662"/>
      <c r="Z14" s="662"/>
      <c r="AA14" s="662"/>
      <c r="AB14" s="662"/>
      <c r="AC14" s="662"/>
      <c r="AD14" s="662"/>
      <c r="AE14" s="662"/>
      <c r="AF14" s="662"/>
      <c r="AG14" s="662"/>
      <c r="AH14" s="662"/>
      <c r="AI14" s="662"/>
      <c r="AJ14" s="662"/>
      <c r="AK14" s="662"/>
      <c r="AL14" s="662"/>
      <c r="AM14" s="662"/>
      <c r="AN14" s="662"/>
      <c r="AO14" s="662"/>
      <c r="AP14" s="662"/>
      <c r="AQ14" s="662"/>
      <c r="AR14" s="662"/>
      <c r="AS14" s="662"/>
      <c r="AT14" s="662"/>
      <c r="AU14" s="662"/>
      <c r="AV14" s="663"/>
      <c r="AW14" s="626" t="s">
        <v>238</v>
      </c>
      <c r="AX14" s="627"/>
      <c r="AY14" s="656" t="s">
        <v>207</v>
      </c>
      <c r="AZ14" s="653" t="s">
        <v>67</v>
      </c>
      <c r="BA14" s="72"/>
      <c r="BB14" s="72"/>
      <c r="BC14" s="515">
        <f ca="1">NOW()</f>
        <v>43510.382920717595</v>
      </c>
      <c r="BD14" s="72"/>
    </row>
    <row r="15" spans="1:56" ht="15" customHeight="1" x14ac:dyDescent="0.25">
      <c r="A15" s="72"/>
      <c r="B15" s="624"/>
      <c r="C15" s="624"/>
      <c r="D15" s="664" t="s">
        <v>55</v>
      </c>
      <c r="E15" s="665"/>
      <c r="F15" s="665"/>
      <c r="G15" s="665"/>
      <c r="H15" s="665"/>
      <c r="I15" s="665"/>
      <c r="J15" s="665"/>
      <c r="K15" s="665"/>
      <c r="L15" s="665"/>
      <c r="M15" s="665"/>
      <c r="N15" s="665"/>
      <c r="O15" s="665"/>
      <c r="P15" s="665"/>
      <c r="Q15" s="665"/>
      <c r="R15" s="665"/>
      <c r="S15" s="665"/>
      <c r="T15" s="665"/>
      <c r="U15" s="665"/>
      <c r="V15" s="665"/>
      <c r="W15" s="665"/>
      <c r="X15" s="665"/>
      <c r="Y15" s="665"/>
      <c r="Z15" s="665"/>
      <c r="AA15" s="665"/>
      <c r="AB15" s="665"/>
      <c r="AC15" s="665"/>
      <c r="AD15" s="665"/>
      <c r="AE15" s="665"/>
      <c r="AF15" s="665"/>
      <c r="AG15" s="665"/>
      <c r="AH15" s="665"/>
      <c r="AI15" s="665"/>
      <c r="AJ15" s="665"/>
      <c r="AK15" s="665"/>
      <c r="AL15" s="665"/>
      <c r="AM15" s="665"/>
      <c r="AN15" s="665"/>
      <c r="AO15" s="665"/>
      <c r="AP15" s="665"/>
      <c r="AQ15" s="665"/>
      <c r="AR15" s="665"/>
      <c r="AS15" s="665"/>
      <c r="AT15" s="665"/>
      <c r="AU15" s="665"/>
      <c r="AV15" s="666"/>
      <c r="AW15" s="628" t="s">
        <v>55</v>
      </c>
      <c r="AX15" s="629"/>
      <c r="AY15" s="657"/>
      <c r="AZ15" s="654"/>
      <c r="BA15" s="72"/>
      <c r="BB15" s="72"/>
      <c r="BC15" s="72"/>
      <c r="BD15" s="72"/>
    </row>
    <row r="16" spans="1:56" ht="15" customHeight="1" x14ac:dyDescent="0.25">
      <c r="A16" s="72"/>
      <c r="B16" s="624"/>
      <c r="C16" s="624"/>
      <c r="D16" s="667" t="s">
        <v>59</v>
      </c>
      <c r="E16" s="667"/>
      <c r="F16" s="667"/>
      <c r="G16" s="667"/>
      <c r="H16" s="667"/>
      <c r="I16" s="667"/>
      <c r="J16" s="667"/>
      <c r="K16" s="634" t="s">
        <v>58</v>
      </c>
      <c r="L16" s="634"/>
      <c r="M16" s="634"/>
      <c r="N16" s="634"/>
      <c r="O16" s="634"/>
      <c r="P16" s="634"/>
      <c r="Q16" s="634"/>
      <c r="R16" s="634"/>
      <c r="S16" s="634"/>
      <c r="T16" s="634"/>
      <c r="U16" s="634"/>
      <c r="V16" s="634"/>
      <c r="W16" s="634"/>
      <c r="X16" s="634"/>
      <c r="Y16" s="634"/>
      <c r="Z16" s="634"/>
      <c r="AA16" s="635" t="s">
        <v>61</v>
      </c>
      <c r="AB16" s="635"/>
      <c r="AC16" s="635"/>
      <c r="AD16" s="635"/>
      <c r="AE16" s="635"/>
      <c r="AF16" s="635"/>
      <c r="AG16" s="635"/>
      <c r="AH16" s="635"/>
      <c r="AI16" s="635"/>
      <c r="AJ16" s="635"/>
      <c r="AK16" s="635"/>
      <c r="AL16" s="635"/>
      <c r="AM16" s="635"/>
      <c r="AN16" s="635"/>
      <c r="AO16" s="635"/>
      <c r="AP16" s="635"/>
      <c r="AQ16" s="638" t="s">
        <v>60</v>
      </c>
      <c r="AR16" s="638"/>
      <c r="AS16" s="638"/>
      <c r="AT16" s="638"/>
      <c r="AU16" s="638"/>
      <c r="AV16" s="638"/>
      <c r="AW16" s="126" t="s">
        <v>62</v>
      </c>
      <c r="AX16" s="360" t="s">
        <v>63</v>
      </c>
      <c r="AY16" s="657"/>
      <c r="AZ16" s="654"/>
      <c r="BA16" s="72"/>
      <c r="BB16" s="72"/>
      <c r="BC16" s="421" t="s">
        <v>309</v>
      </c>
      <c r="BD16" s="72"/>
    </row>
    <row r="17" spans="1:56" ht="102" customHeight="1" x14ac:dyDescent="0.25">
      <c r="A17" s="72"/>
      <c r="B17" s="625"/>
      <c r="C17" s="625"/>
      <c r="D17" s="191" t="s">
        <v>217</v>
      </c>
      <c r="E17" s="713"/>
      <c r="F17" s="713"/>
      <c r="G17" s="713"/>
      <c r="H17" s="713"/>
      <c r="I17" s="714"/>
      <c r="J17" s="617" t="s">
        <v>56</v>
      </c>
      <c r="K17" s="715"/>
      <c r="L17" s="713"/>
      <c r="M17" s="713"/>
      <c r="N17" s="713"/>
      <c r="O17" s="716"/>
      <c r="P17" s="713"/>
      <c r="Q17" s="713"/>
      <c r="R17" s="713"/>
      <c r="S17" s="713"/>
      <c r="T17" s="716"/>
      <c r="U17" s="713"/>
      <c r="V17" s="713"/>
      <c r="W17" s="713"/>
      <c r="X17" s="713"/>
      <c r="Y17" s="714"/>
      <c r="Z17" s="619" t="s">
        <v>57</v>
      </c>
      <c r="AA17" s="715"/>
      <c r="AB17" s="713"/>
      <c r="AC17" s="713"/>
      <c r="AD17" s="713"/>
      <c r="AE17" s="716"/>
      <c r="AF17" s="713"/>
      <c r="AG17" s="713"/>
      <c r="AH17" s="713"/>
      <c r="AI17" s="713"/>
      <c r="AJ17" s="716"/>
      <c r="AK17" s="713"/>
      <c r="AL17" s="713"/>
      <c r="AM17" s="713"/>
      <c r="AN17" s="713"/>
      <c r="AO17" s="714"/>
      <c r="AP17" s="621" t="s">
        <v>57</v>
      </c>
      <c r="AQ17" s="715"/>
      <c r="AR17" s="713"/>
      <c r="AS17" s="713"/>
      <c r="AT17" s="713"/>
      <c r="AU17" s="714"/>
      <c r="AV17" s="636" t="s">
        <v>56</v>
      </c>
      <c r="AW17" s="630"/>
      <c r="AX17" s="632"/>
      <c r="AY17" s="657"/>
      <c r="AZ17" s="654"/>
      <c r="BA17" s="72"/>
      <c r="BB17" s="72"/>
      <c r="BC17" s="420"/>
      <c r="BD17" s="72"/>
    </row>
    <row r="18" spans="1:56" ht="114.75" customHeight="1" x14ac:dyDescent="0.25">
      <c r="A18" s="72"/>
      <c r="B18" s="128" t="s">
        <v>54</v>
      </c>
      <c r="C18" s="128" t="s">
        <v>65</v>
      </c>
      <c r="D18" s="192" t="s">
        <v>64</v>
      </c>
      <c r="E18" s="339"/>
      <c r="F18" s="340"/>
      <c r="G18" s="340"/>
      <c r="H18" s="340"/>
      <c r="I18" s="340"/>
      <c r="J18" s="618"/>
      <c r="K18" s="340"/>
      <c r="L18" s="340"/>
      <c r="M18" s="340"/>
      <c r="N18" s="340"/>
      <c r="O18" s="341"/>
      <c r="P18" s="339"/>
      <c r="Q18" s="340"/>
      <c r="R18" s="340"/>
      <c r="S18" s="340"/>
      <c r="T18" s="341"/>
      <c r="U18" s="339"/>
      <c r="V18" s="340"/>
      <c r="W18" s="340"/>
      <c r="X18" s="340"/>
      <c r="Y18" s="340"/>
      <c r="Z18" s="620"/>
      <c r="AA18" s="340"/>
      <c r="AB18" s="340"/>
      <c r="AC18" s="340"/>
      <c r="AD18" s="340"/>
      <c r="AE18" s="341"/>
      <c r="AF18" s="339"/>
      <c r="AG18" s="340"/>
      <c r="AH18" s="340"/>
      <c r="AI18" s="340"/>
      <c r="AJ18" s="341"/>
      <c r="AK18" s="339"/>
      <c r="AL18" s="340"/>
      <c r="AM18" s="340"/>
      <c r="AN18" s="340"/>
      <c r="AO18" s="340"/>
      <c r="AP18" s="622"/>
      <c r="AQ18" s="340"/>
      <c r="AR18" s="340"/>
      <c r="AS18" s="340"/>
      <c r="AT18" s="340"/>
      <c r="AU18" s="340"/>
      <c r="AV18" s="637"/>
      <c r="AW18" s="631"/>
      <c r="AX18" s="633"/>
      <c r="AY18" s="658"/>
      <c r="AZ18" s="655"/>
      <c r="BA18" s="72"/>
      <c r="BB18" s="72"/>
      <c r="BC18" s="72"/>
      <c r="BD18" s="72"/>
    </row>
    <row r="19" spans="1:56" x14ac:dyDescent="0.25">
      <c r="A19" s="72"/>
      <c r="B19" s="131">
        <v>1</v>
      </c>
      <c r="C19" s="687" t="str">
        <f>'C. FILIACION'!C14</f>
        <v>SUAREZ EVELIN ISELA</v>
      </c>
      <c r="D19" s="688"/>
      <c r="E19" s="248"/>
      <c r="F19" s="249"/>
      <c r="G19" s="249"/>
      <c r="H19" s="249"/>
      <c r="I19" s="249"/>
      <c r="J19" s="516" t="str">
        <f>IFERROR(AVERAGE(E19:I19),"")</f>
        <v/>
      </c>
      <c r="K19" s="268"/>
      <c r="L19" s="268"/>
      <c r="M19" s="268"/>
      <c r="N19" s="268"/>
      <c r="O19" s="269"/>
      <c r="P19" s="270"/>
      <c r="Q19" s="268"/>
      <c r="R19" s="268"/>
      <c r="S19" s="268"/>
      <c r="T19" s="269"/>
      <c r="U19" s="270"/>
      <c r="V19" s="268"/>
      <c r="W19" s="268"/>
      <c r="X19" s="268"/>
      <c r="Y19" s="268"/>
      <c r="Z19" s="517" t="str">
        <f>IFERROR(AVERAGE(K19:Y19),"")</f>
        <v/>
      </c>
      <c r="AA19" s="268"/>
      <c r="AB19" s="268"/>
      <c r="AC19" s="268"/>
      <c r="AD19" s="268"/>
      <c r="AE19" s="269"/>
      <c r="AF19" s="270"/>
      <c r="AG19" s="268"/>
      <c r="AH19" s="268"/>
      <c r="AI19" s="268"/>
      <c r="AJ19" s="269"/>
      <c r="AK19" s="270"/>
      <c r="AL19" s="268"/>
      <c r="AM19" s="268"/>
      <c r="AN19" s="268"/>
      <c r="AO19" s="268"/>
      <c r="AP19" s="518" t="str">
        <f>IFERROR(AVERAGE(AA19:AO19),"")</f>
        <v/>
      </c>
      <c r="AQ19" s="249"/>
      <c r="AR19" s="249"/>
      <c r="AS19" s="249"/>
      <c r="AT19" s="249"/>
      <c r="AU19" s="249"/>
      <c r="AV19" s="519" t="str">
        <f>IFERROR(AVERAGE(AQ19:AU19),"")</f>
        <v/>
      </c>
      <c r="AW19" s="271"/>
      <c r="AX19" s="271"/>
      <c r="AY19" s="497">
        <f>IFERROR((SUM(J19,Z19,AP19,AV19:AX19)),"")</f>
        <v>0</v>
      </c>
      <c r="AZ19" s="498" t="b">
        <f>IF(AY19="","",(IF(AND(AY19&gt;=1,AY19&lt;=50.499),"REPROBADO",IF(AND(AY19&gt;=50.5,AY19&lt;=100),"APROBADO"))))</f>
        <v>0</v>
      </c>
      <c r="BA19" s="401"/>
    </row>
    <row r="20" spans="1:56" x14ac:dyDescent="0.25">
      <c r="A20" s="72"/>
      <c r="B20" s="132">
        <v>2</v>
      </c>
      <c r="C20" s="687" t="str">
        <f>'C. FILIACION'!C15</f>
        <v>ALARCON  VARGAS JAIR ALEXIS</v>
      </c>
      <c r="D20" s="688"/>
      <c r="E20" s="252"/>
      <c r="F20" s="249"/>
      <c r="G20" s="249"/>
      <c r="H20" s="249"/>
      <c r="I20" s="247"/>
      <c r="J20" s="516" t="str">
        <f t="shared" ref="J20:J63" si="0">IFERROR(AVERAGE(E20:I20),"")</f>
        <v/>
      </c>
      <c r="K20" s="272"/>
      <c r="L20" s="272"/>
      <c r="M20" s="272"/>
      <c r="N20" s="272"/>
      <c r="O20" s="273"/>
      <c r="P20" s="274"/>
      <c r="Q20" s="272"/>
      <c r="R20" s="268"/>
      <c r="S20" s="272"/>
      <c r="T20" s="273"/>
      <c r="U20" s="274"/>
      <c r="V20" s="268"/>
      <c r="W20" s="268"/>
      <c r="X20" s="272"/>
      <c r="Y20" s="272"/>
      <c r="Z20" s="517" t="str">
        <f t="shared" ref="Z20:Z63" si="1">IFERROR(AVERAGE(K20:Y20),"")</f>
        <v/>
      </c>
      <c r="AA20" s="272"/>
      <c r="AB20" s="272"/>
      <c r="AC20" s="272"/>
      <c r="AD20" s="268"/>
      <c r="AE20" s="273"/>
      <c r="AF20" s="274"/>
      <c r="AG20" s="272"/>
      <c r="AH20" s="268"/>
      <c r="AI20" s="268"/>
      <c r="AJ20" s="269"/>
      <c r="AK20" s="270"/>
      <c r="AL20" s="268"/>
      <c r="AM20" s="268"/>
      <c r="AN20" s="272"/>
      <c r="AO20" s="272"/>
      <c r="AP20" s="518" t="str">
        <f t="shared" ref="AP20:AP63" si="2">IFERROR(AVERAGE(AA20:AO20),"")</f>
        <v/>
      </c>
      <c r="AQ20" s="247"/>
      <c r="AR20" s="249"/>
      <c r="AS20" s="249"/>
      <c r="AT20" s="249"/>
      <c r="AU20" s="247"/>
      <c r="AV20" s="519" t="str">
        <f t="shared" ref="AV20:AV63" si="3">IFERROR(AVERAGE(AQ20:AU20),"")</f>
        <v/>
      </c>
      <c r="AW20" s="271"/>
      <c r="AX20" s="271"/>
      <c r="AY20" s="497">
        <f t="shared" ref="AY20:AY63" si="4">IFERROR((SUM(J20,Z20,AP20,AV20:AX20)),"")</f>
        <v>0</v>
      </c>
      <c r="AZ20" s="498" t="b">
        <f t="shared" ref="AZ20:AZ63" si="5">IF(AY20="","",(IF(AND(AY20&gt;=1,AY20&lt;=50.499),"REPROBADO",IF(AND(AY20&gt;=50.5,AY20&lt;=100),"APROBADO"))))</f>
        <v>0</v>
      </c>
      <c r="BA20" s="401"/>
    </row>
    <row r="21" spans="1:56" x14ac:dyDescent="0.25">
      <c r="A21" s="72"/>
      <c r="B21" s="132">
        <v>3</v>
      </c>
      <c r="C21" s="687" t="str">
        <f>'C. FILIACION'!C16</f>
        <v>AÑAZGO  VARGAS NOELIA</v>
      </c>
      <c r="D21" s="688"/>
      <c r="E21" s="252"/>
      <c r="F21" s="249"/>
      <c r="G21" s="249"/>
      <c r="H21" s="249"/>
      <c r="I21" s="247"/>
      <c r="J21" s="516" t="str">
        <f t="shared" si="0"/>
        <v/>
      </c>
      <c r="K21" s="272"/>
      <c r="L21" s="272"/>
      <c r="M21" s="272"/>
      <c r="N21" s="272"/>
      <c r="O21" s="273"/>
      <c r="P21" s="274"/>
      <c r="Q21" s="272"/>
      <c r="R21" s="268"/>
      <c r="S21" s="272"/>
      <c r="T21" s="273"/>
      <c r="U21" s="274"/>
      <c r="V21" s="268"/>
      <c r="W21" s="268"/>
      <c r="X21" s="272"/>
      <c r="Y21" s="272"/>
      <c r="Z21" s="517" t="str">
        <f t="shared" si="1"/>
        <v/>
      </c>
      <c r="AA21" s="272"/>
      <c r="AB21" s="272"/>
      <c r="AC21" s="272"/>
      <c r="AD21" s="268"/>
      <c r="AE21" s="273"/>
      <c r="AF21" s="274"/>
      <c r="AG21" s="272"/>
      <c r="AH21" s="268"/>
      <c r="AI21" s="268"/>
      <c r="AJ21" s="269"/>
      <c r="AK21" s="270"/>
      <c r="AL21" s="268"/>
      <c r="AM21" s="268"/>
      <c r="AN21" s="272"/>
      <c r="AO21" s="272"/>
      <c r="AP21" s="518" t="str">
        <f t="shared" si="2"/>
        <v/>
      </c>
      <c r="AQ21" s="247"/>
      <c r="AR21" s="249"/>
      <c r="AS21" s="249"/>
      <c r="AT21" s="249"/>
      <c r="AU21" s="247"/>
      <c r="AV21" s="519" t="str">
        <f t="shared" si="3"/>
        <v/>
      </c>
      <c r="AW21" s="271"/>
      <c r="AX21" s="271"/>
      <c r="AY21" s="497">
        <f t="shared" si="4"/>
        <v>0</v>
      </c>
      <c r="AZ21" s="498" t="b">
        <f t="shared" si="5"/>
        <v>0</v>
      </c>
      <c r="BA21" s="401"/>
    </row>
    <row r="22" spans="1:56" x14ac:dyDescent="0.25">
      <c r="A22" s="72"/>
      <c r="B22" s="132">
        <v>4</v>
      </c>
      <c r="C22" s="687" t="str">
        <f>'C. FILIACION'!C17</f>
        <v>AQUISE HINOJOSA YHAMIR FABIO</v>
      </c>
      <c r="D22" s="688"/>
      <c r="E22" s="252"/>
      <c r="F22" s="249"/>
      <c r="G22" s="249"/>
      <c r="H22" s="249"/>
      <c r="I22" s="247"/>
      <c r="J22" s="516" t="str">
        <f t="shared" si="0"/>
        <v/>
      </c>
      <c r="K22" s="272"/>
      <c r="L22" s="272"/>
      <c r="M22" s="272"/>
      <c r="N22" s="272"/>
      <c r="O22" s="273"/>
      <c r="P22" s="274"/>
      <c r="Q22" s="272"/>
      <c r="R22" s="268"/>
      <c r="S22" s="272"/>
      <c r="T22" s="273"/>
      <c r="U22" s="274"/>
      <c r="V22" s="268"/>
      <c r="W22" s="268"/>
      <c r="X22" s="272"/>
      <c r="Y22" s="272"/>
      <c r="Z22" s="517" t="str">
        <f t="shared" si="1"/>
        <v/>
      </c>
      <c r="AA22" s="272"/>
      <c r="AB22" s="272"/>
      <c r="AC22" s="272"/>
      <c r="AD22" s="268"/>
      <c r="AE22" s="273"/>
      <c r="AF22" s="274"/>
      <c r="AG22" s="272"/>
      <c r="AH22" s="268"/>
      <c r="AI22" s="268"/>
      <c r="AJ22" s="269"/>
      <c r="AK22" s="270"/>
      <c r="AL22" s="268"/>
      <c r="AM22" s="268"/>
      <c r="AN22" s="272"/>
      <c r="AO22" s="272"/>
      <c r="AP22" s="518" t="str">
        <f t="shared" si="2"/>
        <v/>
      </c>
      <c r="AQ22" s="247"/>
      <c r="AR22" s="249"/>
      <c r="AS22" s="249"/>
      <c r="AT22" s="249"/>
      <c r="AU22" s="247"/>
      <c r="AV22" s="519" t="str">
        <f t="shared" si="3"/>
        <v/>
      </c>
      <c r="AW22" s="271"/>
      <c r="AX22" s="271"/>
      <c r="AY22" s="497">
        <f t="shared" si="4"/>
        <v>0</v>
      </c>
      <c r="AZ22" s="498" t="b">
        <f t="shared" si="5"/>
        <v>0</v>
      </c>
      <c r="BA22" s="401"/>
    </row>
    <row r="23" spans="1:56" x14ac:dyDescent="0.25">
      <c r="A23" s="72"/>
      <c r="B23" s="132">
        <v>5</v>
      </c>
      <c r="C23" s="687" t="str">
        <f>'C. FILIACION'!C18</f>
        <v>ARGANI  LAREDO MARIA JESUS</v>
      </c>
      <c r="D23" s="688"/>
      <c r="E23" s="252"/>
      <c r="F23" s="249"/>
      <c r="G23" s="249"/>
      <c r="H23" s="249"/>
      <c r="I23" s="247"/>
      <c r="J23" s="516" t="str">
        <f t="shared" si="0"/>
        <v/>
      </c>
      <c r="K23" s="272"/>
      <c r="L23" s="272"/>
      <c r="M23" s="272"/>
      <c r="N23" s="272"/>
      <c r="O23" s="273"/>
      <c r="P23" s="274"/>
      <c r="Q23" s="272"/>
      <c r="R23" s="268"/>
      <c r="S23" s="272"/>
      <c r="T23" s="273"/>
      <c r="U23" s="274"/>
      <c r="V23" s="268"/>
      <c r="W23" s="268"/>
      <c r="X23" s="272"/>
      <c r="Y23" s="272"/>
      <c r="Z23" s="517" t="str">
        <f t="shared" si="1"/>
        <v/>
      </c>
      <c r="AA23" s="272"/>
      <c r="AB23" s="272"/>
      <c r="AC23" s="272"/>
      <c r="AD23" s="268"/>
      <c r="AE23" s="273"/>
      <c r="AF23" s="274"/>
      <c r="AG23" s="272"/>
      <c r="AH23" s="268"/>
      <c r="AI23" s="268"/>
      <c r="AJ23" s="269"/>
      <c r="AK23" s="270"/>
      <c r="AL23" s="268"/>
      <c r="AM23" s="268"/>
      <c r="AN23" s="272"/>
      <c r="AO23" s="272"/>
      <c r="AP23" s="518" t="str">
        <f t="shared" si="2"/>
        <v/>
      </c>
      <c r="AQ23" s="247"/>
      <c r="AR23" s="249"/>
      <c r="AS23" s="249"/>
      <c r="AT23" s="249"/>
      <c r="AU23" s="247"/>
      <c r="AV23" s="519" t="str">
        <f t="shared" si="3"/>
        <v/>
      </c>
      <c r="AW23" s="271"/>
      <c r="AX23" s="271"/>
      <c r="AY23" s="497">
        <f t="shared" si="4"/>
        <v>0</v>
      </c>
      <c r="AZ23" s="498" t="b">
        <f t="shared" si="5"/>
        <v>0</v>
      </c>
      <c r="BA23" s="401"/>
    </row>
    <row r="24" spans="1:56" x14ac:dyDescent="0.25">
      <c r="A24" s="72"/>
      <c r="B24" s="132">
        <v>6</v>
      </c>
      <c r="C24" s="687" t="str">
        <f>'C. FILIACION'!C19</f>
        <v>AYLLON MOLLO RONNY BRUCE</v>
      </c>
      <c r="D24" s="688"/>
      <c r="E24" s="252"/>
      <c r="F24" s="249"/>
      <c r="G24" s="249"/>
      <c r="H24" s="249"/>
      <c r="I24" s="247"/>
      <c r="J24" s="516" t="str">
        <f t="shared" si="0"/>
        <v/>
      </c>
      <c r="K24" s="272"/>
      <c r="L24" s="272"/>
      <c r="M24" s="272"/>
      <c r="N24" s="272"/>
      <c r="O24" s="273"/>
      <c r="P24" s="274"/>
      <c r="Q24" s="272"/>
      <c r="R24" s="268"/>
      <c r="S24" s="272"/>
      <c r="T24" s="273"/>
      <c r="U24" s="274"/>
      <c r="V24" s="268"/>
      <c r="W24" s="268"/>
      <c r="X24" s="272"/>
      <c r="Y24" s="272"/>
      <c r="Z24" s="517" t="str">
        <f t="shared" si="1"/>
        <v/>
      </c>
      <c r="AA24" s="272"/>
      <c r="AB24" s="272"/>
      <c r="AC24" s="272"/>
      <c r="AD24" s="268"/>
      <c r="AE24" s="273"/>
      <c r="AF24" s="274"/>
      <c r="AG24" s="272"/>
      <c r="AH24" s="268"/>
      <c r="AI24" s="268"/>
      <c r="AJ24" s="269"/>
      <c r="AK24" s="270"/>
      <c r="AL24" s="268"/>
      <c r="AM24" s="268"/>
      <c r="AN24" s="272"/>
      <c r="AO24" s="272"/>
      <c r="AP24" s="518" t="str">
        <f t="shared" si="2"/>
        <v/>
      </c>
      <c r="AQ24" s="247"/>
      <c r="AR24" s="249"/>
      <c r="AS24" s="249"/>
      <c r="AT24" s="249"/>
      <c r="AU24" s="247"/>
      <c r="AV24" s="519" t="str">
        <f t="shared" si="3"/>
        <v/>
      </c>
      <c r="AW24" s="271"/>
      <c r="AX24" s="271"/>
      <c r="AY24" s="497">
        <f t="shared" si="4"/>
        <v>0</v>
      </c>
      <c r="AZ24" s="498" t="b">
        <f t="shared" si="5"/>
        <v>0</v>
      </c>
      <c r="BA24" s="401"/>
    </row>
    <row r="25" spans="1:56" x14ac:dyDescent="0.25">
      <c r="A25" s="72"/>
      <c r="B25" s="132">
        <v>7</v>
      </c>
      <c r="C25" s="687" t="str">
        <f>'C. FILIACION'!C20</f>
        <v>BALBOA  PAZ ANTHONY JR</v>
      </c>
      <c r="D25" s="688"/>
      <c r="E25" s="252"/>
      <c r="F25" s="249"/>
      <c r="G25" s="249"/>
      <c r="H25" s="249"/>
      <c r="I25" s="247"/>
      <c r="J25" s="516" t="str">
        <f t="shared" si="0"/>
        <v/>
      </c>
      <c r="K25" s="272"/>
      <c r="L25" s="272"/>
      <c r="M25" s="272"/>
      <c r="N25" s="272"/>
      <c r="O25" s="273"/>
      <c r="P25" s="274"/>
      <c r="Q25" s="272"/>
      <c r="R25" s="268"/>
      <c r="S25" s="272"/>
      <c r="T25" s="273"/>
      <c r="U25" s="274"/>
      <c r="V25" s="268"/>
      <c r="W25" s="268"/>
      <c r="X25" s="272"/>
      <c r="Y25" s="272"/>
      <c r="Z25" s="517" t="str">
        <f t="shared" si="1"/>
        <v/>
      </c>
      <c r="AA25" s="272"/>
      <c r="AB25" s="272"/>
      <c r="AC25" s="272"/>
      <c r="AD25" s="268"/>
      <c r="AE25" s="273"/>
      <c r="AF25" s="274"/>
      <c r="AG25" s="272"/>
      <c r="AH25" s="268"/>
      <c r="AI25" s="268"/>
      <c r="AJ25" s="269"/>
      <c r="AK25" s="270"/>
      <c r="AL25" s="268"/>
      <c r="AM25" s="268"/>
      <c r="AN25" s="272"/>
      <c r="AO25" s="272"/>
      <c r="AP25" s="518" t="str">
        <f t="shared" si="2"/>
        <v/>
      </c>
      <c r="AQ25" s="247"/>
      <c r="AR25" s="249"/>
      <c r="AS25" s="249"/>
      <c r="AT25" s="249"/>
      <c r="AU25" s="247"/>
      <c r="AV25" s="519" t="str">
        <f t="shared" si="3"/>
        <v/>
      </c>
      <c r="AW25" s="271"/>
      <c r="AX25" s="271"/>
      <c r="AY25" s="497">
        <f t="shared" si="4"/>
        <v>0</v>
      </c>
      <c r="AZ25" s="498" t="b">
        <f t="shared" si="5"/>
        <v>0</v>
      </c>
      <c r="BA25" s="401"/>
    </row>
    <row r="26" spans="1:56" x14ac:dyDescent="0.25">
      <c r="A26" s="72"/>
      <c r="B26" s="132">
        <v>8</v>
      </c>
      <c r="C26" s="687" t="str">
        <f>'C. FILIACION'!C21</f>
        <v>CAMACHO SALGADO LEONARDO</v>
      </c>
      <c r="D26" s="688"/>
      <c r="E26" s="252"/>
      <c r="F26" s="249"/>
      <c r="G26" s="249"/>
      <c r="H26" s="249"/>
      <c r="I26" s="247"/>
      <c r="J26" s="516" t="str">
        <f t="shared" si="0"/>
        <v/>
      </c>
      <c r="K26" s="272"/>
      <c r="L26" s="272"/>
      <c r="M26" s="272"/>
      <c r="N26" s="272"/>
      <c r="O26" s="273"/>
      <c r="P26" s="274"/>
      <c r="Q26" s="272"/>
      <c r="R26" s="268"/>
      <c r="S26" s="272"/>
      <c r="T26" s="273"/>
      <c r="U26" s="274"/>
      <c r="V26" s="268"/>
      <c r="W26" s="268"/>
      <c r="X26" s="272"/>
      <c r="Y26" s="272"/>
      <c r="Z26" s="517" t="str">
        <f t="shared" si="1"/>
        <v/>
      </c>
      <c r="AA26" s="272"/>
      <c r="AB26" s="272"/>
      <c r="AC26" s="272"/>
      <c r="AD26" s="268"/>
      <c r="AE26" s="273"/>
      <c r="AF26" s="274"/>
      <c r="AG26" s="272"/>
      <c r="AH26" s="268"/>
      <c r="AI26" s="268"/>
      <c r="AJ26" s="269"/>
      <c r="AK26" s="270"/>
      <c r="AL26" s="268"/>
      <c r="AM26" s="268"/>
      <c r="AN26" s="272"/>
      <c r="AO26" s="272"/>
      <c r="AP26" s="518" t="str">
        <f t="shared" si="2"/>
        <v/>
      </c>
      <c r="AQ26" s="247"/>
      <c r="AR26" s="249"/>
      <c r="AS26" s="249"/>
      <c r="AT26" s="249"/>
      <c r="AU26" s="247"/>
      <c r="AV26" s="519" t="str">
        <f t="shared" si="3"/>
        <v/>
      </c>
      <c r="AW26" s="271"/>
      <c r="AX26" s="271"/>
      <c r="AY26" s="497">
        <f t="shared" si="4"/>
        <v>0</v>
      </c>
      <c r="AZ26" s="498" t="b">
        <f t="shared" si="5"/>
        <v>0</v>
      </c>
      <c r="BA26" s="401"/>
    </row>
    <row r="27" spans="1:56" x14ac:dyDescent="0.25">
      <c r="A27" s="72"/>
      <c r="B27" s="132">
        <v>9</v>
      </c>
      <c r="C27" s="687" t="str">
        <f>'C. FILIACION'!C22</f>
        <v>CARRION MARGUAY FABIANA ALEXANDRA</v>
      </c>
      <c r="D27" s="688"/>
      <c r="E27" s="252"/>
      <c r="F27" s="249"/>
      <c r="G27" s="249"/>
      <c r="H27" s="249"/>
      <c r="I27" s="247"/>
      <c r="J27" s="516" t="str">
        <f t="shared" si="0"/>
        <v/>
      </c>
      <c r="K27" s="272"/>
      <c r="L27" s="272"/>
      <c r="M27" s="272"/>
      <c r="N27" s="272"/>
      <c r="O27" s="273"/>
      <c r="P27" s="274"/>
      <c r="Q27" s="272"/>
      <c r="R27" s="268"/>
      <c r="S27" s="272"/>
      <c r="T27" s="273"/>
      <c r="U27" s="274"/>
      <c r="V27" s="268"/>
      <c r="W27" s="268"/>
      <c r="X27" s="272"/>
      <c r="Y27" s="272"/>
      <c r="Z27" s="517" t="str">
        <f t="shared" si="1"/>
        <v/>
      </c>
      <c r="AA27" s="272"/>
      <c r="AB27" s="272"/>
      <c r="AC27" s="272"/>
      <c r="AD27" s="268"/>
      <c r="AE27" s="273"/>
      <c r="AF27" s="274"/>
      <c r="AG27" s="272"/>
      <c r="AH27" s="268"/>
      <c r="AI27" s="268"/>
      <c r="AJ27" s="269"/>
      <c r="AK27" s="270"/>
      <c r="AL27" s="268"/>
      <c r="AM27" s="268"/>
      <c r="AN27" s="272"/>
      <c r="AO27" s="272"/>
      <c r="AP27" s="518" t="str">
        <f t="shared" si="2"/>
        <v/>
      </c>
      <c r="AQ27" s="247"/>
      <c r="AR27" s="249"/>
      <c r="AS27" s="249"/>
      <c r="AT27" s="249"/>
      <c r="AU27" s="247"/>
      <c r="AV27" s="519" t="str">
        <f t="shared" si="3"/>
        <v/>
      </c>
      <c r="AW27" s="271"/>
      <c r="AX27" s="271"/>
      <c r="AY27" s="497">
        <f t="shared" si="4"/>
        <v>0</v>
      </c>
      <c r="AZ27" s="498" t="b">
        <f t="shared" si="5"/>
        <v>0</v>
      </c>
      <c r="BA27" s="401"/>
    </row>
    <row r="28" spans="1:56" x14ac:dyDescent="0.25">
      <c r="A28" s="72"/>
      <c r="B28" s="132">
        <v>10</v>
      </c>
      <c r="C28" s="687" t="str">
        <f>'C. FILIACION'!C23</f>
        <v>CAYO CALLE JUAN PABLO</v>
      </c>
      <c r="D28" s="688"/>
      <c r="E28" s="252"/>
      <c r="F28" s="249"/>
      <c r="G28" s="249"/>
      <c r="H28" s="249"/>
      <c r="I28" s="247"/>
      <c r="J28" s="516" t="str">
        <f t="shared" si="0"/>
        <v/>
      </c>
      <c r="K28" s="272"/>
      <c r="L28" s="272"/>
      <c r="M28" s="272"/>
      <c r="N28" s="272"/>
      <c r="O28" s="273"/>
      <c r="P28" s="274"/>
      <c r="Q28" s="272"/>
      <c r="R28" s="268"/>
      <c r="S28" s="272"/>
      <c r="T28" s="273"/>
      <c r="U28" s="274"/>
      <c r="V28" s="268"/>
      <c r="W28" s="268"/>
      <c r="X28" s="272"/>
      <c r="Y28" s="272"/>
      <c r="Z28" s="517" t="str">
        <f t="shared" si="1"/>
        <v/>
      </c>
      <c r="AA28" s="272"/>
      <c r="AB28" s="272"/>
      <c r="AC28" s="272"/>
      <c r="AD28" s="268"/>
      <c r="AE28" s="273"/>
      <c r="AF28" s="274"/>
      <c r="AG28" s="272"/>
      <c r="AH28" s="268"/>
      <c r="AI28" s="268"/>
      <c r="AJ28" s="269"/>
      <c r="AK28" s="270"/>
      <c r="AL28" s="268"/>
      <c r="AM28" s="268"/>
      <c r="AN28" s="272"/>
      <c r="AO28" s="272"/>
      <c r="AP28" s="518" t="str">
        <f t="shared" si="2"/>
        <v/>
      </c>
      <c r="AQ28" s="247"/>
      <c r="AR28" s="249"/>
      <c r="AS28" s="249"/>
      <c r="AT28" s="249"/>
      <c r="AU28" s="247"/>
      <c r="AV28" s="519" t="str">
        <f t="shared" si="3"/>
        <v/>
      </c>
      <c r="AW28" s="271"/>
      <c r="AX28" s="271"/>
      <c r="AY28" s="497">
        <f t="shared" si="4"/>
        <v>0</v>
      </c>
      <c r="AZ28" s="498" t="b">
        <f t="shared" si="5"/>
        <v>0</v>
      </c>
      <c r="BA28" s="401"/>
    </row>
    <row r="29" spans="1:56" x14ac:dyDescent="0.25">
      <c r="A29" s="72"/>
      <c r="B29" s="132">
        <v>11</v>
      </c>
      <c r="C29" s="687" t="str">
        <f>'C. FILIACION'!C24</f>
        <v>CONDE ZARATE ASHLY OTHANY</v>
      </c>
      <c r="D29" s="688"/>
      <c r="E29" s="252"/>
      <c r="F29" s="249"/>
      <c r="G29" s="249"/>
      <c r="H29" s="249"/>
      <c r="I29" s="247"/>
      <c r="J29" s="516" t="str">
        <f t="shared" si="0"/>
        <v/>
      </c>
      <c r="K29" s="272"/>
      <c r="L29" s="272"/>
      <c r="M29" s="272"/>
      <c r="N29" s="272"/>
      <c r="O29" s="273"/>
      <c r="P29" s="274"/>
      <c r="Q29" s="272"/>
      <c r="R29" s="268"/>
      <c r="S29" s="272"/>
      <c r="T29" s="273"/>
      <c r="U29" s="274"/>
      <c r="V29" s="268"/>
      <c r="W29" s="268"/>
      <c r="X29" s="272"/>
      <c r="Y29" s="272"/>
      <c r="Z29" s="517" t="str">
        <f t="shared" si="1"/>
        <v/>
      </c>
      <c r="AA29" s="272"/>
      <c r="AB29" s="272"/>
      <c r="AC29" s="272"/>
      <c r="AD29" s="268"/>
      <c r="AE29" s="273"/>
      <c r="AF29" s="274"/>
      <c r="AG29" s="272"/>
      <c r="AH29" s="268"/>
      <c r="AI29" s="268"/>
      <c r="AJ29" s="269"/>
      <c r="AK29" s="270"/>
      <c r="AL29" s="268"/>
      <c r="AM29" s="268"/>
      <c r="AN29" s="272"/>
      <c r="AO29" s="272"/>
      <c r="AP29" s="518" t="str">
        <f t="shared" si="2"/>
        <v/>
      </c>
      <c r="AQ29" s="247"/>
      <c r="AR29" s="249"/>
      <c r="AS29" s="249"/>
      <c r="AT29" s="249"/>
      <c r="AU29" s="247"/>
      <c r="AV29" s="519" t="str">
        <f t="shared" si="3"/>
        <v/>
      </c>
      <c r="AW29" s="271"/>
      <c r="AX29" s="271"/>
      <c r="AY29" s="497">
        <f t="shared" si="4"/>
        <v>0</v>
      </c>
      <c r="AZ29" s="498" t="b">
        <f t="shared" si="5"/>
        <v>0</v>
      </c>
      <c r="BA29" s="401"/>
    </row>
    <row r="30" spans="1:56" x14ac:dyDescent="0.25">
      <c r="A30" s="72"/>
      <c r="B30" s="132">
        <v>12</v>
      </c>
      <c r="C30" s="687" t="str">
        <f>'C. FILIACION'!C25</f>
        <v>CORTEZ RODRIGUEZ  GONZALO AXCELL</v>
      </c>
      <c r="D30" s="688"/>
      <c r="E30" s="252"/>
      <c r="F30" s="249"/>
      <c r="G30" s="249"/>
      <c r="H30" s="249"/>
      <c r="I30" s="247"/>
      <c r="J30" s="516" t="str">
        <f t="shared" si="0"/>
        <v/>
      </c>
      <c r="K30" s="272"/>
      <c r="L30" s="272"/>
      <c r="M30" s="272"/>
      <c r="N30" s="272"/>
      <c r="O30" s="273"/>
      <c r="P30" s="274"/>
      <c r="Q30" s="272"/>
      <c r="R30" s="268"/>
      <c r="S30" s="272"/>
      <c r="T30" s="273"/>
      <c r="U30" s="274"/>
      <c r="V30" s="268"/>
      <c r="W30" s="268"/>
      <c r="X30" s="272"/>
      <c r="Y30" s="272"/>
      <c r="Z30" s="517" t="str">
        <f t="shared" si="1"/>
        <v/>
      </c>
      <c r="AA30" s="272"/>
      <c r="AB30" s="272"/>
      <c r="AC30" s="272"/>
      <c r="AD30" s="268"/>
      <c r="AE30" s="273"/>
      <c r="AF30" s="274"/>
      <c r="AG30" s="272"/>
      <c r="AH30" s="268"/>
      <c r="AI30" s="268"/>
      <c r="AJ30" s="269"/>
      <c r="AK30" s="270"/>
      <c r="AL30" s="268"/>
      <c r="AM30" s="268"/>
      <c r="AN30" s="272"/>
      <c r="AO30" s="272"/>
      <c r="AP30" s="518" t="str">
        <f t="shared" si="2"/>
        <v/>
      </c>
      <c r="AQ30" s="247"/>
      <c r="AR30" s="249"/>
      <c r="AS30" s="249"/>
      <c r="AT30" s="249"/>
      <c r="AU30" s="247"/>
      <c r="AV30" s="519" t="str">
        <f t="shared" si="3"/>
        <v/>
      </c>
      <c r="AW30" s="271"/>
      <c r="AX30" s="271"/>
      <c r="AY30" s="497">
        <f t="shared" si="4"/>
        <v>0</v>
      </c>
      <c r="AZ30" s="498" t="b">
        <f t="shared" si="5"/>
        <v>0</v>
      </c>
      <c r="BA30" s="401"/>
    </row>
    <row r="31" spans="1:56" x14ac:dyDescent="0.25">
      <c r="A31" s="72"/>
      <c r="B31" s="132">
        <v>13</v>
      </c>
      <c r="C31" s="687" t="str">
        <f>'C. FILIACION'!C26</f>
        <v>HILAYA  TORREZ CARLA JHULIANA</v>
      </c>
      <c r="D31" s="688"/>
      <c r="E31" s="252"/>
      <c r="F31" s="249"/>
      <c r="G31" s="249"/>
      <c r="H31" s="249"/>
      <c r="I31" s="247"/>
      <c r="J31" s="516" t="str">
        <f t="shared" si="0"/>
        <v/>
      </c>
      <c r="K31" s="272"/>
      <c r="L31" s="272"/>
      <c r="M31" s="272"/>
      <c r="N31" s="272"/>
      <c r="O31" s="273"/>
      <c r="P31" s="274"/>
      <c r="Q31" s="272"/>
      <c r="R31" s="268"/>
      <c r="S31" s="272"/>
      <c r="T31" s="273"/>
      <c r="U31" s="274"/>
      <c r="V31" s="268"/>
      <c r="W31" s="268"/>
      <c r="X31" s="272"/>
      <c r="Y31" s="272"/>
      <c r="Z31" s="517" t="str">
        <f t="shared" si="1"/>
        <v/>
      </c>
      <c r="AA31" s="272"/>
      <c r="AB31" s="272"/>
      <c r="AC31" s="272"/>
      <c r="AD31" s="268"/>
      <c r="AE31" s="273"/>
      <c r="AF31" s="274"/>
      <c r="AG31" s="272"/>
      <c r="AH31" s="268"/>
      <c r="AI31" s="268"/>
      <c r="AJ31" s="269"/>
      <c r="AK31" s="270"/>
      <c r="AL31" s="268"/>
      <c r="AM31" s="268"/>
      <c r="AN31" s="272"/>
      <c r="AO31" s="272"/>
      <c r="AP31" s="518" t="str">
        <f t="shared" si="2"/>
        <v/>
      </c>
      <c r="AQ31" s="247"/>
      <c r="AR31" s="249"/>
      <c r="AS31" s="249"/>
      <c r="AT31" s="249"/>
      <c r="AU31" s="247"/>
      <c r="AV31" s="519" t="str">
        <f t="shared" si="3"/>
        <v/>
      </c>
      <c r="AW31" s="271"/>
      <c r="AX31" s="271"/>
      <c r="AY31" s="497">
        <f t="shared" si="4"/>
        <v>0</v>
      </c>
      <c r="AZ31" s="498" t="b">
        <f t="shared" si="5"/>
        <v>0</v>
      </c>
      <c r="BA31" s="401"/>
    </row>
    <row r="32" spans="1:56" x14ac:dyDescent="0.25">
      <c r="A32" s="72"/>
      <c r="B32" s="132">
        <v>14</v>
      </c>
      <c r="C32" s="687" t="str">
        <f>'C. FILIACION'!C27</f>
        <v>HUANCA CALLISAYA  PATRICIA</v>
      </c>
      <c r="D32" s="688"/>
      <c r="E32" s="252"/>
      <c r="F32" s="249"/>
      <c r="G32" s="249"/>
      <c r="H32" s="249"/>
      <c r="I32" s="247"/>
      <c r="J32" s="516" t="str">
        <f t="shared" si="0"/>
        <v/>
      </c>
      <c r="K32" s="272"/>
      <c r="L32" s="272"/>
      <c r="M32" s="272"/>
      <c r="N32" s="272"/>
      <c r="O32" s="273"/>
      <c r="P32" s="274"/>
      <c r="Q32" s="272"/>
      <c r="R32" s="268"/>
      <c r="S32" s="272"/>
      <c r="T32" s="273"/>
      <c r="U32" s="274"/>
      <c r="V32" s="268"/>
      <c r="W32" s="268"/>
      <c r="X32" s="272"/>
      <c r="Y32" s="272"/>
      <c r="Z32" s="517" t="str">
        <f t="shared" si="1"/>
        <v/>
      </c>
      <c r="AA32" s="272"/>
      <c r="AB32" s="272"/>
      <c r="AC32" s="272"/>
      <c r="AD32" s="268"/>
      <c r="AE32" s="273"/>
      <c r="AF32" s="274"/>
      <c r="AG32" s="272"/>
      <c r="AH32" s="268"/>
      <c r="AI32" s="268"/>
      <c r="AJ32" s="269"/>
      <c r="AK32" s="270"/>
      <c r="AL32" s="268"/>
      <c r="AM32" s="268"/>
      <c r="AN32" s="272"/>
      <c r="AO32" s="272"/>
      <c r="AP32" s="518" t="str">
        <f t="shared" si="2"/>
        <v/>
      </c>
      <c r="AQ32" s="247"/>
      <c r="AR32" s="249"/>
      <c r="AS32" s="249"/>
      <c r="AT32" s="249"/>
      <c r="AU32" s="247"/>
      <c r="AV32" s="519" t="str">
        <f t="shared" si="3"/>
        <v/>
      </c>
      <c r="AW32" s="271"/>
      <c r="AX32" s="271"/>
      <c r="AY32" s="497">
        <f t="shared" si="4"/>
        <v>0</v>
      </c>
      <c r="AZ32" s="498" t="b">
        <f t="shared" si="5"/>
        <v>0</v>
      </c>
      <c r="BA32" s="401"/>
    </row>
    <row r="33" spans="1:53" x14ac:dyDescent="0.25">
      <c r="A33" s="72"/>
      <c r="B33" s="132">
        <v>15</v>
      </c>
      <c r="C33" s="687" t="str">
        <f>'C. FILIACION'!C28</f>
        <v>LIMACHI RADA GERMAN DOMINGO</v>
      </c>
      <c r="D33" s="688"/>
      <c r="E33" s="252"/>
      <c r="F33" s="249"/>
      <c r="G33" s="249"/>
      <c r="H33" s="249"/>
      <c r="I33" s="247"/>
      <c r="J33" s="516" t="str">
        <f t="shared" si="0"/>
        <v/>
      </c>
      <c r="K33" s="272"/>
      <c r="L33" s="272"/>
      <c r="M33" s="272"/>
      <c r="N33" s="272"/>
      <c r="O33" s="273"/>
      <c r="P33" s="274"/>
      <c r="Q33" s="272"/>
      <c r="R33" s="268"/>
      <c r="S33" s="272"/>
      <c r="T33" s="273"/>
      <c r="U33" s="274"/>
      <c r="V33" s="268"/>
      <c r="W33" s="268"/>
      <c r="X33" s="272"/>
      <c r="Y33" s="272"/>
      <c r="Z33" s="517" t="str">
        <f t="shared" si="1"/>
        <v/>
      </c>
      <c r="AA33" s="272"/>
      <c r="AB33" s="272"/>
      <c r="AC33" s="272"/>
      <c r="AD33" s="268"/>
      <c r="AE33" s="273"/>
      <c r="AF33" s="274"/>
      <c r="AG33" s="272"/>
      <c r="AH33" s="268"/>
      <c r="AI33" s="268"/>
      <c r="AJ33" s="269"/>
      <c r="AK33" s="270"/>
      <c r="AL33" s="268"/>
      <c r="AM33" s="268"/>
      <c r="AN33" s="272"/>
      <c r="AO33" s="272"/>
      <c r="AP33" s="518" t="str">
        <f t="shared" si="2"/>
        <v/>
      </c>
      <c r="AQ33" s="247"/>
      <c r="AR33" s="249"/>
      <c r="AS33" s="249"/>
      <c r="AT33" s="249"/>
      <c r="AU33" s="247"/>
      <c r="AV33" s="519" t="str">
        <f t="shared" si="3"/>
        <v/>
      </c>
      <c r="AW33" s="271"/>
      <c r="AX33" s="271"/>
      <c r="AY33" s="497">
        <f t="shared" si="4"/>
        <v>0</v>
      </c>
      <c r="AZ33" s="498" t="b">
        <f t="shared" si="5"/>
        <v>0</v>
      </c>
      <c r="BA33" s="401"/>
    </row>
    <row r="34" spans="1:53" x14ac:dyDescent="0.25">
      <c r="A34" s="72"/>
      <c r="B34" s="132">
        <v>16</v>
      </c>
      <c r="C34" s="687" t="str">
        <f>'C. FILIACION'!C29</f>
        <v>MANTILLA SANCHEZ CAROLINA VALERIA</v>
      </c>
      <c r="D34" s="688"/>
      <c r="E34" s="252"/>
      <c r="F34" s="249"/>
      <c r="G34" s="249"/>
      <c r="H34" s="249"/>
      <c r="I34" s="247"/>
      <c r="J34" s="516" t="str">
        <f t="shared" si="0"/>
        <v/>
      </c>
      <c r="K34" s="272"/>
      <c r="L34" s="272"/>
      <c r="M34" s="272"/>
      <c r="N34" s="272"/>
      <c r="O34" s="273"/>
      <c r="P34" s="274"/>
      <c r="Q34" s="272"/>
      <c r="R34" s="268"/>
      <c r="S34" s="272"/>
      <c r="T34" s="273"/>
      <c r="U34" s="274"/>
      <c r="V34" s="268"/>
      <c r="W34" s="268"/>
      <c r="X34" s="272"/>
      <c r="Y34" s="272"/>
      <c r="Z34" s="517" t="str">
        <f t="shared" si="1"/>
        <v/>
      </c>
      <c r="AA34" s="272"/>
      <c r="AB34" s="272"/>
      <c r="AC34" s="272"/>
      <c r="AD34" s="268"/>
      <c r="AE34" s="273"/>
      <c r="AF34" s="274"/>
      <c r="AG34" s="272"/>
      <c r="AH34" s="268"/>
      <c r="AI34" s="268"/>
      <c r="AJ34" s="269"/>
      <c r="AK34" s="270"/>
      <c r="AL34" s="268"/>
      <c r="AM34" s="268"/>
      <c r="AN34" s="272"/>
      <c r="AO34" s="272"/>
      <c r="AP34" s="518" t="str">
        <f t="shared" si="2"/>
        <v/>
      </c>
      <c r="AQ34" s="247"/>
      <c r="AR34" s="249"/>
      <c r="AS34" s="249"/>
      <c r="AT34" s="249"/>
      <c r="AU34" s="247"/>
      <c r="AV34" s="519" t="str">
        <f t="shared" si="3"/>
        <v/>
      </c>
      <c r="AW34" s="271"/>
      <c r="AX34" s="271"/>
      <c r="AY34" s="497">
        <f t="shared" si="4"/>
        <v>0</v>
      </c>
      <c r="AZ34" s="498" t="b">
        <f t="shared" si="5"/>
        <v>0</v>
      </c>
      <c r="BA34" s="401"/>
    </row>
    <row r="35" spans="1:53" x14ac:dyDescent="0.25">
      <c r="A35" s="72"/>
      <c r="B35" s="132">
        <v>17</v>
      </c>
      <c r="C35" s="687" t="str">
        <f>'C. FILIACION'!C30</f>
        <v>MULLER  ESCOBAR MARCIA BIBIANA</v>
      </c>
      <c r="D35" s="688"/>
      <c r="E35" s="252"/>
      <c r="F35" s="249"/>
      <c r="G35" s="249"/>
      <c r="H35" s="249"/>
      <c r="I35" s="247"/>
      <c r="J35" s="516" t="str">
        <f t="shared" si="0"/>
        <v/>
      </c>
      <c r="K35" s="272"/>
      <c r="L35" s="272"/>
      <c r="M35" s="272"/>
      <c r="N35" s="272"/>
      <c r="O35" s="273"/>
      <c r="P35" s="274"/>
      <c r="Q35" s="272"/>
      <c r="R35" s="268"/>
      <c r="S35" s="272"/>
      <c r="T35" s="273"/>
      <c r="U35" s="274"/>
      <c r="V35" s="268"/>
      <c r="W35" s="268"/>
      <c r="X35" s="272"/>
      <c r="Y35" s="272"/>
      <c r="Z35" s="517" t="str">
        <f t="shared" si="1"/>
        <v/>
      </c>
      <c r="AA35" s="272"/>
      <c r="AB35" s="272"/>
      <c r="AC35" s="272"/>
      <c r="AD35" s="268"/>
      <c r="AE35" s="273"/>
      <c r="AF35" s="274"/>
      <c r="AG35" s="272"/>
      <c r="AH35" s="268"/>
      <c r="AI35" s="268"/>
      <c r="AJ35" s="269"/>
      <c r="AK35" s="270"/>
      <c r="AL35" s="268"/>
      <c r="AM35" s="268"/>
      <c r="AN35" s="272"/>
      <c r="AO35" s="272"/>
      <c r="AP35" s="518" t="str">
        <f t="shared" si="2"/>
        <v/>
      </c>
      <c r="AQ35" s="247"/>
      <c r="AR35" s="249"/>
      <c r="AS35" s="249"/>
      <c r="AT35" s="249"/>
      <c r="AU35" s="247"/>
      <c r="AV35" s="519" t="str">
        <f t="shared" si="3"/>
        <v/>
      </c>
      <c r="AW35" s="271"/>
      <c r="AX35" s="271"/>
      <c r="AY35" s="497">
        <f t="shared" si="4"/>
        <v>0</v>
      </c>
      <c r="AZ35" s="498" t="b">
        <f t="shared" si="5"/>
        <v>0</v>
      </c>
      <c r="BA35" s="401"/>
    </row>
    <row r="36" spans="1:53" x14ac:dyDescent="0.25">
      <c r="A36" s="72"/>
      <c r="B36" s="132">
        <v>18</v>
      </c>
      <c r="C36" s="687" t="str">
        <f>'C. FILIACION'!C31</f>
        <v xml:space="preserve">POMA MAMANI ADRIAN </v>
      </c>
      <c r="D36" s="688"/>
      <c r="E36" s="252"/>
      <c r="F36" s="249"/>
      <c r="G36" s="249"/>
      <c r="H36" s="249"/>
      <c r="I36" s="247"/>
      <c r="J36" s="516" t="str">
        <f t="shared" si="0"/>
        <v/>
      </c>
      <c r="K36" s="272"/>
      <c r="L36" s="272"/>
      <c r="M36" s="272"/>
      <c r="N36" s="272"/>
      <c r="O36" s="273"/>
      <c r="P36" s="274"/>
      <c r="Q36" s="272"/>
      <c r="R36" s="268"/>
      <c r="S36" s="272"/>
      <c r="T36" s="273"/>
      <c r="U36" s="274"/>
      <c r="V36" s="268"/>
      <c r="W36" s="268"/>
      <c r="X36" s="272"/>
      <c r="Y36" s="272"/>
      <c r="Z36" s="517" t="str">
        <f t="shared" si="1"/>
        <v/>
      </c>
      <c r="AA36" s="272"/>
      <c r="AB36" s="272"/>
      <c r="AC36" s="272"/>
      <c r="AD36" s="268"/>
      <c r="AE36" s="273"/>
      <c r="AF36" s="274"/>
      <c r="AG36" s="272"/>
      <c r="AH36" s="268"/>
      <c r="AI36" s="268"/>
      <c r="AJ36" s="269"/>
      <c r="AK36" s="270"/>
      <c r="AL36" s="268"/>
      <c r="AM36" s="268"/>
      <c r="AN36" s="272"/>
      <c r="AO36" s="272"/>
      <c r="AP36" s="518" t="str">
        <f t="shared" si="2"/>
        <v/>
      </c>
      <c r="AQ36" s="247"/>
      <c r="AR36" s="249"/>
      <c r="AS36" s="249"/>
      <c r="AT36" s="249"/>
      <c r="AU36" s="247"/>
      <c r="AV36" s="519" t="str">
        <f t="shared" si="3"/>
        <v/>
      </c>
      <c r="AW36" s="271"/>
      <c r="AX36" s="271"/>
      <c r="AY36" s="497">
        <f t="shared" si="4"/>
        <v>0</v>
      </c>
      <c r="AZ36" s="498" t="b">
        <f t="shared" si="5"/>
        <v>0</v>
      </c>
      <c r="BA36" s="401"/>
    </row>
    <row r="37" spans="1:53" x14ac:dyDescent="0.25">
      <c r="A37" s="72"/>
      <c r="B37" s="132">
        <v>19</v>
      </c>
      <c r="C37" s="687" t="str">
        <f>'C. FILIACION'!C32</f>
        <v>PORTILLO  JALJA JHOSEP ERLAN</v>
      </c>
      <c r="D37" s="688"/>
      <c r="E37" s="252"/>
      <c r="F37" s="249"/>
      <c r="G37" s="249"/>
      <c r="H37" s="249"/>
      <c r="I37" s="247"/>
      <c r="J37" s="516" t="str">
        <f t="shared" si="0"/>
        <v/>
      </c>
      <c r="K37" s="272"/>
      <c r="L37" s="272"/>
      <c r="M37" s="272"/>
      <c r="N37" s="272"/>
      <c r="O37" s="273"/>
      <c r="P37" s="274"/>
      <c r="Q37" s="272"/>
      <c r="R37" s="268"/>
      <c r="S37" s="272"/>
      <c r="T37" s="273"/>
      <c r="U37" s="274"/>
      <c r="V37" s="268"/>
      <c r="W37" s="268"/>
      <c r="X37" s="272"/>
      <c r="Y37" s="272"/>
      <c r="Z37" s="517" t="str">
        <f t="shared" si="1"/>
        <v/>
      </c>
      <c r="AA37" s="272"/>
      <c r="AB37" s="272"/>
      <c r="AC37" s="272"/>
      <c r="AD37" s="268"/>
      <c r="AE37" s="273"/>
      <c r="AF37" s="274"/>
      <c r="AG37" s="272"/>
      <c r="AH37" s="268"/>
      <c r="AI37" s="268"/>
      <c r="AJ37" s="269"/>
      <c r="AK37" s="270"/>
      <c r="AL37" s="268"/>
      <c r="AM37" s="268"/>
      <c r="AN37" s="272"/>
      <c r="AO37" s="272"/>
      <c r="AP37" s="518" t="str">
        <f t="shared" si="2"/>
        <v/>
      </c>
      <c r="AQ37" s="247"/>
      <c r="AR37" s="249"/>
      <c r="AS37" s="249"/>
      <c r="AT37" s="249"/>
      <c r="AU37" s="247"/>
      <c r="AV37" s="519" t="str">
        <f t="shared" si="3"/>
        <v/>
      </c>
      <c r="AW37" s="271"/>
      <c r="AX37" s="271"/>
      <c r="AY37" s="497">
        <f t="shared" si="4"/>
        <v>0</v>
      </c>
      <c r="AZ37" s="498" t="b">
        <f t="shared" si="5"/>
        <v>0</v>
      </c>
      <c r="BA37" s="401"/>
    </row>
    <row r="38" spans="1:53" x14ac:dyDescent="0.25">
      <c r="A38" s="72"/>
      <c r="B38" s="132">
        <v>20</v>
      </c>
      <c r="C38" s="687" t="str">
        <f>'C. FILIACION'!C33</f>
        <v>PUJRO  CHAUCA DIANA MARIBEL</v>
      </c>
      <c r="D38" s="688"/>
      <c r="E38" s="252"/>
      <c r="F38" s="249"/>
      <c r="G38" s="249"/>
      <c r="H38" s="249"/>
      <c r="I38" s="247"/>
      <c r="J38" s="516" t="str">
        <f t="shared" si="0"/>
        <v/>
      </c>
      <c r="K38" s="272"/>
      <c r="L38" s="272"/>
      <c r="M38" s="272"/>
      <c r="N38" s="272"/>
      <c r="O38" s="273"/>
      <c r="P38" s="274"/>
      <c r="Q38" s="272"/>
      <c r="R38" s="268"/>
      <c r="S38" s="272"/>
      <c r="T38" s="273"/>
      <c r="U38" s="274"/>
      <c r="V38" s="268"/>
      <c r="W38" s="268"/>
      <c r="X38" s="272"/>
      <c r="Y38" s="272"/>
      <c r="Z38" s="517" t="str">
        <f t="shared" si="1"/>
        <v/>
      </c>
      <c r="AA38" s="272"/>
      <c r="AB38" s="272"/>
      <c r="AC38" s="272"/>
      <c r="AD38" s="268"/>
      <c r="AE38" s="273"/>
      <c r="AF38" s="274"/>
      <c r="AG38" s="272"/>
      <c r="AH38" s="268"/>
      <c r="AI38" s="268"/>
      <c r="AJ38" s="269"/>
      <c r="AK38" s="270"/>
      <c r="AL38" s="268"/>
      <c r="AM38" s="268"/>
      <c r="AN38" s="272"/>
      <c r="AO38" s="272"/>
      <c r="AP38" s="518" t="str">
        <f t="shared" si="2"/>
        <v/>
      </c>
      <c r="AQ38" s="247"/>
      <c r="AR38" s="249"/>
      <c r="AS38" s="249"/>
      <c r="AT38" s="249"/>
      <c r="AU38" s="247"/>
      <c r="AV38" s="519" t="str">
        <f t="shared" si="3"/>
        <v/>
      </c>
      <c r="AW38" s="271"/>
      <c r="AX38" s="271"/>
      <c r="AY38" s="497">
        <f t="shared" si="4"/>
        <v>0</v>
      </c>
      <c r="AZ38" s="498" t="b">
        <f t="shared" si="5"/>
        <v>0</v>
      </c>
      <c r="BA38" s="401"/>
    </row>
    <row r="39" spans="1:53" x14ac:dyDescent="0.25">
      <c r="A39" s="72"/>
      <c r="B39" s="132">
        <v>21</v>
      </c>
      <c r="C39" s="687" t="str">
        <f>'C. FILIACION'!C34</f>
        <v>SANCHEZ  MOLINA ALEXIS VHADIR</v>
      </c>
      <c r="D39" s="688"/>
      <c r="E39" s="252"/>
      <c r="F39" s="249"/>
      <c r="G39" s="249"/>
      <c r="H39" s="249"/>
      <c r="I39" s="247"/>
      <c r="J39" s="516" t="str">
        <f t="shared" si="0"/>
        <v/>
      </c>
      <c r="K39" s="272"/>
      <c r="L39" s="272"/>
      <c r="M39" s="272"/>
      <c r="N39" s="272"/>
      <c r="O39" s="273"/>
      <c r="P39" s="274"/>
      <c r="Q39" s="272"/>
      <c r="R39" s="268"/>
      <c r="S39" s="272"/>
      <c r="T39" s="273"/>
      <c r="U39" s="274"/>
      <c r="V39" s="268"/>
      <c r="W39" s="268"/>
      <c r="X39" s="272"/>
      <c r="Y39" s="272"/>
      <c r="Z39" s="517" t="str">
        <f t="shared" si="1"/>
        <v/>
      </c>
      <c r="AA39" s="272"/>
      <c r="AB39" s="272"/>
      <c r="AC39" s="272"/>
      <c r="AD39" s="268"/>
      <c r="AE39" s="273"/>
      <c r="AF39" s="274"/>
      <c r="AG39" s="272"/>
      <c r="AH39" s="268"/>
      <c r="AI39" s="268"/>
      <c r="AJ39" s="269"/>
      <c r="AK39" s="270"/>
      <c r="AL39" s="268"/>
      <c r="AM39" s="268"/>
      <c r="AN39" s="272"/>
      <c r="AO39" s="272"/>
      <c r="AP39" s="518" t="str">
        <f t="shared" si="2"/>
        <v/>
      </c>
      <c r="AQ39" s="247"/>
      <c r="AR39" s="249"/>
      <c r="AS39" s="249"/>
      <c r="AT39" s="249"/>
      <c r="AU39" s="247"/>
      <c r="AV39" s="519" t="str">
        <f t="shared" si="3"/>
        <v/>
      </c>
      <c r="AW39" s="271"/>
      <c r="AX39" s="271"/>
      <c r="AY39" s="497">
        <f t="shared" si="4"/>
        <v>0</v>
      </c>
      <c r="AZ39" s="498" t="b">
        <f t="shared" si="5"/>
        <v>0</v>
      </c>
      <c r="BA39" s="401"/>
    </row>
    <row r="40" spans="1:53" x14ac:dyDescent="0.25">
      <c r="A40" s="72"/>
      <c r="B40" s="132">
        <v>22</v>
      </c>
      <c r="C40" s="687" t="str">
        <f>'C. FILIACION'!C35</f>
        <v>SARAVIA SALVATIERRA JOSSE AMED</v>
      </c>
      <c r="D40" s="688"/>
      <c r="E40" s="252"/>
      <c r="F40" s="249"/>
      <c r="G40" s="249"/>
      <c r="H40" s="249"/>
      <c r="I40" s="247"/>
      <c r="J40" s="516" t="str">
        <f t="shared" si="0"/>
        <v/>
      </c>
      <c r="K40" s="272"/>
      <c r="L40" s="272"/>
      <c r="M40" s="272"/>
      <c r="N40" s="272"/>
      <c r="O40" s="273"/>
      <c r="P40" s="274"/>
      <c r="Q40" s="272"/>
      <c r="R40" s="268"/>
      <c r="S40" s="272"/>
      <c r="T40" s="273"/>
      <c r="U40" s="274"/>
      <c r="V40" s="268"/>
      <c r="W40" s="268"/>
      <c r="X40" s="272"/>
      <c r="Y40" s="272"/>
      <c r="Z40" s="517" t="str">
        <f t="shared" si="1"/>
        <v/>
      </c>
      <c r="AA40" s="272"/>
      <c r="AB40" s="272"/>
      <c r="AC40" s="272"/>
      <c r="AD40" s="268"/>
      <c r="AE40" s="273"/>
      <c r="AF40" s="274"/>
      <c r="AG40" s="272"/>
      <c r="AH40" s="268"/>
      <c r="AI40" s="268"/>
      <c r="AJ40" s="269"/>
      <c r="AK40" s="270"/>
      <c r="AL40" s="268"/>
      <c r="AM40" s="268"/>
      <c r="AN40" s="272"/>
      <c r="AO40" s="272"/>
      <c r="AP40" s="518" t="str">
        <f t="shared" si="2"/>
        <v/>
      </c>
      <c r="AQ40" s="247"/>
      <c r="AR40" s="249"/>
      <c r="AS40" s="249"/>
      <c r="AT40" s="249"/>
      <c r="AU40" s="247"/>
      <c r="AV40" s="519" t="str">
        <f t="shared" si="3"/>
        <v/>
      </c>
      <c r="AW40" s="271"/>
      <c r="AX40" s="271"/>
      <c r="AY40" s="497">
        <f t="shared" si="4"/>
        <v>0</v>
      </c>
      <c r="AZ40" s="498" t="b">
        <f t="shared" si="5"/>
        <v>0</v>
      </c>
      <c r="BA40" s="401"/>
    </row>
    <row r="41" spans="1:53" x14ac:dyDescent="0.25">
      <c r="A41" s="72"/>
      <c r="B41" s="132">
        <v>23</v>
      </c>
      <c r="C41" s="687" t="str">
        <f>'C. FILIACION'!C36</f>
        <v>SIERRA LUNA GABRIEL  GERMAN</v>
      </c>
      <c r="D41" s="688"/>
      <c r="E41" s="252"/>
      <c r="F41" s="249"/>
      <c r="G41" s="249"/>
      <c r="H41" s="249"/>
      <c r="I41" s="247"/>
      <c r="J41" s="516" t="str">
        <f t="shared" si="0"/>
        <v/>
      </c>
      <c r="K41" s="272"/>
      <c r="L41" s="272"/>
      <c r="M41" s="272"/>
      <c r="N41" s="272"/>
      <c r="O41" s="273"/>
      <c r="P41" s="274"/>
      <c r="Q41" s="272"/>
      <c r="R41" s="268"/>
      <c r="S41" s="272"/>
      <c r="T41" s="273"/>
      <c r="U41" s="274"/>
      <c r="V41" s="268"/>
      <c r="W41" s="268"/>
      <c r="X41" s="272"/>
      <c r="Y41" s="272"/>
      <c r="Z41" s="517" t="str">
        <f t="shared" si="1"/>
        <v/>
      </c>
      <c r="AA41" s="272"/>
      <c r="AB41" s="272"/>
      <c r="AC41" s="272"/>
      <c r="AD41" s="268"/>
      <c r="AE41" s="273"/>
      <c r="AF41" s="274"/>
      <c r="AG41" s="272"/>
      <c r="AH41" s="268"/>
      <c r="AI41" s="268"/>
      <c r="AJ41" s="269"/>
      <c r="AK41" s="270"/>
      <c r="AL41" s="268"/>
      <c r="AM41" s="268"/>
      <c r="AN41" s="272"/>
      <c r="AO41" s="272"/>
      <c r="AP41" s="518" t="str">
        <f t="shared" si="2"/>
        <v/>
      </c>
      <c r="AQ41" s="247"/>
      <c r="AR41" s="249"/>
      <c r="AS41" s="249"/>
      <c r="AT41" s="249"/>
      <c r="AU41" s="247"/>
      <c r="AV41" s="519" t="str">
        <f t="shared" si="3"/>
        <v/>
      </c>
      <c r="AW41" s="271"/>
      <c r="AX41" s="271"/>
      <c r="AY41" s="497">
        <f t="shared" si="4"/>
        <v>0</v>
      </c>
      <c r="AZ41" s="498" t="b">
        <f t="shared" si="5"/>
        <v>0</v>
      </c>
      <c r="BA41" s="401"/>
    </row>
    <row r="42" spans="1:53" x14ac:dyDescent="0.25">
      <c r="A42" s="72"/>
      <c r="B42" s="132">
        <v>24</v>
      </c>
      <c r="C42" s="687" t="str">
        <f>'C. FILIACION'!C37</f>
        <v>ZEWANE  MARTINEZ LINDA JHAMILETT</v>
      </c>
      <c r="D42" s="688"/>
      <c r="E42" s="252"/>
      <c r="F42" s="249"/>
      <c r="G42" s="249"/>
      <c r="H42" s="249"/>
      <c r="I42" s="247"/>
      <c r="J42" s="516" t="str">
        <f t="shared" si="0"/>
        <v/>
      </c>
      <c r="K42" s="272"/>
      <c r="L42" s="272"/>
      <c r="M42" s="272"/>
      <c r="N42" s="272"/>
      <c r="O42" s="273"/>
      <c r="P42" s="274"/>
      <c r="Q42" s="272"/>
      <c r="R42" s="268"/>
      <c r="S42" s="272"/>
      <c r="T42" s="273"/>
      <c r="U42" s="274"/>
      <c r="V42" s="268"/>
      <c r="W42" s="268"/>
      <c r="X42" s="272"/>
      <c r="Y42" s="272"/>
      <c r="Z42" s="517" t="str">
        <f t="shared" si="1"/>
        <v/>
      </c>
      <c r="AA42" s="272"/>
      <c r="AB42" s="272"/>
      <c r="AC42" s="272"/>
      <c r="AD42" s="268"/>
      <c r="AE42" s="273"/>
      <c r="AF42" s="274"/>
      <c r="AG42" s="272"/>
      <c r="AH42" s="268"/>
      <c r="AI42" s="268"/>
      <c r="AJ42" s="269"/>
      <c r="AK42" s="270"/>
      <c r="AL42" s="268"/>
      <c r="AM42" s="268"/>
      <c r="AN42" s="272"/>
      <c r="AO42" s="272"/>
      <c r="AP42" s="518" t="str">
        <f t="shared" si="2"/>
        <v/>
      </c>
      <c r="AQ42" s="247"/>
      <c r="AR42" s="249"/>
      <c r="AS42" s="249"/>
      <c r="AT42" s="249"/>
      <c r="AU42" s="247"/>
      <c r="AV42" s="519" t="str">
        <f t="shared" si="3"/>
        <v/>
      </c>
      <c r="AW42" s="271"/>
      <c r="AX42" s="271"/>
      <c r="AY42" s="497">
        <f t="shared" si="4"/>
        <v>0</v>
      </c>
      <c r="AZ42" s="498" t="b">
        <f t="shared" si="5"/>
        <v>0</v>
      </c>
      <c r="BA42" s="401"/>
    </row>
    <row r="43" spans="1:53" x14ac:dyDescent="0.25">
      <c r="A43" s="72"/>
      <c r="B43" s="132">
        <v>25</v>
      </c>
      <c r="C43" s="687">
        <f>'C. FILIACION'!C38</f>
        <v>0</v>
      </c>
      <c r="D43" s="688"/>
      <c r="E43" s="252"/>
      <c r="F43" s="249"/>
      <c r="G43" s="249"/>
      <c r="H43" s="249"/>
      <c r="I43" s="247"/>
      <c r="J43" s="516" t="str">
        <f t="shared" si="0"/>
        <v/>
      </c>
      <c r="K43" s="272"/>
      <c r="L43" s="272"/>
      <c r="M43" s="272"/>
      <c r="N43" s="272"/>
      <c r="O43" s="273"/>
      <c r="P43" s="274"/>
      <c r="Q43" s="272"/>
      <c r="R43" s="268"/>
      <c r="S43" s="272"/>
      <c r="T43" s="273"/>
      <c r="U43" s="274"/>
      <c r="V43" s="268"/>
      <c r="W43" s="268"/>
      <c r="X43" s="272"/>
      <c r="Y43" s="272"/>
      <c r="Z43" s="517" t="str">
        <f t="shared" si="1"/>
        <v/>
      </c>
      <c r="AA43" s="272"/>
      <c r="AB43" s="272"/>
      <c r="AC43" s="272"/>
      <c r="AD43" s="268"/>
      <c r="AE43" s="273"/>
      <c r="AF43" s="274"/>
      <c r="AG43" s="272"/>
      <c r="AH43" s="268"/>
      <c r="AI43" s="268"/>
      <c r="AJ43" s="269"/>
      <c r="AK43" s="270"/>
      <c r="AL43" s="268"/>
      <c r="AM43" s="268"/>
      <c r="AN43" s="272"/>
      <c r="AO43" s="272"/>
      <c r="AP43" s="518" t="str">
        <f t="shared" si="2"/>
        <v/>
      </c>
      <c r="AQ43" s="247"/>
      <c r="AR43" s="249"/>
      <c r="AS43" s="249"/>
      <c r="AT43" s="249"/>
      <c r="AU43" s="247"/>
      <c r="AV43" s="519" t="str">
        <f t="shared" si="3"/>
        <v/>
      </c>
      <c r="AW43" s="271"/>
      <c r="AX43" s="271"/>
      <c r="AY43" s="497">
        <f t="shared" si="4"/>
        <v>0</v>
      </c>
      <c r="AZ43" s="498" t="b">
        <f t="shared" si="5"/>
        <v>0</v>
      </c>
      <c r="BA43" s="401"/>
    </row>
    <row r="44" spans="1:53" x14ac:dyDescent="0.25">
      <c r="A44" s="72"/>
      <c r="B44" s="132">
        <v>26</v>
      </c>
      <c r="C44" s="687">
        <f>'C. FILIACION'!C39</f>
        <v>0</v>
      </c>
      <c r="D44" s="688"/>
      <c r="E44" s="252"/>
      <c r="F44" s="249"/>
      <c r="G44" s="249"/>
      <c r="H44" s="249"/>
      <c r="I44" s="247"/>
      <c r="J44" s="516" t="str">
        <f t="shared" si="0"/>
        <v/>
      </c>
      <c r="K44" s="272"/>
      <c r="L44" s="272"/>
      <c r="M44" s="272"/>
      <c r="N44" s="272"/>
      <c r="O44" s="273"/>
      <c r="P44" s="274"/>
      <c r="Q44" s="272"/>
      <c r="R44" s="268"/>
      <c r="S44" s="272"/>
      <c r="T44" s="273"/>
      <c r="U44" s="274"/>
      <c r="V44" s="268"/>
      <c r="W44" s="268"/>
      <c r="X44" s="272"/>
      <c r="Y44" s="272"/>
      <c r="Z44" s="517" t="str">
        <f t="shared" si="1"/>
        <v/>
      </c>
      <c r="AA44" s="272"/>
      <c r="AB44" s="272"/>
      <c r="AC44" s="272"/>
      <c r="AD44" s="268"/>
      <c r="AE44" s="273"/>
      <c r="AF44" s="274"/>
      <c r="AG44" s="272"/>
      <c r="AH44" s="268"/>
      <c r="AI44" s="268"/>
      <c r="AJ44" s="269"/>
      <c r="AK44" s="270"/>
      <c r="AL44" s="268"/>
      <c r="AM44" s="268"/>
      <c r="AN44" s="272"/>
      <c r="AO44" s="272"/>
      <c r="AP44" s="518" t="str">
        <f t="shared" si="2"/>
        <v/>
      </c>
      <c r="AQ44" s="247"/>
      <c r="AR44" s="249"/>
      <c r="AS44" s="249"/>
      <c r="AT44" s="249"/>
      <c r="AU44" s="247"/>
      <c r="AV44" s="519" t="str">
        <f t="shared" si="3"/>
        <v/>
      </c>
      <c r="AW44" s="271"/>
      <c r="AX44" s="271"/>
      <c r="AY44" s="497">
        <f t="shared" si="4"/>
        <v>0</v>
      </c>
      <c r="AZ44" s="498" t="b">
        <f t="shared" si="5"/>
        <v>0</v>
      </c>
      <c r="BA44" s="401"/>
    </row>
    <row r="45" spans="1:53" x14ac:dyDescent="0.25">
      <c r="A45" s="72"/>
      <c r="B45" s="132">
        <v>27</v>
      </c>
      <c r="C45" s="687">
        <f>'C. FILIACION'!C40</f>
        <v>0</v>
      </c>
      <c r="D45" s="688"/>
      <c r="E45" s="252"/>
      <c r="F45" s="249"/>
      <c r="G45" s="249"/>
      <c r="H45" s="249"/>
      <c r="I45" s="247"/>
      <c r="J45" s="516" t="str">
        <f t="shared" si="0"/>
        <v/>
      </c>
      <c r="K45" s="272"/>
      <c r="L45" s="272"/>
      <c r="M45" s="272"/>
      <c r="N45" s="272"/>
      <c r="O45" s="273"/>
      <c r="P45" s="274"/>
      <c r="Q45" s="272"/>
      <c r="R45" s="268"/>
      <c r="S45" s="272"/>
      <c r="T45" s="273"/>
      <c r="U45" s="274"/>
      <c r="V45" s="268"/>
      <c r="W45" s="268"/>
      <c r="X45" s="272"/>
      <c r="Y45" s="272"/>
      <c r="Z45" s="517" t="str">
        <f t="shared" si="1"/>
        <v/>
      </c>
      <c r="AA45" s="272"/>
      <c r="AB45" s="272"/>
      <c r="AC45" s="272"/>
      <c r="AD45" s="268"/>
      <c r="AE45" s="273"/>
      <c r="AF45" s="274"/>
      <c r="AG45" s="272"/>
      <c r="AH45" s="268"/>
      <c r="AI45" s="268"/>
      <c r="AJ45" s="269"/>
      <c r="AK45" s="270"/>
      <c r="AL45" s="268"/>
      <c r="AM45" s="268"/>
      <c r="AN45" s="272"/>
      <c r="AO45" s="272"/>
      <c r="AP45" s="518" t="str">
        <f t="shared" si="2"/>
        <v/>
      </c>
      <c r="AQ45" s="247"/>
      <c r="AR45" s="249"/>
      <c r="AS45" s="249"/>
      <c r="AT45" s="249"/>
      <c r="AU45" s="247"/>
      <c r="AV45" s="519" t="str">
        <f t="shared" si="3"/>
        <v/>
      </c>
      <c r="AW45" s="271"/>
      <c r="AX45" s="271"/>
      <c r="AY45" s="497">
        <f t="shared" si="4"/>
        <v>0</v>
      </c>
      <c r="AZ45" s="498" t="b">
        <f t="shared" si="5"/>
        <v>0</v>
      </c>
      <c r="BA45" s="401"/>
    </row>
    <row r="46" spans="1:53" x14ac:dyDescent="0.25">
      <c r="A46" s="72"/>
      <c r="B46" s="132">
        <v>28</v>
      </c>
      <c r="C46" s="687">
        <f>'C. FILIACION'!C41</f>
        <v>0</v>
      </c>
      <c r="D46" s="688"/>
      <c r="E46" s="252"/>
      <c r="F46" s="249"/>
      <c r="G46" s="249"/>
      <c r="H46" s="249"/>
      <c r="I46" s="247"/>
      <c r="J46" s="516" t="str">
        <f t="shared" si="0"/>
        <v/>
      </c>
      <c r="K46" s="272"/>
      <c r="L46" s="272"/>
      <c r="M46" s="272"/>
      <c r="N46" s="272"/>
      <c r="O46" s="273"/>
      <c r="P46" s="274"/>
      <c r="Q46" s="272"/>
      <c r="R46" s="268"/>
      <c r="S46" s="272"/>
      <c r="T46" s="273"/>
      <c r="U46" s="274"/>
      <c r="V46" s="268"/>
      <c r="W46" s="268"/>
      <c r="X46" s="272"/>
      <c r="Y46" s="272"/>
      <c r="Z46" s="517" t="str">
        <f t="shared" si="1"/>
        <v/>
      </c>
      <c r="AA46" s="272"/>
      <c r="AB46" s="272"/>
      <c r="AC46" s="272"/>
      <c r="AD46" s="268"/>
      <c r="AE46" s="273"/>
      <c r="AF46" s="274"/>
      <c r="AG46" s="272"/>
      <c r="AH46" s="268"/>
      <c r="AI46" s="268"/>
      <c r="AJ46" s="269"/>
      <c r="AK46" s="270"/>
      <c r="AL46" s="268"/>
      <c r="AM46" s="268"/>
      <c r="AN46" s="272"/>
      <c r="AO46" s="272"/>
      <c r="AP46" s="518" t="str">
        <f t="shared" si="2"/>
        <v/>
      </c>
      <c r="AQ46" s="247"/>
      <c r="AR46" s="249"/>
      <c r="AS46" s="249"/>
      <c r="AT46" s="249"/>
      <c r="AU46" s="247"/>
      <c r="AV46" s="519" t="str">
        <f t="shared" si="3"/>
        <v/>
      </c>
      <c r="AW46" s="271"/>
      <c r="AX46" s="271"/>
      <c r="AY46" s="497">
        <f t="shared" si="4"/>
        <v>0</v>
      </c>
      <c r="AZ46" s="498" t="b">
        <f t="shared" si="5"/>
        <v>0</v>
      </c>
      <c r="BA46" s="401"/>
    </row>
    <row r="47" spans="1:53" x14ac:dyDescent="0.25">
      <c r="A47" s="72"/>
      <c r="B47" s="132">
        <v>29</v>
      </c>
      <c r="C47" s="687">
        <f>'C. FILIACION'!C42</f>
        <v>0</v>
      </c>
      <c r="D47" s="688"/>
      <c r="E47" s="252"/>
      <c r="F47" s="249"/>
      <c r="G47" s="249"/>
      <c r="H47" s="249"/>
      <c r="I47" s="247"/>
      <c r="J47" s="516" t="str">
        <f t="shared" si="0"/>
        <v/>
      </c>
      <c r="K47" s="272"/>
      <c r="L47" s="272"/>
      <c r="M47" s="272"/>
      <c r="N47" s="272"/>
      <c r="O47" s="273"/>
      <c r="P47" s="274"/>
      <c r="Q47" s="272"/>
      <c r="R47" s="268"/>
      <c r="S47" s="272"/>
      <c r="T47" s="273"/>
      <c r="U47" s="274"/>
      <c r="V47" s="268"/>
      <c r="W47" s="268"/>
      <c r="X47" s="272"/>
      <c r="Y47" s="272"/>
      <c r="Z47" s="517" t="str">
        <f t="shared" si="1"/>
        <v/>
      </c>
      <c r="AA47" s="272"/>
      <c r="AB47" s="272"/>
      <c r="AC47" s="272"/>
      <c r="AD47" s="268"/>
      <c r="AE47" s="273"/>
      <c r="AF47" s="274"/>
      <c r="AG47" s="272"/>
      <c r="AH47" s="268"/>
      <c r="AI47" s="268"/>
      <c r="AJ47" s="269"/>
      <c r="AK47" s="270"/>
      <c r="AL47" s="268"/>
      <c r="AM47" s="268"/>
      <c r="AN47" s="272"/>
      <c r="AO47" s="272"/>
      <c r="AP47" s="518" t="str">
        <f t="shared" si="2"/>
        <v/>
      </c>
      <c r="AQ47" s="247"/>
      <c r="AR47" s="249"/>
      <c r="AS47" s="249"/>
      <c r="AT47" s="249"/>
      <c r="AU47" s="247"/>
      <c r="AV47" s="519" t="str">
        <f t="shared" si="3"/>
        <v/>
      </c>
      <c r="AW47" s="271"/>
      <c r="AX47" s="271"/>
      <c r="AY47" s="497">
        <f t="shared" si="4"/>
        <v>0</v>
      </c>
      <c r="AZ47" s="498" t="b">
        <f t="shared" si="5"/>
        <v>0</v>
      </c>
      <c r="BA47" s="401"/>
    </row>
    <row r="48" spans="1:53" x14ac:dyDescent="0.25">
      <c r="A48" s="72"/>
      <c r="B48" s="132">
        <v>30</v>
      </c>
      <c r="C48" s="687">
        <f>'C. FILIACION'!C43</f>
        <v>0</v>
      </c>
      <c r="D48" s="688"/>
      <c r="E48" s="252"/>
      <c r="F48" s="249"/>
      <c r="G48" s="249"/>
      <c r="H48" s="249"/>
      <c r="I48" s="247"/>
      <c r="J48" s="516" t="str">
        <f t="shared" si="0"/>
        <v/>
      </c>
      <c r="K48" s="272"/>
      <c r="L48" s="272"/>
      <c r="M48" s="272"/>
      <c r="N48" s="272"/>
      <c r="O48" s="273"/>
      <c r="P48" s="274"/>
      <c r="Q48" s="272"/>
      <c r="R48" s="268"/>
      <c r="S48" s="272"/>
      <c r="T48" s="273"/>
      <c r="U48" s="274"/>
      <c r="V48" s="268"/>
      <c r="W48" s="268"/>
      <c r="X48" s="272"/>
      <c r="Y48" s="272"/>
      <c r="Z48" s="517" t="str">
        <f t="shared" si="1"/>
        <v/>
      </c>
      <c r="AA48" s="272"/>
      <c r="AB48" s="272"/>
      <c r="AC48" s="272"/>
      <c r="AD48" s="268"/>
      <c r="AE48" s="273"/>
      <c r="AF48" s="274"/>
      <c r="AG48" s="272"/>
      <c r="AH48" s="268"/>
      <c r="AI48" s="268"/>
      <c r="AJ48" s="269"/>
      <c r="AK48" s="270"/>
      <c r="AL48" s="268"/>
      <c r="AM48" s="268"/>
      <c r="AN48" s="272"/>
      <c r="AO48" s="272"/>
      <c r="AP48" s="518" t="str">
        <f t="shared" si="2"/>
        <v/>
      </c>
      <c r="AQ48" s="247"/>
      <c r="AR48" s="249"/>
      <c r="AS48" s="249"/>
      <c r="AT48" s="249"/>
      <c r="AU48" s="247"/>
      <c r="AV48" s="519" t="str">
        <f t="shared" si="3"/>
        <v/>
      </c>
      <c r="AW48" s="271"/>
      <c r="AX48" s="271"/>
      <c r="AY48" s="497">
        <f t="shared" si="4"/>
        <v>0</v>
      </c>
      <c r="AZ48" s="498" t="b">
        <f t="shared" si="5"/>
        <v>0</v>
      </c>
      <c r="BA48" s="401"/>
    </row>
    <row r="49" spans="1:53" x14ac:dyDescent="0.25">
      <c r="A49" s="72"/>
      <c r="B49" s="132">
        <v>31</v>
      </c>
      <c r="C49" s="687">
        <f>'C. FILIACION'!C44</f>
        <v>0</v>
      </c>
      <c r="D49" s="688"/>
      <c r="E49" s="252"/>
      <c r="F49" s="249"/>
      <c r="G49" s="249"/>
      <c r="H49" s="249"/>
      <c r="I49" s="247"/>
      <c r="J49" s="516" t="str">
        <f t="shared" si="0"/>
        <v/>
      </c>
      <c r="K49" s="272"/>
      <c r="L49" s="272"/>
      <c r="M49" s="272"/>
      <c r="N49" s="272"/>
      <c r="O49" s="273"/>
      <c r="P49" s="274"/>
      <c r="Q49" s="272"/>
      <c r="R49" s="268"/>
      <c r="S49" s="272"/>
      <c r="T49" s="273"/>
      <c r="U49" s="274"/>
      <c r="V49" s="268"/>
      <c r="W49" s="268"/>
      <c r="X49" s="272"/>
      <c r="Y49" s="272"/>
      <c r="Z49" s="517" t="str">
        <f t="shared" si="1"/>
        <v/>
      </c>
      <c r="AA49" s="272"/>
      <c r="AB49" s="272"/>
      <c r="AC49" s="272"/>
      <c r="AD49" s="268"/>
      <c r="AE49" s="273"/>
      <c r="AF49" s="274"/>
      <c r="AG49" s="272"/>
      <c r="AH49" s="268"/>
      <c r="AI49" s="268"/>
      <c r="AJ49" s="269"/>
      <c r="AK49" s="270"/>
      <c r="AL49" s="268"/>
      <c r="AM49" s="268"/>
      <c r="AN49" s="272"/>
      <c r="AO49" s="272"/>
      <c r="AP49" s="518" t="str">
        <f t="shared" si="2"/>
        <v/>
      </c>
      <c r="AQ49" s="247"/>
      <c r="AR49" s="249"/>
      <c r="AS49" s="249"/>
      <c r="AT49" s="249"/>
      <c r="AU49" s="247"/>
      <c r="AV49" s="519" t="str">
        <f t="shared" si="3"/>
        <v/>
      </c>
      <c r="AW49" s="271"/>
      <c r="AX49" s="271"/>
      <c r="AY49" s="497">
        <f t="shared" si="4"/>
        <v>0</v>
      </c>
      <c r="AZ49" s="498" t="b">
        <f t="shared" si="5"/>
        <v>0</v>
      </c>
      <c r="BA49" s="401"/>
    </row>
    <row r="50" spans="1:53" x14ac:dyDescent="0.25">
      <c r="A50" s="72"/>
      <c r="B50" s="132">
        <v>32</v>
      </c>
      <c r="C50" s="687">
        <f>'C. FILIACION'!C45</f>
        <v>0</v>
      </c>
      <c r="D50" s="688"/>
      <c r="E50" s="252"/>
      <c r="F50" s="249"/>
      <c r="G50" s="249"/>
      <c r="H50" s="249"/>
      <c r="I50" s="247"/>
      <c r="J50" s="516" t="str">
        <f t="shared" si="0"/>
        <v/>
      </c>
      <c r="K50" s="272"/>
      <c r="L50" s="272"/>
      <c r="M50" s="272"/>
      <c r="N50" s="272"/>
      <c r="O50" s="273"/>
      <c r="P50" s="274"/>
      <c r="Q50" s="272"/>
      <c r="R50" s="268"/>
      <c r="S50" s="272"/>
      <c r="T50" s="273"/>
      <c r="U50" s="274"/>
      <c r="V50" s="268"/>
      <c r="W50" s="268"/>
      <c r="X50" s="272"/>
      <c r="Y50" s="272"/>
      <c r="Z50" s="517" t="str">
        <f t="shared" si="1"/>
        <v/>
      </c>
      <c r="AA50" s="272"/>
      <c r="AB50" s="272"/>
      <c r="AC50" s="272"/>
      <c r="AD50" s="268"/>
      <c r="AE50" s="273"/>
      <c r="AF50" s="274"/>
      <c r="AG50" s="272"/>
      <c r="AH50" s="268"/>
      <c r="AI50" s="268"/>
      <c r="AJ50" s="269"/>
      <c r="AK50" s="270"/>
      <c r="AL50" s="268"/>
      <c r="AM50" s="268"/>
      <c r="AN50" s="272"/>
      <c r="AO50" s="272"/>
      <c r="AP50" s="518" t="str">
        <f t="shared" si="2"/>
        <v/>
      </c>
      <c r="AQ50" s="247"/>
      <c r="AR50" s="249"/>
      <c r="AS50" s="249"/>
      <c r="AT50" s="249"/>
      <c r="AU50" s="247"/>
      <c r="AV50" s="519" t="str">
        <f t="shared" si="3"/>
        <v/>
      </c>
      <c r="AW50" s="271"/>
      <c r="AX50" s="271"/>
      <c r="AY50" s="497">
        <f t="shared" si="4"/>
        <v>0</v>
      </c>
      <c r="AZ50" s="498" t="b">
        <f t="shared" si="5"/>
        <v>0</v>
      </c>
      <c r="BA50" s="401"/>
    </row>
    <row r="51" spans="1:53" x14ac:dyDescent="0.25">
      <c r="A51" s="72"/>
      <c r="B51" s="132">
        <v>33</v>
      </c>
      <c r="C51" s="687">
        <f>'C. FILIACION'!C46</f>
        <v>0</v>
      </c>
      <c r="D51" s="688"/>
      <c r="E51" s="252"/>
      <c r="F51" s="249"/>
      <c r="G51" s="249"/>
      <c r="H51" s="249"/>
      <c r="I51" s="247"/>
      <c r="J51" s="516" t="str">
        <f t="shared" si="0"/>
        <v/>
      </c>
      <c r="K51" s="272"/>
      <c r="L51" s="272"/>
      <c r="M51" s="272"/>
      <c r="N51" s="272"/>
      <c r="O51" s="273"/>
      <c r="P51" s="274"/>
      <c r="Q51" s="272"/>
      <c r="R51" s="268"/>
      <c r="S51" s="272"/>
      <c r="T51" s="273"/>
      <c r="U51" s="274"/>
      <c r="V51" s="268"/>
      <c r="W51" s="268"/>
      <c r="X51" s="272"/>
      <c r="Y51" s="272"/>
      <c r="Z51" s="517" t="str">
        <f t="shared" si="1"/>
        <v/>
      </c>
      <c r="AA51" s="272"/>
      <c r="AB51" s="272"/>
      <c r="AC51" s="272"/>
      <c r="AD51" s="268"/>
      <c r="AE51" s="273"/>
      <c r="AF51" s="274"/>
      <c r="AG51" s="272"/>
      <c r="AH51" s="268"/>
      <c r="AI51" s="268"/>
      <c r="AJ51" s="269"/>
      <c r="AK51" s="270"/>
      <c r="AL51" s="268"/>
      <c r="AM51" s="268"/>
      <c r="AN51" s="272"/>
      <c r="AO51" s="272"/>
      <c r="AP51" s="518" t="str">
        <f t="shared" si="2"/>
        <v/>
      </c>
      <c r="AQ51" s="247"/>
      <c r="AR51" s="249"/>
      <c r="AS51" s="249"/>
      <c r="AT51" s="249"/>
      <c r="AU51" s="247"/>
      <c r="AV51" s="519" t="str">
        <f t="shared" si="3"/>
        <v/>
      </c>
      <c r="AW51" s="271"/>
      <c r="AX51" s="271"/>
      <c r="AY51" s="497">
        <f t="shared" si="4"/>
        <v>0</v>
      </c>
      <c r="AZ51" s="498" t="b">
        <f t="shared" si="5"/>
        <v>0</v>
      </c>
      <c r="BA51" s="401"/>
    </row>
    <row r="52" spans="1:53" x14ac:dyDescent="0.25">
      <c r="A52" s="72"/>
      <c r="B52" s="132">
        <v>34</v>
      </c>
      <c r="C52" s="687">
        <f>'C. FILIACION'!C47</f>
        <v>0</v>
      </c>
      <c r="D52" s="688"/>
      <c r="E52" s="252"/>
      <c r="F52" s="249"/>
      <c r="G52" s="249"/>
      <c r="H52" s="249"/>
      <c r="I52" s="247"/>
      <c r="J52" s="516" t="str">
        <f t="shared" si="0"/>
        <v/>
      </c>
      <c r="K52" s="272"/>
      <c r="L52" s="272"/>
      <c r="M52" s="272"/>
      <c r="N52" s="272"/>
      <c r="O52" s="273"/>
      <c r="P52" s="274"/>
      <c r="Q52" s="272"/>
      <c r="R52" s="268"/>
      <c r="S52" s="272"/>
      <c r="T52" s="273"/>
      <c r="U52" s="274"/>
      <c r="V52" s="268"/>
      <c r="W52" s="268"/>
      <c r="X52" s="272"/>
      <c r="Y52" s="272"/>
      <c r="Z52" s="517" t="str">
        <f t="shared" si="1"/>
        <v/>
      </c>
      <c r="AA52" s="272"/>
      <c r="AB52" s="272"/>
      <c r="AC52" s="272"/>
      <c r="AD52" s="268"/>
      <c r="AE52" s="273"/>
      <c r="AF52" s="274"/>
      <c r="AG52" s="272"/>
      <c r="AH52" s="268"/>
      <c r="AI52" s="268"/>
      <c r="AJ52" s="269"/>
      <c r="AK52" s="270"/>
      <c r="AL52" s="268"/>
      <c r="AM52" s="268"/>
      <c r="AN52" s="272"/>
      <c r="AO52" s="272"/>
      <c r="AP52" s="518" t="str">
        <f t="shared" si="2"/>
        <v/>
      </c>
      <c r="AQ52" s="247"/>
      <c r="AR52" s="249"/>
      <c r="AS52" s="249"/>
      <c r="AT52" s="249"/>
      <c r="AU52" s="247"/>
      <c r="AV52" s="519" t="str">
        <f t="shared" si="3"/>
        <v/>
      </c>
      <c r="AW52" s="271"/>
      <c r="AX52" s="271"/>
      <c r="AY52" s="497">
        <f t="shared" si="4"/>
        <v>0</v>
      </c>
      <c r="AZ52" s="498" t="b">
        <f t="shared" si="5"/>
        <v>0</v>
      </c>
      <c r="BA52" s="401"/>
    </row>
    <row r="53" spans="1:53" x14ac:dyDescent="0.25">
      <c r="A53" s="72"/>
      <c r="B53" s="132">
        <v>35</v>
      </c>
      <c r="C53" s="687">
        <f>'C. FILIACION'!C48</f>
        <v>0</v>
      </c>
      <c r="D53" s="688"/>
      <c r="E53" s="252"/>
      <c r="F53" s="249"/>
      <c r="G53" s="249"/>
      <c r="H53" s="249"/>
      <c r="I53" s="247"/>
      <c r="J53" s="516" t="str">
        <f t="shared" si="0"/>
        <v/>
      </c>
      <c r="K53" s="272"/>
      <c r="L53" s="272"/>
      <c r="M53" s="272"/>
      <c r="N53" s="272"/>
      <c r="O53" s="273"/>
      <c r="P53" s="274"/>
      <c r="Q53" s="272"/>
      <c r="R53" s="268"/>
      <c r="S53" s="272"/>
      <c r="T53" s="273"/>
      <c r="U53" s="274"/>
      <c r="V53" s="268"/>
      <c r="W53" s="268"/>
      <c r="X53" s="272"/>
      <c r="Y53" s="272"/>
      <c r="Z53" s="517" t="str">
        <f t="shared" si="1"/>
        <v/>
      </c>
      <c r="AA53" s="272"/>
      <c r="AB53" s="272"/>
      <c r="AC53" s="272"/>
      <c r="AD53" s="268"/>
      <c r="AE53" s="273"/>
      <c r="AF53" s="274"/>
      <c r="AG53" s="272"/>
      <c r="AH53" s="268"/>
      <c r="AI53" s="268"/>
      <c r="AJ53" s="269"/>
      <c r="AK53" s="270"/>
      <c r="AL53" s="268"/>
      <c r="AM53" s="268"/>
      <c r="AN53" s="272"/>
      <c r="AO53" s="272"/>
      <c r="AP53" s="518" t="str">
        <f t="shared" si="2"/>
        <v/>
      </c>
      <c r="AQ53" s="247"/>
      <c r="AR53" s="249"/>
      <c r="AS53" s="249"/>
      <c r="AT53" s="249"/>
      <c r="AU53" s="247"/>
      <c r="AV53" s="519" t="str">
        <f t="shared" si="3"/>
        <v/>
      </c>
      <c r="AW53" s="271"/>
      <c r="AX53" s="271"/>
      <c r="AY53" s="497">
        <f t="shared" si="4"/>
        <v>0</v>
      </c>
      <c r="AZ53" s="498" t="b">
        <f t="shared" si="5"/>
        <v>0</v>
      </c>
      <c r="BA53" s="401"/>
    </row>
    <row r="54" spans="1:53" x14ac:dyDescent="0.25">
      <c r="A54" s="72"/>
      <c r="B54" s="132">
        <v>36</v>
      </c>
      <c r="C54" s="687">
        <f>'C. FILIACION'!C49</f>
        <v>0</v>
      </c>
      <c r="D54" s="688"/>
      <c r="E54" s="252"/>
      <c r="F54" s="249"/>
      <c r="G54" s="249"/>
      <c r="H54" s="249"/>
      <c r="I54" s="247"/>
      <c r="J54" s="516" t="str">
        <f t="shared" si="0"/>
        <v/>
      </c>
      <c r="K54" s="272"/>
      <c r="L54" s="272"/>
      <c r="M54" s="272"/>
      <c r="N54" s="272"/>
      <c r="O54" s="273"/>
      <c r="P54" s="274"/>
      <c r="Q54" s="272"/>
      <c r="R54" s="268"/>
      <c r="S54" s="272"/>
      <c r="T54" s="273"/>
      <c r="U54" s="274"/>
      <c r="V54" s="268"/>
      <c r="W54" s="268"/>
      <c r="X54" s="272"/>
      <c r="Y54" s="272"/>
      <c r="Z54" s="517" t="str">
        <f t="shared" si="1"/>
        <v/>
      </c>
      <c r="AA54" s="272"/>
      <c r="AB54" s="272"/>
      <c r="AC54" s="272"/>
      <c r="AD54" s="268"/>
      <c r="AE54" s="273"/>
      <c r="AF54" s="274"/>
      <c r="AG54" s="272"/>
      <c r="AH54" s="268"/>
      <c r="AI54" s="268"/>
      <c r="AJ54" s="269"/>
      <c r="AK54" s="270"/>
      <c r="AL54" s="268"/>
      <c r="AM54" s="268"/>
      <c r="AN54" s="272"/>
      <c r="AO54" s="272"/>
      <c r="AP54" s="518" t="str">
        <f t="shared" si="2"/>
        <v/>
      </c>
      <c r="AQ54" s="247"/>
      <c r="AR54" s="249"/>
      <c r="AS54" s="249"/>
      <c r="AT54" s="249"/>
      <c r="AU54" s="247"/>
      <c r="AV54" s="519" t="str">
        <f t="shared" si="3"/>
        <v/>
      </c>
      <c r="AW54" s="271"/>
      <c r="AX54" s="271"/>
      <c r="AY54" s="497">
        <f t="shared" si="4"/>
        <v>0</v>
      </c>
      <c r="AZ54" s="498" t="b">
        <f t="shared" si="5"/>
        <v>0</v>
      </c>
      <c r="BA54" s="401"/>
    </row>
    <row r="55" spans="1:53" x14ac:dyDescent="0.25">
      <c r="A55" s="72"/>
      <c r="B55" s="132">
        <v>37</v>
      </c>
      <c r="C55" s="687">
        <f>'C. FILIACION'!C50</f>
        <v>0</v>
      </c>
      <c r="D55" s="688"/>
      <c r="E55" s="252"/>
      <c r="F55" s="249"/>
      <c r="G55" s="249"/>
      <c r="H55" s="249"/>
      <c r="I55" s="247"/>
      <c r="J55" s="516" t="str">
        <f t="shared" si="0"/>
        <v/>
      </c>
      <c r="K55" s="272"/>
      <c r="L55" s="272"/>
      <c r="M55" s="272"/>
      <c r="N55" s="272"/>
      <c r="O55" s="273"/>
      <c r="P55" s="274"/>
      <c r="Q55" s="272"/>
      <c r="R55" s="268"/>
      <c r="S55" s="272"/>
      <c r="T55" s="273"/>
      <c r="U55" s="274"/>
      <c r="V55" s="268"/>
      <c r="W55" s="268"/>
      <c r="X55" s="272"/>
      <c r="Y55" s="272"/>
      <c r="Z55" s="517" t="str">
        <f t="shared" si="1"/>
        <v/>
      </c>
      <c r="AA55" s="272"/>
      <c r="AB55" s="272"/>
      <c r="AC55" s="272"/>
      <c r="AD55" s="268"/>
      <c r="AE55" s="273"/>
      <c r="AF55" s="274"/>
      <c r="AG55" s="272"/>
      <c r="AH55" s="268"/>
      <c r="AI55" s="268"/>
      <c r="AJ55" s="269"/>
      <c r="AK55" s="270"/>
      <c r="AL55" s="268"/>
      <c r="AM55" s="268"/>
      <c r="AN55" s="272"/>
      <c r="AO55" s="272"/>
      <c r="AP55" s="518" t="str">
        <f t="shared" si="2"/>
        <v/>
      </c>
      <c r="AQ55" s="247"/>
      <c r="AR55" s="249"/>
      <c r="AS55" s="249"/>
      <c r="AT55" s="249"/>
      <c r="AU55" s="247"/>
      <c r="AV55" s="519" t="str">
        <f t="shared" si="3"/>
        <v/>
      </c>
      <c r="AW55" s="271"/>
      <c r="AX55" s="271"/>
      <c r="AY55" s="497">
        <f t="shared" si="4"/>
        <v>0</v>
      </c>
      <c r="AZ55" s="498" t="b">
        <f t="shared" si="5"/>
        <v>0</v>
      </c>
      <c r="BA55" s="401"/>
    </row>
    <row r="56" spans="1:53" x14ac:dyDescent="0.25">
      <c r="A56" s="72"/>
      <c r="B56" s="132">
        <v>38</v>
      </c>
      <c r="C56" s="687">
        <f>'C. FILIACION'!C51</f>
        <v>0</v>
      </c>
      <c r="D56" s="688"/>
      <c r="E56" s="252"/>
      <c r="F56" s="249"/>
      <c r="G56" s="249"/>
      <c r="H56" s="249"/>
      <c r="I56" s="247"/>
      <c r="J56" s="516" t="str">
        <f t="shared" si="0"/>
        <v/>
      </c>
      <c r="K56" s="272"/>
      <c r="L56" s="272"/>
      <c r="M56" s="272"/>
      <c r="N56" s="272"/>
      <c r="O56" s="273"/>
      <c r="P56" s="274"/>
      <c r="Q56" s="272"/>
      <c r="R56" s="268"/>
      <c r="S56" s="272"/>
      <c r="T56" s="273"/>
      <c r="U56" s="274"/>
      <c r="V56" s="268"/>
      <c r="W56" s="268"/>
      <c r="X56" s="272"/>
      <c r="Y56" s="272"/>
      <c r="Z56" s="517" t="str">
        <f t="shared" si="1"/>
        <v/>
      </c>
      <c r="AA56" s="272"/>
      <c r="AB56" s="272"/>
      <c r="AC56" s="272"/>
      <c r="AD56" s="268"/>
      <c r="AE56" s="273"/>
      <c r="AF56" s="274"/>
      <c r="AG56" s="272"/>
      <c r="AH56" s="268"/>
      <c r="AI56" s="268"/>
      <c r="AJ56" s="269"/>
      <c r="AK56" s="270"/>
      <c r="AL56" s="268"/>
      <c r="AM56" s="268"/>
      <c r="AN56" s="272"/>
      <c r="AO56" s="272"/>
      <c r="AP56" s="518" t="str">
        <f t="shared" si="2"/>
        <v/>
      </c>
      <c r="AQ56" s="247"/>
      <c r="AR56" s="249"/>
      <c r="AS56" s="249"/>
      <c r="AT56" s="249"/>
      <c r="AU56" s="247"/>
      <c r="AV56" s="519" t="str">
        <f t="shared" si="3"/>
        <v/>
      </c>
      <c r="AW56" s="271"/>
      <c r="AX56" s="271"/>
      <c r="AY56" s="497">
        <f t="shared" si="4"/>
        <v>0</v>
      </c>
      <c r="AZ56" s="498" t="b">
        <f t="shared" si="5"/>
        <v>0</v>
      </c>
      <c r="BA56" s="401"/>
    </row>
    <row r="57" spans="1:53" x14ac:dyDescent="0.25">
      <c r="A57" s="72"/>
      <c r="B57" s="132">
        <v>39</v>
      </c>
      <c r="C57" s="687">
        <f>'C. FILIACION'!C52</f>
        <v>0</v>
      </c>
      <c r="D57" s="688"/>
      <c r="E57" s="252"/>
      <c r="F57" s="249"/>
      <c r="G57" s="249"/>
      <c r="H57" s="249"/>
      <c r="I57" s="247"/>
      <c r="J57" s="516" t="str">
        <f t="shared" si="0"/>
        <v/>
      </c>
      <c r="K57" s="272"/>
      <c r="L57" s="272"/>
      <c r="M57" s="272"/>
      <c r="N57" s="272"/>
      <c r="O57" s="273"/>
      <c r="P57" s="274"/>
      <c r="Q57" s="272"/>
      <c r="R57" s="268"/>
      <c r="S57" s="272"/>
      <c r="T57" s="273"/>
      <c r="U57" s="274"/>
      <c r="V57" s="268"/>
      <c r="W57" s="268"/>
      <c r="X57" s="272"/>
      <c r="Y57" s="272"/>
      <c r="Z57" s="517" t="str">
        <f t="shared" si="1"/>
        <v/>
      </c>
      <c r="AA57" s="272"/>
      <c r="AB57" s="272"/>
      <c r="AC57" s="272"/>
      <c r="AD57" s="268"/>
      <c r="AE57" s="273"/>
      <c r="AF57" s="274"/>
      <c r="AG57" s="272"/>
      <c r="AH57" s="268"/>
      <c r="AI57" s="268"/>
      <c r="AJ57" s="269"/>
      <c r="AK57" s="270"/>
      <c r="AL57" s="268"/>
      <c r="AM57" s="268"/>
      <c r="AN57" s="272"/>
      <c r="AO57" s="272"/>
      <c r="AP57" s="518" t="str">
        <f t="shared" si="2"/>
        <v/>
      </c>
      <c r="AQ57" s="247"/>
      <c r="AR57" s="249"/>
      <c r="AS57" s="249"/>
      <c r="AT57" s="249"/>
      <c r="AU57" s="247"/>
      <c r="AV57" s="519" t="str">
        <f t="shared" si="3"/>
        <v/>
      </c>
      <c r="AW57" s="271"/>
      <c r="AX57" s="271"/>
      <c r="AY57" s="497">
        <f t="shared" si="4"/>
        <v>0</v>
      </c>
      <c r="AZ57" s="498" t="b">
        <f t="shared" si="5"/>
        <v>0</v>
      </c>
      <c r="BA57" s="401"/>
    </row>
    <row r="58" spans="1:53" x14ac:dyDescent="0.25">
      <c r="A58" s="72"/>
      <c r="B58" s="132">
        <v>40</v>
      </c>
      <c r="C58" s="687">
        <f>'C. FILIACION'!C53</f>
        <v>0</v>
      </c>
      <c r="D58" s="688"/>
      <c r="E58" s="252"/>
      <c r="F58" s="249"/>
      <c r="G58" s="249"/>
      <c r="H58" s="249"/>
      <c r="I58" s="247"/>
      <c r="J58" s="516" t="str">
        <f t="shared" si="0"/>
        <v/>
      </c>
      <c r="K58" s="272"/>
      <c r="L58" s="272"/>
      <c r="M58" s="272"/>
      <c r="N58" s="272"/>
      <c r="O58" s="273"/>
      <c r="P58" s="274"/>
      <c r="Q58" s="272"/>
      <c r="R58" s="268"/>
      <c r="S58" s="272"/>
      <c r="T58" s="273"/>
      <c r="U58" s="274"/>
      <c r="V58" s="268"/>
      <c r="W58" s="268"/>
      <c r="X58" s="272"/>
      <c r="Y58" s="272"/>
      <c r="Z58" s="517" t="str">
        <f t="shared" si="1"/>
        <v/>
      </c>
      <c r="AA58" s="272"/>
      <c r="AB58" s="272"/>
      <c r="AC58" s="272"/>
      <c r="AD58" s="268"/>
      <c r="AE58" s="273"/>
      <c r="AF58" s="274"/>
      <c r="AG58" s="272"/>
      <c r="AH58" s="268"/>
      <c r="AI58" s="268"/>
      <c r="AJ58" s="269"/>
      <c r="AK58" s="270"/>
      <c r="AL58" s="268"/>
      <c r="AM58" s="268"/>
      <c r="AN58" s="272"/>
      <c r="AO58" s="272"/>
      <c r="AP58" s="518" t="str">
        <f t="shared" si="2"/>
        <v/>
      </c>
      <c r="AQ58" s="247"/>
      <c r="AR58" s="249"/>
      <c r="AS58" s="249"/>
      <c r="AT58" s="249"/>
      <c r="AU58" s="247"/>
      <c r="AV58" s="519" t="str">
        <f t="shared" si="3"/>
        <v/>
      </c>
      <c r="AW58" s="271"/>
      <c r="AX58" s="271"/>
      <c r="AY58" s="497">
        <f t="shared" si="4"/>
        <v>0</v>
      </c>
      <c r="AZ58" s="498" t="b">
        <f t="shared" si="5"/>
        <v>0</v>
      </c>
      <c r="BA58" s="401"/>
    </row>
    <row r="59" spans="1:53" x14ac:dyDescent="0.25">
      <c r="A59" s="72"/>
      <c r="B59" s="132">
        <v>41</v>
      </c>
      <c r="C59" s="687">
        <f>'C. FILIACION'!C54</f>
        <v>0</v>
      </c>
      <c r="D59" s="688"/>
      <c r="E59" s="252"/>
      <c r="F59" s="249"/>
      <c r="G59" s="249"/>
      <c r="H59" s="249"/>
      <c r="I59" s="247"/>
      <c r="J59" s="516" t="str">
        <f t="shared" si="0"/>
        <v/>
      </c>
      <c r="K59" s="272"/>
      <c r="L59" s="272"/>
      <c r="M59" s="272"/>
      <c r="N59" s="272"/>
      <c r="O59" s="273"/>
      <c r="P59" s="274"/>
      <c r="Q59" s="272"/>
      <c r="R59" s="268"/>
      <c r="S59" s="272"/>
      <c r="T59" s="273"/>
      <c r="U59" s="274"/>
      <c r="V59" s="268"/>
      <c r="W59" s="268"/>
      <c r="X59" s="272"/>
      <c r="Y59" s="272"/>
      <c r="Z59" s="517" t="str">
        <f t="shared" si="1"/>
        <v/>
      </c>
      <c r="AA59" s="272"/>
      <c r="AB59" s="272"/>
      <c r="AC59" s="272"/>
      <c r="AD59" s="268"/>
      <c r="AE59" s="273"/>
      <c r="AF59" s="274"/>
      <c r="AG59" s="272"/>
      <c r="AH59" s="268"/>
      <c r="AI59" s="268"/>
      <c r="AJ59" s="269"/>
      <c r="AK59" s="270"/>
      <c r="AL59" s="268"/>
      <c r="AM59" s="268"/>
      <c r="AN59" s="272"/>
      <c r="AO59" s="272"/>
      <c r="AP59" s="518" t="str">
        <f t="shared" si="2"/>
        <v/>
      </c>
      <c r="AQ59" s="247"/>
      <c r="AR59" s="249"/>
      <c r="AS59" s="249"/>
      <c r="AT59" s="249"/>
      <c r="AU59" s="247"/>
      <c r="AV59" s="519" t="str">
        <f t="shared" si="3"/>
        <v/>
      </c>
      <c r="AW59" s="271"/>
      <c r="AX59" s="271"/>
      <c r="AY59" s="497">
        <f t="shared" si="4"/>
        <v>0</v>
      </c>
      <c r="AZ59" s="498" t="b">
        <f t="shared" si="5"/>
        <v>0</v>
      </c>
      <c r="BA59" s="401"/>
    </row>
    <row r="60" spans="1:53" x14ac:dyDescent="0.25">
      <c r="A60" s="72"/>
      <c r="B60" s="132">
        <v>42</v>
      </c>
      <c r="C60" s="687">
        <f>'C. FILIACION'!C55</f>
        <v>0</v>
      </c>
      <c r="D60" s="688"/>
      <c r="E60" s="252"/>
      <c r="F60" s="249"/>
      <c r="G60" s="249"/>
      <c r="H60" s="249"/>
      <c r="I60" s="247"/>
      <c r="J60" s="516" t="str">
        <f t="shared" si="0"/>
        <v/>
      </c>
      <c r="K60" s="272"/>
      <c r="L60" s="272"/>
      <c r="M60" s="272"/>
      <c r="N60" s="272"/>
      <c r="O60" s="273"/>
      <c r="P60" s="274"/>
      <c r="Q60" s="272"/>
      <c r="R60" s="268"/>
      <c r="S60" s="272"/>
      <c r="T60" s="273"/>
      <c r="U60" s="274"/>
      <c r="V60" s="268"/>
      <c r="W60" s="268"/>
      <c r="X60" s="272"/>
      <c r="Y60" s="272"/>
      <c r="Z60" s="517" t="str">
        <f t="shared" si="1"/>
        <v/>
      </c>
      <c r="AA60" s="272"/>
      <c r="AB60" s="272"/>
      <c r="AC60" s="272"/>
      <c r="AD60" s="268"/>
      <c r="AE60" s="273"/>
      <c r="AF60" s="274"/>
      <c r="AG60" s="272"/>
      <c r="AH60" s="268"/>
      <c r="AI60" s="268"/>
      <c r="AJ60" s="269"/>
      <c r="AK60" s="270"/>
      <c r="AL60" s="268"/>
      <c r="AM60" s="268"/>
      <c r="AN60" s="272"/>
      <c r="AO60" s="272"/>
      <c r="AP60" s="518" t="str">
        <f t="shared" si="2"/>
        <v/>
      </c>
      <c r="AQ60" s="247"/>
      <c r="AR60" s="249"/>
      <c r="AS60" s="249"/>
      <c r="AT60" s="249"/>
      <c r="AU60" s="247"/>
      <c r="AV60" s="519" t="str">
        <f t="shared" si="3"/>
        <v/>
      </c>
      <c r="AW60" s="271"/>
      <c r="AX60" s="271"/>
      <c r="AY60" s="497">
        <f t="shared" si="4"/>
        <v>0</v>
      </c>
      <c r="AZ60" s="498" t="b">
        <f t="shared" si="5"/>
        <v>0</v>
      </c>
      <c r="BA60" s="401"/>
    </row>
    <row r="61" spans="1:53" x14ac:dyDescent="0.25">
      <c r="A61" s="72"/>
      <c r="B61" s="132">
        <v>43</v>
      </c>
      <c r="C61" s="687">
        <f>'C. FILIACION'!C56</f>
        <v>0</v>
      </c>
      <c r="D61" s="688"/>
      <c r="E61" s="252"/>
      <c r="F61" s="249"/>
      <c r="G61" s="249"/>
      <c r="H61" s="249"/>
      <c r="I61" s="247"/>
      <c r="J61" s="516" t="str">
        <f t="shared" si="0"/>
        <v/>
      </c>
      <c r="K61" s="272"/>
      <c r="L61" s="272"/>
      <c r="M61" s="272"/>
      <c r="N61" s="272"/>
      <c r="O61" s="273"/>
      <c r="P61" s="274"/>
      <c r="Q61" s="272"/>
      <c r="R61" s="268"/>
      <c r="S61" s="272"/>
      <c r="T61" s="273"/>
      <c r="U61" s="274"/>
      <c r="V61" s="268"/>
      <c r="W61" s="268"/>
      <c r="X61" s="272"/>
      <c r="Y61" s="272"/>
      <c r="Z61" s="517" t="str">
        <f t="shared" si="1"/>
        <v/>
      </c>
      <c r="AA61" s="272"/>
      <c r="AB61" s="272"/>
      <c r="AC61" s="272"/>
      <c r="AD61" s="268"/>
      <c r="AE61" s="273"/>
      <c r="AF61" s="274"/>
      <c r="AG61" s="272"/>
      <c r="AH61" s="268"/>
      <c r="AI61" s="268"/>
      <c r="AJ61" s="269"/>
      <c r="AK61" s="270"/>
      <c r="AL61" s="268"/>
      <c r="AM61" s="268"/>
      <c r="AN61" s="272"/>
      <c r="AO61" s="272"/>
      <c r="AP61" s="518" t="str">
        <f t="shared" si="2"/>
        <v/>
      </c>
      <c r="AQ61" s="247"/>
      <c r="AR61" s="249"/>
      <c r="AS61" s="249"/>
      <c r="AT61" s="249"/>
      <c r="AU61" s="247"/>
      <c r="AV61" s="519" t="str">
        <f t="shared" si="3"/>
        <v/>
      </c>
      <c r="AW61" s="271"/>
      <c r="AX61" s="271"/>
      <c r="AY61" s="497">
        <f t="shared" si="4"/>
        <v>0</v>
      </c>
      <c r="AZ61" s="498" t="b">
        <f t="shared" si="5"/>
        <v>0</v>
      </c>
      <c r="BA61" s="401"/>
    </row>
    <row r="62" spans="1:53" x14ac:dyDescent="0.25">
      <c r="A62" s="72"/>
      <c r="B62" s="132">
        <v>44</v>
      </c>
      <c r="C62" s="687">
        <f>'C. FILIACION'!C57</f>
        <v>0</v>
      </c>
      <c r="D62" s="688"/>
      <c r="E62" s="252"/>
      <c r="F62" s="249"/>
      <c r="G62" s="249"/>
      <c r="H62" s="249"/>
      <c r="I62" s="247"/>
      <c r="J62" s="516" t="str">
        <f t="shared" si="0"/>
        <v/>
      </c>
      <c r="K62" s="272"/>
      <c r="L62" s="272"/>
      <c r="M62" s="272"/>
      <c r="N62" s="272"/>
      <c r="O62" s="273"/>
      <c r="P62" s="274"/>
      <c r="Q62" s="272"/>
      <c r="R62" s="268"/>
      <c r="S62" s="272"/>
      <c r="T62" s="273"/>
      <c r="U62" s="274"/>
      <c r="V62" s="268"/>
      <c r="W62" s="268"/>
      <c r="X62" s="272"/>
      <c r="Y62" s="272"/>
      <c r="Z62" s="517" t="str">
        <f t="shared" si="1"/>
        <v/>
      </c>
      <c r="AA62" s="272"/>
      <c r="AB62" s="272"/>
      <c r="AC62" s="272"/>
      <c r="AD62" s="268"/>
      <c r="AE62" s="273"/>
      <c r="AF62" s="274"/>
      <c r="AG62" s="272"/>
      <c r="AH62" s="268"/>
      <c r="AI62" s="268"/>
      <c r="AJ62" s="269"/>
      <c r="AK62" s="270"/>
      <c r="AL62" s="268"/>
      <c r="AM62" s="268"/>
      <c r="AN62" s="272"/>
      <c r="AO62" s="272"/>
      <c r="AP62" s="518" t="str">
        <f t="shared" si="2"/>
        <v/>
      </c>
      <c r="AQ62" s="247"/>
      <c r="AR62" s="249"/>
      <c r="AS62" s="249"/>
      <c r="AT62" s="249"/>
      <c r="AU62" s="247"/>
      <c r="AV62" s="519" t="str">
        <f t="shared" si="3"/>
        <v/>
      </c>
      <c r="AW62" s="271"/>
      <c r="AX62" s="271"/>
      <c r="AY62" s="497">
        <f t="shared" si="4"/>
        <v>0</v>
      </c>
      <c r="AZ62" s="498" t="b">
        <f t="shared" si="5"/>
        <v>0</v>
      </c>
      <c r="BA62" s="401"/>
    </row>
    <row r="63" spans="1:53" x14ac:dyDescent="0.25">
      <c r="A63" s="72"/>
      <c r="B63" s="132">
        <v>45</v>
      </c>
      <c r="C63" s="687">
        <f>'C. FILIACION'!C58</f>
        <v>0</v>
      </c>
      <c r="D63" s="688"/>
      <c r="E63" s="252"/>
      <c r="F63" s="249"/>
      <c r="G63" s="249"/>
      <c r="H63" s="249"/>
      <c r="I63" s="247"/>
      <c r="J63" s="516" t="str">
        <f t="shared" si="0"/>
        <v/>
      </c>
      <c r="K63" s="272"/>
      <c r="L63" s="272"/>
      <c r="M63" s="272"/>
      <c r="N63" s="272"/>
      <c r="O63" s="273"/>
      <c r="P63" s="274"/>
      <c r="Q63" s="272"/>
      <c r="R63" s="268"/>
      <c r="S63" s="272"/>
      <c r="T63" s="273"/>
      <c r="U63" s="274"/>
      <c r="V63" s="268"/>
      <c r="W63" s="268"/>
      <c r="X63" s="272"/>
      <c r="Y63" s="272"/>
      <c r="Z63" s="517" t="str">
        <f t="shared" si="1"/>
        <v/>
      </c>
      <c r="AA63" s="272"/>
      <c r="AB63" s="272"/>
      <c r="AC63" s="272"/>
      <c r="AD63" s="268"/>
      <c r="AE63" s="273"/>
      <c r="AF63" s="274"/>
      <c r="AG63" s="272"/>
      <c r="AH63" s="268"/>
      <c r="AI63" s="268"/>
      <c r="AJ63" s="269"/>
      <c r="AK63" s="270"/>
      <c r="AL63" s="268"/>
      <c r="AM63" s="268"/>
      <c r="AN63" s="272"/>
      <c r="AO63" s="272"/>
      <c r="AP63" s="518" t="str">
        <f t="shared" si="2"/>
        <v/>
      </c>
      <c r="AQ63" s="247"/>
      <c r="AR63" s="249"/>
      <c r="AS63" s="249"/>
      <c r="AT63" s="249"/>
      <c r="AU63" s="247"/>
      <c r="AV63" s="519" t="str">
        <f t="shared" si="3"/>
        <v/>
      </c>
      <c r="AW63" s="271"/>
      <c r="AX63" s="271"/>
      <c r="AY63" s="497">
        <f t="shared" si="4"/>
        <v>0</v>
      </c>
      <c r="AZ63" s="498" t="b">
        <f t="shared" si="5"/>
        <v>0</v>
      </c>
      <c r="BA63" s="401"/>
    </row>
    <row r="64" spans="1:53" ht="9" customHeight="1" x14ac:dyDescent="0.25">
      <c r="A64" s="72"/>
      <c r="B64" s="129"/>
      <c r="C64" s="129"/>
      <c r="D64" s="129"/>
      <c r="E64" s="70"/>
      <c r="F64" s="70"/>
      <c r="G64" s="70"/>
      <c r="H64" s="70"/>
      <c r="I64" s="70"/>
      <c r="J64" s="70"/>
      <c r="K64" s="70"/>
      <c r="L64" s="70"/>
      <c r="M64" s="70"/>
      <c r="N64" s="70"/>
      <c r="O64" s="70"/>
      <c r="P64" s="70"/>
      <c r="Q64" s="70"/>
      <c r="R64" s="70"/>
      <c r="S64" s="70"/>
      <c r="T64" s="70"/>
      <c r="U64" s="70"/>
      <c r="V64" s="70"/>
      <c r="W64" s="70"/>
      <c r="X64" s="70"/>
      <c r="Y64" s="70"/>
      <c r="Z64" s="129"/>
      <c r="AA64" s="70"/>
      <c r="AB64" s="70"/>
      <c r="AC64" s="70"/>
      <c r="AD64" s="70"/>
      <c r="AE64" s="70"/>
      <c r="AF64" s="70"/>
      <c r="AG64" s="70"/>
      <c r="AH64" s="70"/>
      <c r="AI64" s="70"/>
      <c r="AJ64" s="70"/>
      <c r="AK64" s="70"/>
      <c r="AL64" s="70"/>
      <c r="AM64" s="70"/>
      <c r="AN64" s="70"/>
      <c r="AO64" s="70"/>
      <c r="AP64" s="129"/>
      <c r="AQ64" s="70"/>
      <c r="AR64" s="70"/>
      <c r="AS64" s="70"/>
      <c r="AT64" s="70"/>
      <c r="AU64" s="70"/>
      <c r="AV64" s="70"/>
      <c r="AW64" s="70"/>
      <c r="AX64" s="70"/>
      <c r="AY64" s="129"/>
      <c r="AZ64" s="129"/>
    </row>
    <row r="65" spans="1:52" x14ac:dyDescent="0.25">
      <c r="A65" s="72"/>
      <c r="B65" s="129"/>
      <c r="C65" s="129"/>
      <c r="D65" s="129"/>
      <c r="E65" s="70"/>
      <c r="F65" s="70"/>
      <c r="G65" s="70"/>
      <c r="H65" s="70"/>
      <c r="I65" s="70"/>
      <c r="J65" s="70"/>
      <c r="K65" s="70"/>
      <c r="L65" s="70"/>
      <c r="M65" s="70"/>
      <c r="N65" s="70"/>
      <c r="O65" s="70"/>
      <c r="P65" s="70"/>
      <c r="Q65" s="70"/>
      <c r="R65" s="70"/>
      <c r="S65" s="70"/>
      <c r="T65" s="70"/>
      <c r="U65" s="70"/>
      <c r="V65" s="70"/>
      <c r="W65" s="70"/>
      <c r="X65" s="70"/>
      <c r="Y65" s="70"/>
      <c r="Z65" s="70"/>
      <c r="AA65" s="70"/>
      <c r="AB65" s="70"/>
      <c r="AC65" s="70"/>
      <c r="AD65" s="70"/>
      <c r="AE65" s="70"/>
      <c r="AF65" s="70"/>
      <c r="AG65" s="70"/>
      <c r="AH65" s="70"/>
      <c r="AI65" s="70"/>
      <c r="AJ65" s="70"/>
      <c r="AK65" s="70"/>
      <c r="AL65" s="70"/>
      <c r="AM65" s="70"/>
      <c r="AN65" s="70"/>
      <c r="AO65" s="70"/>
      <c r="AP65" s="70"/>
      <c r="AQ65" s="70"/>
      <c r="AR65" s="70"/>
      <c r="AS65" s="70"/>
      <c r="AT65" s="70"/>
      <c r="AU65" s="70"/>
      <c r="AV65" s="112"/>
      <c r="AW65" s="684"/>
      <c r="AX65" s="684"/>
      <c r="AY65" s="130"/>
      <c r="AZ65" s="129"/>
    </row>
    <row r="66" spans="1:52" x14ac:dyDescent="0.25">
      <c r="A66" s="72"/>
      <c r="B66" s="129"/>
      <c r="C66" s="129"/>
      <c r="D66" s="129"/>
      <c r="E66" s="70"/>
      <c r="F66" s="70"/>
      <c r="G66" s="70"/>
      <c r="H66" s="70"/>
      <c r="I66" s="70"/>
      <c r="J66" s="70"/>
      <c r="K66" s="70"/>
      <c r="L66" s="70"/>
      <c r="M66" s="70"/>
      <c r="N66" s="70"/>
      <c r="O66" s="70"/>
      <c r="P66" s="70"/>
      <c r="Q66" s="70"/>
      <c r="R66" s="70"/>
      <c r="S66" s="70"/>
      <c r="T66" s="70"/>
      <c r="U66" s="70"/>
      <c r="V66" s="70"/>
      <c r="W66" s="70"/>
      <c r="X66" s="70"/>
      <c r="Y66" s="70"/>
      <c r="Z66" s="70"/>
      <c r="AA66" s="70"/>
      <c r="AB66" s="70"/>
      <c r="AC66" s="70"/>
      <c r="AD66" s="70"/>
      <c r="AE66" s="70"/>
      <c r="AF66" s="70"/>
      <c r="AG66" s="70"/>
      <c r="AH66" s="70"/>
      <c r="AI66" s="70"/>
      <c r="AJ66" s="70"/>
      <c r="AK66" s="70"/>
      <c r="AL66" s="70"/>
      <c r="AM66" s="70"/>
      <c r="AN66" s="70"/>
      <c r="AO66" s="70"/>
      <c r="AP66" s="70"/>
      <c r="AQ66" s="70"/>
      <c r="AR66" s="70"/>
      <c r="AS66" s="70"/>
      <c r="AT66" s="70"/>
      <c r="AU66" s="70"/>
      <c r="AV66" s="112"/>
      <c r="AW66" s="684"/>
      <c r="AX66" s="684"/>
      <c r="AY66" s="130"/>
      <c r="AZ66" s="129"/>
    </row>
    <row r="67" spans="1:52" ht="15.75" thickBot="1" x14ac:dyDescent="0.3">
      <c r="A67" s="72"/>
      <c r="B67" s="129"/>
      <c r="C67" s="129"/>
      <c r="D67" s="129"/>
      <c r="E67" s="70"/>
      <c r="F67" s="70"/>
      <c r="G67" s="70"/>
      <c r="H67" s="70"/>
      <c r="I67" s="717"/>
      <c r="J67" s="717"/>
      <c r="K67" s="717"/>
      <c r="L67" s="717"/>
      <c r="M67" s="717"/>
      <c r="N67" s="717"/>
      <c r="O67" s="717"/>
      <c r="P67" s="717"/>
      <c r="Q67" s="717"/>
      <c r="R67" s="717"/>
      <c r="S67" s="717"/>
      <c r="T67" s="717"/>
      <c r="U67" s="70"/>
      <c r="V67" s="70"/>
      <c r="W67" s="70"/>
      <c r="X67" s="70"/>
      <c r="Y67" s="70"/>
      <c r="Z67" s="70"/>
      <c r="AA67" s="70"/>
      <c r="AB67" s="70"/>
      <c r="AC67" s="70"/>
      <c r="AD67" s="70"/>
      <c r="AE67" s="717"/>
      <c r="AF67" s="717"/>
      <c r="AG67" s="717"/>
      <c r="AH67" s="717"/>
      <c r="AI67" s="717"/>
      <c r="AJ67" s="717"/>
      <c r="AK67" s="717"/>
      <c r="AL67" s="717"/>
      <c r="AM67" s="717"/>
      <c r="AN67" s="717"/>
      <c r="AO67" s="717"/>
      <c r="AP67" s="717"/>
      <c r="AQ67" s="717"/>
      <c r="AR67" s="70"/>
      <c r="AS67" s="70"/>
      <c r="AT67" s="70"/>
      <c r="AU67" s="70"/>
      <c r="AV67" s="70"/>
      <c r="AW67" s="70"/>
      <c r="AX67" s="70"/>
      <c r="AY67" s="129"/>
      <c r="AZ67" s="129"/>
    </row>
    <row r="68" spans="1:52" x14ac:dyDescent="0.25">
      <c r="A68" s="72"/>
      <c r="B68" s="129"/>
      <c r="C68" s="129"/>
      <c r="D68" s="129"/>
      <c r="E68" s="70"/>
      <c r="F68" s="70"/>
      <c r="G68" s="70"/>
      <c r="H68" s="70"/>
      <c r="I68" s="718">
        <f>CARATULA!G22</f>
        <v>0</v>
      </c>
      <c r="J68" s="718"/>
      <c r="K68" s="718"/>
      <c r="L68" s="718"/>
      <c r="M68" s="718"/>
      <c r="N68" s="718"/>
      <c r="O68" s="718"/>
      <c r="P68" s="718"/>
      <c r="Q68" s="718"/>
      <c r="R68" s="718"/>
      <c r="S68" s="718"/>
      <c r="T68" s="718"/>
      <c r="U68" s="70"/>
      <c r="V68" s="70"/>
      <c r="W68" s="70"/>
      <c r="X68" s="70"/>
      <c r="Y68" s="70"/>
      <c r="Z68" s="70"/>
      <c r="AA68" s="70"/>
      <c r="AB68" s="70"/>
      <c r="AC68" s="70"/>
      <c r="AD68" s="70"/>
      <c r="AE68" s="718">
        <f>CARATULA!G24</f>
        <v>0</v>
      </c>
      <c r="AF68" s="718"/>
      <c r="AG68" s="718"/>
      <c r="AH68" s="718"/>
      <c r="AI68" s="718"/>
      <c r="AJ68" s="718"/>
      <c r="AK68" s="718"/>
      <c r="AL68" s="718"/>
      <c r="AM68" s="718"/>
      <c r="AN68" s="718"/>
      <c r="AO68" s="718"/>
      <c r="AP68" s="718"/>
      <c r="AQ68" s="718"/>
      <c r="AR68" s="70"/>
      <c r="AS68" s="70"/>
      <c r="AT68" s="70"/>
      <c r="AU68" s="70"/>
      <c r="AV68" s="70"/>
      <c r="AW68" s="70"/>
      <c r="AX68" s="70"/>
      <c r="AY68" s="129"/>
      <c r="AZ68" s="129"/>
    </row>
    <row r="69" spans="1:52" x14ac:dyDescent="0.25">
      <c r="A69" s="72"/>
      <c r="B69" s="129"/>
      <c r="C69" s="129"/>
      <c r="D69" s="129"/>
      <c r="E69" s="113"/>
      <c r="F69" s="113"/>
      <c r="G69" s="113"/>
      <c r="H69" s="113"/>
      <c r="I69" s="113"/>
      <c r="J69" s="113"/>
      <c r="K69" s="113"/>
      <c r="L69" s="113"/>
      <c r="M69" s="113"/>
      <c r="N69" s="114"/>
      <c r="O69" s="114"/>
      <c r="P69" s="114"/>
      <c r="Q69" s="114"/>
      <c r="R69" s="113"/>
      <c r="S69" s="113"/>
      <c r="T69" s="113"/>
      <c r="U69" s="113"/>
      <c r="V69" s="113"/>
      <c r="W69" s="113"/>
      <c r="X69" s="113"/>
      <c r="Y69" s="113"/>
      <c r="Z69" s="113"/>
      <c r="AA69" s="70"/>
      <c r="AB69" s="70"/>
      <c r="AC69" s="70"/>
      <c r="AD69" s="70"/>
      <c r="AE69" s="70"/>
      <c r="AF69" s="70"/>
      <c r="AG69" s="70"/>
      <c r="AH69" s="70"/>
      <c r="AI69" s="70"/>
      <c r="AJ69" s="70"/>
      <c r="AK69" s="70"/>
      <c r="AL69" s="70"/>
      <c r="AM69" s="70"/>
      <c r="AN69" s="70"/>
      <c r="AO69" s="70"/>
      <c r="AP69" s="70"/>
      <c r="AQ69" s="70"/>
      <c r="AR69" s="70"/>
      <c r="AS69" s="70"/>
      <c r="AT69" s="70"/>
      <c r="AU69" s="70"/>
      <c r="AV69" s="70"/>
      <c r="AW69" s="70"/>
      <c r="AX69" s="70"/>
      <c r="AY69" s="129"/>
      <c r="AZ69" s="129"/>
    </row>
    <row r="70" spans="1:52" x14ac:dyDescent="0.25">
      <c r="A70" s="72"/>
      <c r="B70" s="72"/>
      <c r="C70" s="72"/>
      <c r="D70" s="72"/>
    </row>
    <row r="71" spans="1:52" x14ac:dyDescent="0.25">
      <c r="A71" s="72"/>
      <c r="B71" s="72"/>
      <c r="C71" s="72"/>
      <c r="D71" s="72"/>
    </row>
    <row r="72" spans="1:52" x14ac:dyDescent="0.25">
      <c r="A72" s="102"/>
      <c r="B72" s="102"/>
      <c r="C72" s="102"/>
      <c r="D72" s="102"/>
      <c r="E72" s="101"/>
      <c r="F72" s="101"/>
      <c r="G72" s="101"/>
      <c r="H72" s="101"/>
      <c r="I72" s="101"/>
      <c r="J72" s="101"/>
      <c r="K72" s="101"/>
      <c r="L72" s="101"/>
      <c r="M72" s="101"/>
      <c r="N72" s="101"/>
      <c r="O72" s="101"/>
      <c r="P72" s="101"/>
      <c r="Q72" s="101"/>
      <c r="R72" s="101"/>
      <c r="S72" s="101"/>
    </row>
    <row r="73" spans="1:52" x14ac:dyDescent="0.25">
      <c r="A73" s="102"/>
      <c r="B73" s="102"/>
      <c r="C73" s="102"/>
      <c r="D73" s="102"/>
      <c r="E73" s="101"/>
      <c r="F73" s="101"/>
      <c r="G73" s="101"/>
      <c r="H73" s="101"/>
      <c r="I73" s="101"/>
      <c r="J73" s="101"/>
      <c r="K73" s="101"/>
      <c r="L73" s="101"/>
      <c r="M73" s="101"/>
      <c r="N73" s="101"/>
      <c r="O73" s="101"/>
      <c r="P73" s="101"/>
      <c r="Q73" s="101"/>
      <c r="R73" s="101"/>
      <c r="S73" s="101"/>
    </row>
    <row r="74" spans="1:52" x14ac:dyDescent="0.25">
      <c r="A74" s="102"/>
      <c r="B74" s="102"/>
      <c r="C74" s="102"/>
      <c r="D74" s="102"/>
      <c r="E74" s="101"/>
      <c r="F74" s="101"/>
      <c r="G74" s="101"/>
      <c r="H74" s="101"/>
      <c r="I74" s="101"/>
      <c r="J74" s="101"/>
      <c r="K74" s="101"/>
      <c r="L74" s="101"/>
      <c r="M74" s="101"/>
      <c r="N74" s="101"/>
      <c r="O74" s="101"/>
      <c r="P74" s="101"/>
      <c r="Q74" s="101"/>
      <c r="R74" s="101"/>
      <c r="S74" s="101"/>
    </row>
    <row r="75" spans="1:52" x14ac:dyDescent="0.25">
      <c r="A75" s="102"/>
      <c r="B75" s="102"/>
      <c r="C75" s="102"/>
      <c r="D75" s="102"/>
      <c r="E75" s="101"/>
      <c r="F75" s="101"/>
      <c r="G75" s="101"/>
      <c r="H75" s="101"/>
      <c r="I75" s="101"/>
      <c r="J75" s="101"/>
      <c r="K75" s="101"/>
      <c r="L75" s="101"/>
      <c r="M75" s="101"/>
      <c r="N75" s="101"/>
      <c r="O75" s="101"/>
      <c r="P75" s="101"/>
      <c r="Q75" s="101"/>
      <c r="R75" s="101"/>
      <c r="S75" s="101"/>
    </row>
    <row r="76" spans="1:52" x14ac:dyDescent="0.25">
      <c r="A76" s="102"/>
      <c r="B76" s="102"/>
      <c r="C76" s="102"/>
      <c r="D76" s="102"/>
      <c r="E76" s="101"/>
      <c r="F76" s="101"/>
      <c r="G76" s="101"/>
      <c r="H76" s="101"/>
      <c r="I76" s="101"/>
      <c r="J76" s="101"/>
      <c r="K76" s="101"/>
      <c r="L76" s="101"/>
      <c r="M76" s="101"/>
      <c r="N76" s="101"/>
      <c r="O76" s="101"/>
      <c r="P76" s="101"/>
      <c r="Q76" s="101"/>
      <c r="R76" s="101"/>
      <c r="S76" s="101"/>
    </row>
    <row r="77" spans="1:52" x14ac:dyDescent="0.25">
      <c r="A77" s="102"/>
      <c r="B77" s="102"/>
      <c r="C77" s="102"/>
      <c r="D77" s="102"/>
      <c r="E77" s="101"/>
      <c r="F77" s="101"/>
      <c r="G77" s="101"/>
      <c r="H77" s="101"/>
      <c r="I77" s="101"/>
      <c r="J77" s="101"/>
      <c r="K77" s="101"/>
      <c r="L77" s="101"/>
      <c r="M77" s="101"/>
      <c r="N77" s="101"/>
      <c r="O77" s="101"/>
      <c r="P77" s="101"/>
      <c r="Q77" s="101"/>
      <c r="R77" s="101"/>
      <c r="S77" s="101"/>
    </row>
    <row r="78" spans="1:52" x14ac:dyDescent="0.25">
      <c r="A78" s="102"/>
      <c r="B78" s="102"/>
      <c r="C78" s="102"/>
      <c r="D78" s="102"/>
      <c r="E78" s="101"/>
      <c r="F78" s="101"/>
      <c r="G78" s="101"/>
      <c r="H78" s="101"/>
      <c r="I78" s="101"/>
      <c r="J78" s="101"/>
      <c r="K78" s="101"/>
      <c r="L78" s="101"/>
      <c r="M78" s="101"/>
      <c r="N78" s="101"/>
      <c r="O78" s="101"/>
      <c r="P78" s="101"/>
      <c r="Q78" s="101"/>
      <c r="R78" s="101"/>
      <c r="S78" s="101"/>
    </row>
    <row r="79" spans="1:52" x14ac:dyDescent="0.25">
      <c r="A79" s="102"/>
      <c r="B79" s="102"/>
      <c r="C79" s="102"/>
      <c r="D79" s="102"/>
      <c r="E79" s="101"/>
      <c r="F79" s="101"/>
      <c r="G79" s="101"/>
      <c r="H79" s="101"/>
      <c r="I79" s="101"/>
      <c r="J79" s="101"/>
      <c r="K79" s="101"/>
      <c r="L79" s="101"/>
      <c r="M79" s="101"/>
      <c r="N79" s="101"/>
      <c r="O79" s="101"/>
      <c r="P79" s="101"/>
      <c r="Q79" s="101"/>
      <c r="R79" s="101"/>
      <c r="S79" s="101"/>
    </row>
    <row r="80" spans="1:52" x14ac:dyDescent="0.25">
      <c r="A80" s="102"/>
      <c r="B80" s="102"/>
      <c r="C80" s="102"/>
      <c r="D80" s="102"/>
      <c r="E80" s="101"/>
      <c r="F80" s="101"/>
      <c r="G80" s="101"/>
      <c r="H80" s="101"/>
      <c r="I80" s="101"/>
      <c r="J80" s="101"/>
      <c r="K80" s="101"/>
      <c r="L80" s="101"/>
      <c r="M80" s="101"/>
      <c r="N80" s="101"/>
      <c r="O80" s="101"/>
      <c r="P80" s="101"/>
      <c r="Q80" s="101"/>
      <c r="R80" s="101"/>
      <c r="S80" s="101"/>
    </row>
    <row r="81" spans="1:19" x14ac:dyDescent="0.25">
      <c r="A81" s="102"/>
      <c r="B81" s="102"/>
      <c r="C81" s="102"/>
      <c r="D81" s="102"/>
      <c r="E81" s="101"/>
      <c r="F81" s="101"/>
      <c r="G81" s="101"/>
      <c r="H81" s="101"/>
      <c r="I81" s="101"/>
      <c r="J81" s="101"/>
      <c r="K81" s="101"/>
      <c r="L81" s="101"/>
      <c r="M81" s="101"/>
      <c r="N81" s="101"/>
      <c r="O81" s="101"/>
      <c r="P81" s="101"/>
      <c r="Q81" s="101"/>
      <c r="R81" s="101"/>
      <c r="S81" s="101"/>
    </row>
    <row r="82" spans="1:19" x14ac:dyDescent="0.25">
      <c r="A82" s="102"/>
      <c r="B82" s="102"/>
      <c r="C82" s="102"/>
      <c r="D82" s="102"/>
      <c r="E82" s="101"/>
      <c r="F82" s="101"/>
      <c r="G82" s="101"/>
      <c r="H82" s="101"/>
      <c r="I82" s="101"/>
      <c r="J82" s="101"/>
      <c r="K82" s="101"/>
      <c r="L82" s="101"/>
      <c r="M82" s="101"/>
      <c r="N82" s="101"/>
      <c r="O82" s="101"/>
      <c r="P82" s="101"/>
      <c r="Q82" s="101"/>
      <c r="R82" s="101"/>
      <c r="S82" s="101"/>
    </row>
    <row r="83" spans="1:19" x14ac:dyDescent="0.25">
      <c r="A83" s="101"/>
      <c r="B83" s="101"/>
      <c r="C83" s="101"/>
      <c r="D83" s="101"/>
      <c r="E83" s="101"/>
      <c r="F83" s="101"/>
      <c r="G83" s="101"/>
      <c r="H83" s="101"/>
      <c r="I83" s="101"/>
      <c r="J83" s="101"/>
      <c r="K83" s="101"/>
      <c r="L83" s="101"/>
      <c r="M83" s="101"/>
      <c r="N83" s="101"/>
      <c r="O83" s="101"/>
      <c r="P83" s="101"/>
      <c r="Q83" s="101"/>
      <c r="R83" s="101"/>
      <c r="S83" s="101"/>
    </row>
  </sheetData>
  <sheetProtection password="D989" sheet="1" objects="1" scenarios="1"/>
  <mergeCells count="89">
    <mergeCell ref="AW65:AX65"/>
    <mergeCell ref="AW17:AW18"/>
    <mergeCell ref="AX17:AX18"/>
    <mergeCell ref="AD8:AH8"/>
    <mergeCell ref="AJ8:AP8"/>
    <mergeCell ref="AQ8:AR8"/>
    <mergeCell ref="AW66:AX66"/>
    <mergeCell ref="I67:T67"/>
    <mergeCell ref="AE67:AQ67"/>
    <mergeCell ref="I68:T68"/>
    <mergeCell ref="AE68:AQ68"/>
    <mergeCell ref="C61:D61"/>
    <mergeCell ref="C62:D62"/>
    <mergeCell ref="C53:D53"/>
    <mergeCell ref="C54:D54"/>
    <mergeCell ref="C55:D55"/>
    <mergeCell ref="C56:D56"/>
    <mergeCell ref="C57:D57"/>
    <mergeCell ref="C63:D63"/>
    <mergeCell ref="C52:D52"/>
    <mergeCell ref="C41:D41"/>
    <mergeCell ref="C42:D42"/>
    <mergeCell ref="C43:D43"/>
    <mergeCell ref="C44:D44"/>
    <mergeCell ref="C45:D45"/>
    <mergeCell ref="C46:D46"/>
    <mergeCell ref="C47:D47"/>
    <mergeCell ref="C48:D48"/>
    <mergeCell ref="C49:D49"/>
    <mergeCell ref="C50:D50"/>
    <mergeCell ref="C51:D51"/>
    <mergeCell ref="C58:D58"/>
    <mergeCell ref="C59:D59"/>
    <mergeCell ref="C60:D60"/>
    <mergeCell ref="C27:D27"/>
    <mergeCell ref="C40:D40"/>
    <mergeCell ref="C29:D29"/>
    <mergeCell ref="C30:D30"/>
    <mergeCell ref="C31:D31"/>
    <mergeCell ref="C32:D32"/>
    <mergeCell ref="C33:D33"/>
    <mergeCell ref="C34:D34"/>
    <mergeCell ref="C35:D35"/>
    <mergeCell ref="C36:D36"/>
    <mergeCell ref="C37:D37"/>
    <mergeCell ref="C38:D38"/>
    <mergeCell ref="C39:D39"/>
    <mergeCell ref="C28:D28"/>
    <mergeCell ref="C20:D20"/>
    <mergeCell ref="C21:D21"/>
    <mergeCell ref="AQ17:AU17"/>
    <mergeCell ref="AV17:AV18"/>
    <mergeCell ref="C26:D26"/>
    <mergeCell ref="C23:D23"/>
    <mergeCell ref="C24:D24"/>
    <mergeCell ref="C25:D25"/>
    <mergeCell ref="C22:D22"/>
    <mergeCell ref="C19:D19"/>
    <mergeCell ref="B14:C17"/>
    <mergeCell ref="Z17:Z18"/>
    <mergeCell ref="AF17:AJ17"/>
    <mergeCell ref="AK17:AO17"/>
    <mergeCell ref="AP17:AP18"/>
    <mergeCell ref="AZ14:AZ18"/>
    <mergeCell ref="D15:AV15"/>
    <mergeCell ref="AW15:AX15"/>
    <mergeCell ref="D16:J16"/>
    <mergeCell ref="K16:Z16"/>
    <mergeCell ref="AA16:AP16"/>
    <mergeCell ref="AQ16:AV16"/>
    <mergeCell ref="E17:I17"/>
    <mergeCell ref="J17:J18"/>
    <mergeCell ref="AY14:AY18"/>
    <mergeCell ref="AA17:AE17"/>
    <mergeCell ref="D14:AV14"/>
    <mergeCell ref="AW14:AX14"/>
    <mergeCell ref="K17:O17"/>
    <mergeCell ref="P17:T17"/>
    <mergeCell ref="U17:Y17"/>
    <mergeCell ref="B3:AZ4"/>
    <mergeCell ref="AD6:AH6"/>
    <mergeCell ref="AJ6:AP6"/>
    <mergeCell ref="AQ6:AR6"/>
    <mergeCell ref="AS6:AX12"/>
    <mergeCell ref="AY6:AZ7"/>
    <mergeCell ref="AJ7:AP7"/>
    <mergeCell ref="AQ7:AR7"/>
    <mergeCell ref="AY8:AZ12"/>
    <mergeCell ref="AD10:AH10"/>
  </mergeCells>
  <conditionalFormatting sqref="AY19:AY63">
    <cfRule type="cellIs" dxfId="47" priority="18" operator="lessThanOrEqual">
      <formula>50.499</formula>
    </cfRule>
  </conditionalFormatting>
  <conditionalFormatting sqref="E19:I63">
    <cfRule type="cellIs" dxfId="46" priority="14" operator="greaterThan">
      <formula>10</formula>
    </cfRule>
    <cfRule type="cellIs" dxfId="45" priority="16" operator="greaterThan">
      <formula>10</formula>
    </cfRule>
  </conditionalFormatting>
  <conditionalFormatting sqref="E19">
    <cfRule type="cellIs" dxfId="44" priority="15" operator="greaterThan">
      <formula>10</formula>
    </cfRule>
  </conditionalFormatting>
  <conditionalFormatting sqref="K19:Y63">
    <cfRule type="cellIs" dxfId="43" priority="12" operator="greaterThan">
      <formula>35</formula>
    </cfRule>
    <cfRule type="cellIs" dxfId="42" priority="13" operator="greaterThan">
      <formula>35</formula>
    </cfRule>
  </conditionalFormatting>
  <conditionalFormatting sqref="AA19:AO63">
    <cfRule type="cellIs" dxfId="41" priority="10" operator="greaterThan">
      <formula>35</formula>
    </cfRule>
    <cfRule type="cellIs" dxfId="40" priority="11" operator="greaterThan">
      <formula>35</formula>
    </cfRule>
  </conditionalFormatting>
  <conditionalFormatting sqref="AQ19:AU63">
    <cfRule type="cellIs" dxfId="39" priority="8" operator="greaterThan">
      <formula>10</formula>
    </cfRule>
    <cfRule type="cellIs" dxfId="38" priority="9" operator="greaterThan">
      <formula>10</formula>
    </cfRule>
  </conditionalFormatting>
  <conditionalFormatting sqref="AW19:AX63">
    <cfRule type="cellIs" dxfId="37" priority="7" operator="greaterThan">
      <formula>5</formula>
    </cfRule>
  </conditionalFormatting>
  <conditionalFormatting sqref="AZ19:AZ63">
    <cfRule type="containsText" dxfId="36" priority="1" operator="containsText" text="FALSO">
      <formula>NOT(ISERROR(SEARCH("FALSO",AZ19)))</formula>
    </cfRule>
    <cfRule type="cellIs" dxfId="35" priority="3" operator="lessThan">
      <formula>51</formula>
    </cfRule>
  </conditionalFormatting>
  <conditionalFormatting sqref="AZ19:AZ63">
    <cfRule type="containsText" dxfId="34" priority="2" operator="containsText" text="REPROBADO">
      <formula>NOT(ISERROR(SEARCH("REPROBADO",AZ19)))</formula>
    </cfRule>
  </conditionalFormatting>
  <dataValidations count="3">
    <dataValidation type="whole" allowBlank="1" showInputMessage="1" showErrorMessage="1" errorTitle="ERROR" error="Solo puede introducir valores entre 1 y 10 " sqref="E19:I63 AQ19:AU63">
      <formula1>1</formula1>
      <formula2>10</formula2>
    </dataValidation>
    <dataValidation type="whole" allowBlank="1" showInputMessage="1" showErrorMessage="1" errorTitle="ERROR" error="Solo puede introducir valores entre 1 y 35_x000a_" sqref="K19:Y63 AA19:AO63">
      <formula1>1</formula1>
      <formula2>35</formula2>
    </dataValidation>
    <dataValidation type="whole" allowBlank="1" showInputMessage="1" showErrorMessage="1" errorTitle="ERROR" error="Solo puede introducir valores entre 1 y 5" sqref="AW19:AX63">
      <formula1>1</formula1>
      <formula2>5</formula2>
    </dataValidation>
  </dataValidations>
  <pageMargins left="0.25" right="0.25" top="0.75" bottom="0.75" header="0.3" footer="0.3"/>
  <pageSetup scale="54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8" id="{A22CDB6D-CFC7-41DE-95C6-3B6BE300D545}">
            <xm:f>'ASIS. 1° B'!#REF!="NO INCORPORADO"</xm:f>
            <x14:dxf>
              <font>
                <b/>
                <i val="0"/>
                <strike/>
                <color rgb="FFFF0000"/>
              </font>
            </x14:dxf>
          </x14:cfRule>
          <xm:sqref>C19:D63</xm:sqref>
        </x14:conditionalFormatting>
        <x14:conditionalFormatting xmlns:xm="http://schemas.microsoft.com/office/excel/2006/main">
          <x14:cfRule type="expression" priority="29" id="{0A773916-FC6C-459A-8AC2-2EBB9DA855A2}">
            <xm:f>'ASIS. 1° B'!#REF!="RETIRO O ABANDONO"</xm:f>
            <x14:dxf>
              <font>
                <b/>
                <i val="0"/>
                <strike/>
                <color rgb="FFFF0000"/>
              </font>
            </x14:dxf>
          </x14:cfRule>
          <xm:sqref>C19:D63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'C. FILIACION'!$B$14:$B$58</xm:f>
          </x14:formula1>
          <xm:sqref>BB10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1" filterMode="1">
    <pageSetUpPr fitToPage="1"/>
  </sheetPr>
  <dimension ref="B1:E6"/>
  <sheetViews>
    <sheetView workbookViewId="0">
      <selection activeCell="A2" sqref="A2"/>
    </sheetView>
  </sheetViews>
  <sheetFormatPr baseColWidth="10" defaultRowHeight="15" x14ac:dyDescent="0.25"/>
  <cols>
    <col min="1" max="1" width="2.7109375" customWidth="1"/>
    <col min="2" max="2" width="9.7109375" style="476" customWidth="1"/>
    <col min="3" max="3" width="32.42578125" style="476" customWidth="1"/>
    <col min="4" max="4" width="21.85546875" style="482" customWidth="1"/>
    <col min="5" max="5" width="66.42578125" style="479" customWidth="1"/>
  </cols>
  <sheetData>
    <row r="1" spans="2:5" ht="27" customHeight="1" x14ac:dyDescent="0.25">
      <c r="B1" s="707" t="s">
        <v>317</v>
      </c>
      <c r="C1" s="707"/>
      <c r="D1" s="707"/>
      <c r="E1" s="707"/>
    </row>
    <row r="3" spans="2:5" x14ac:dyDescent="0.25">
      <c r="B3" s="483" t="s">
        <v>310</v>
      </c>
      <c r="C3" s="483" t="s">
        <v>74</v>
      </c>
      <c r="D3" s="484" t="s">
        <v>308</v>
      </c>
      <c r="E3" s="485" t="s">
        <v>309</v>
      </c>
    </row>
    <row r="4" spans="2:5" x14ac:dyDescent="0.25">
      <c r="B4" s="483">
        <v>1</v>
      </c>
      <c r="C4" s="483">
        <v>0</v>
      </c>
      <c r="D4" s="484">
        <v>43495.436146527776</v>
      </c>
      <c r="E4" s="485" t="s">
        <v>379</v>
      </c>
    </row>
    <row r="5" spans="2:5" hidden="1" x14ac:dyDescent="0.25">
      <c r="B5" s="483">
        <v>4</v>
      </c>
      <c r="C5" s="483" t="s">
        <v>106</v>
      </c>
      <c r="D5" s="484">
        <v>43494.476017476853</v>
      </c>
      <c r="E5" s="485" t="s">
        <v>355</v>
      </c>
    </row>
    <row r="6" spans="2:5" x14ac:dyDescent="0.25">
      <c r="B6" s="418"/>
      <c r="C6" s="418"/>
      <c r="D6" s="481"/>
      <c r="E6" s="419"/>
    </row>
  </sheetData>
  <sheetProtection sheet="1" objects="1" scenarios="1" autoFilter="0"/>
  <autoFilter ref="B3:E5">
    <filterColumn colId="1">
      <filters>
        <filter val="A2"/>
        <filter val="A3"/>
      </filters>
    </filterColumn>
  </autoFilter>
  <mergeCells count="1">
    <mergeCell ref="B1:E1"/>
  </mergeCells>
  <pageMargins left="0.7" right="0.7" top="0.75" bottom="0.75" header="0.3" footer="0.3"/>
  <pageSetup scale="69" fitToHeight="0" orientation="portrait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3">
    <tabColor theme="3" tint="-0.499984740745262"/>
    <pageSetUpPr fitToPage="1"/>
  </sheetPr>
  <dimension ref="A1:BQ77"/>
  <sheetViews>
    <sheetView showZeros="0" zoomScaleNormal="100" workbookViewId="0">
      <pane ySplit="14" topLeftCell="A15" activePane="bottomLeft" state="frozen"/>
      <selection pane="bottomLeft" activeCell="S21" sqref="S21"/>
    </sheetView>
  </sheetViews>
  <sheetFormatPr baseColWidth="10" defaultColWidth="11.42578125" defaultRowHeight="15" x14ac:dyDescent="0.25"/>
  <cols>
    <col min="1" max="1" width="5" style="66" customWidth="1"/>
    <col min="2" max="2" width="4.140625" style="66" customWidth="1"/>
    <col min="3" max="3" width="34" style="66" customWidth="1"/>
    <col min="4" max="4" width="1" style="66" customWidth="1"/>
    <col min="5" max="58" width="2.7109375" style="66" customWidth="1"/>
    <col min="59" max="62" width="4.7109375" style="66" customWidth="1"/>
    <col min="63" max="63" width="6.28515625" style="66" customWidth="1"/>
    <col min="64" max="64" width="1.140625" style="66" customWidth="1"/>
    <col min="65" max="16384" width="11.42578125" style="66"/>
  </cols>
  <sheetData>
    <row r="1" spans="1:69" ht="15.75" thickBot="1" x14ac:dyDescent="0.3">
      <c r="A1" s="72"/>
      <c r="B1" s="72"/>
      <c r="C1" s="72"/>
      <c r="D1" s="72"/>
      <c r="E1" s="72"/>
      <c r="F1" s="72"/>
      <c r="G1" s="72"/>
      <c r="H1" s="72"/>
      <c r="I1" s="72"/>
      <c r="J1" s="72"/>
      <c r="K1" s="72"/>
      <c r="L1" s="72"/>
      <c r="M1" s="72"/>
      <c r="N1" s="72"/>
      <c r="O1" s="72"/>
      <c r="P1" s="72"/>
      <c r="Q1" s="72"/>
      <c r="R1" s="72"/>
      <c r="S1" s="72"/>
      <c r="T1" s="72"/>
      <c r="U1" s="72"/>
      <c r="V1" s="72"/>
      <c r="W1" s="72"/>
      <c r="X1" s="72"/>
      <c r="Y1" s="72"/>
      <c r="Z1" s="7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2"/>
      <c r="AT1" s="72"/>
      <c r="AU1" s="7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2"/>
      <c r="BO1" s="72"/>
      <c r="BP1" s="72"/>
      <c r="BQ1" s="72"/>
    </row>
    <row r="2" spans="1:69" x14ac:dyDescent="0.25">
      <c r="A2" s="72"/>
      <c r="B2" s="583" t="s">
        <v>195</v>
      </c>
      <c r="C2" s="584"/>
      <c r="D2" s="584"/>
      <c r="E2" s="584"/>
      <c r="F2" s="584"/>
      <c r="G2" s="584"/>
      <c r="H2" s="584"/>
      <c r="I2" s="584"/>
      <c r="J2" s="584"/>
      <c r="K2" s="584"/>
      <c r="L2" s="584"/>
      <c r="M2" s="584"/>
      <c r="N2" s="584"/>
      <c r="O2" s="584"/>
      <c r="P2" s="584"/>
      <c r="Q2" s="584"/>
      <c r="R2" s="584"/>
      <c r="S2" s="584"/>
      <c r="T2" s="584"/>
      <c r="U2" s="584"/>
      <c r="V2" s="584"/>
      <c r="W2" s="584"/>
      <c r="X2" s="584"/>
      <c r="Y2" s="584"/>
      <c r="Z2" s="584"/>
      <c r="AA2" s="584"/>
      <c r="AB2" s="584"/>
      <c r="AC2" s="584"/>
      <c r="AD2" s="584"/>
      <c r="AE2" s="584"/>
      <c r="AF2" s="584"/>
      <c r="AG2" s="584"/>
      <c r="AH2" s="584"/>
      <c r="AI2" s="584"/>
      <c r="AJ2" s="584"/>
      <c r="AK2" s="584"/>
      <c r="AL2" s="584"/>
      <c r="AM2" s="584"/>
      <c r="AN2" s="584"/>
      <c r="AO2" s="584"/>
      <c r="AP2" s="584"/>
      <c r="AQ2" s="584"/>
      <c r="AR2" s="584"/>
      <c r="AS2" s="584"/>
      <c r="AT2" s="584"/>
      <c r="AU2" s="584"/>
      <c r="AV2" s="584"/>
      <c r="AW2" s="584"/>
      <c r="AX2" s="584"/>
      <c r="AY2" s="584"/>
      <c r="AZ2" s="584"/>
      <c r="BA2" s="584"/>
      <c r="BB2" s="584"/>
      <c r="BC2" s="584"/>
      <c r="BD2" s="584"/>
      <c r="BE2" s="584"/>
      <c r="BF2" s="584"/>
      <c r="BG2" s="584"/>
      <c r="BH2" s="584"/>
      <c r="BI2" s="584"/>
      <c r="BJ2" s="584"/>
      <c r="BK2" s="585"/>
      <c r="BL2" s="72"/>
      <c r="BM2" s="72"/>
      <c r="BN2" s="72"/>
      <c r="BO2" s="72"/>
      <c r="BP2" s="72"/>
      <c r="BQ2" s="72"/>
    </row>
    <row r="3" spans="1:69" x14ac:dyDescent="0.25">
      <c r="A3" s="72"/>
      <c r="B3" s="586"/>
      <c r="C3" s="587"/>
      <c r="D3" s="587"/>
      <c r="E3" s="587"/>
      <c r="F3" s="587"/>
      <c r="G3" s="587"/>
      <c r="H3" s="587"/>
      <c r="I3" s="587"/>
      <c r="J3" s="587"/>
      <c r="K3" s="587"/>
      <c r="L3" s="587"/>
      <c r="M3" s="587"/>
      <c r="N3" s="587"/>
      <c r="O3" s="587"/>
      <c r="P3" s="587"/>
      <c r="Q3" s="587"/>
      <c r="R3" s="587"/>
      <c r="S3" s="587"/>
      <c r="T3" s="587"/>
      <c r="U3" s="587"/>
      <c r="V3" s="587"/>
      <c r="W3" s="587"/>
      <c r="X3" s="587"/>
      <c r="Y3" s="587"/>
      <c r="Z3" s="587"/>
      <c r="AA3" s="587"/>
      <c r="AB3" s="587"/>
      <c r="AC3" s="587"/>
      <c r="AD3" s="587"/>
      <c r="AE3" s="587"/>
      <c r="AF3" s="587"/>
      <c r="AG3" s="587"/>
      <c r="AH3" s="587"/>
      <c r="AI3" s="587"/>
      <c r="AJ3" s="587"/>
      <c r="AK3" s="587"/>
      <c r="AL3" s="587"/>
      <c r="AM3" s="587"/>
      <c r="AN3" s="587"/>
      <c r="AO3" s="587"/>
      <c r="AP3" s="587"/>
      <c r="AQ3" s="587"/>
      <c r="AR3" s="587"/>
      <c r="AS3" s="587"/>
      <c r="AT3" s="587"/>
      <c r="AU3" s="587"/>
      <c r="AV3" s="587"/>
      <c r="AW3" s="587"/>
      <c r="AX3" s="587"/>
      <c r="AY3" s="587"/>
      <c r="AZ3" s="587"/>
      <c r="BA3" s="587"/>
      <c r="BB3" s="587"/>
      <c r="BC3" s="587"/>
      <c r="BD3" s="587"/>
      <c r="BE3" s="587"/>
      <c r="BF3" s="587"/>
      <c r="BG3" s="587"/>
      <c r="BH3" s="587"/>
      <c r="BI3" s="587"/>
      <c r="BJ3" s="587"/>
      <c r="BK3" s="588"/>
      <c r="BL3" s="72"/>
      <c r="BM3" s="72"/>
      <c r="BN3" s="72"/>
      <c r="BO3" s="72"/>
      <c r="BP3" s="72"/>
      <c r="BQ3" s="72"/>
    </row>
    <row r="4" spans="1:69" ht="2.25" customHeight="1" x14ac:dyDescent="0.25">
      <c r="A4" s="72"/>
      <c r="B4" s="592"/>
      <c r="C4" s="593"/>
      <c r="D4" s="593"/>
      <c r="E4" s="593"/>
      <c r="F4" s="593"/>
      <c r="G4" s="593"/>
      <c r="H4" s="593"/>
      <c r="I4" s="593"/>
      <c r="J4" s="593"/>
      <c r="K4" s="593"/>
      <c r="L4" s="593"/>
      <c r="M4" s="593"/>
      <c r="N4" s="593"/>
      <c r="O4" s="593"/>
      <c r="P4" s="593"/>
      <c r="Q4" s="593"/>
      <c r="R4" s="593"/>
      <c r="S4" s="593"/>
      <c r="T4" s="593"/>
      <c r="U4" s="593"/>
      <c r="V4" s="593"/>
      <c r="W4" s="593"/>
      <c r="X4" s="593"/>
      <c r="Y4" s="593"/>
      <c r="Z4" s="593"/>
      <c r="AA4" s="593"/>
      <c r="AB4" s="593"/>
      <c r="AC4" s="593"/>
      <c r="AD4" s="593"/>
      <c r="AE4" s="593"/>
      <c r="AF4" s="593"/>
      <c r="AG4" s="593"/>
      <c r="AH4" s="593"/>
      <c r="AI4" s="593"/>
      <c r="AJ4" s="593"/>
      <c r="AK4" s="593"/>
      <c r="AL4" s="593"/>
      <c r="AM4" s="593"/>
      <c r="AN4" s="593"/>
      <c r="AO4" s="593"/>
      <c r="AP4" s="593"/>
      <c r="AQ4" s="593"/>
      <c r="AR4" s="593"/>
      <c r="AS4" s="593"/>
      <c r="AT4" s="593"/>
      <c r="AU4" s="593"/>
      <c r="AV4" s="593"/>
      <c r="AW4" s="593"/>
      <c r="AX4" s="593"/>
      <c r="AY4" s="593"/>
      <c r="AZ4" s="593"/>
      <c r="BA4" s="593"/>
      <c r="BB4" s="593"/>
      <c r="BC4" s="593"/>
      <c r="BD4" s="593"/>
      <c r="BE4" s="593"/>
      <c r="BF4" s="593"/>
      <c r="BG4" s="593"/>
      <c r="BH4" s="593"/>
      <c r="BI4" s="593"/>
      <c r="BJ4" s="593"/>
      <c r="BK4" s="594"/>
      <c r="BL4" s="72"/>
      <c r="BM4" s="72"/>
      <c r="BN4" s="72"/>
      <c r="BO4" s="72"/>
      <c r="BP4" s="72"/>
      <c r="BQ4" s="72"/>
    </row>
    <row r="5" spans="1:69" ht="15.75" x14ac:dyDescent="0.25">
      <c r="A5" s="72"/>
      <c r="B5" s="73"/>
      <c r="C5" s="74" t="s">
        <v>1</v>
      </c>
      <c r="D5" s="75" t="s">
        <v>6</v>
      </c>
      <c r="E5" s="486">
        <f>CARATULA!G20</f>
        <v>0</v>
      </c>
      <c r="F5" s="286"/>
      <c r="G5" s="286"/>
      <c r="H5" s="286"/>
      <c r="I5" s="286"/>
      <c r="J5" s="286"/>
      <c r="K5" s="286"/>
      <c r="L5" s="286"/>
      <c r="M5" s="286"/>
      <c r="N5" s="286"/>
      <c r="O5" s="286"/>
      <c r="P5" s="286"/>
      <c r="Q5" s="286"/>
      <c r="R5" s="286"/>
      <c r="S5" s="286"/>
      <c r="T5" s="286"/>
      <c r="U5" s="286"/>
      <c r="V5" s="286"/>
      <c r="W5" s="286"/>
      <c r="X5" s="286"/>
      <c r="Y5" s="286"/>
      <c r="Z5" s="286"/>
      <c r="AA5" s="286"/>
      <c r="AB5" s="286"/>
      <c r="AC5" s="286"/>
      <c r="AD5" s="286"/>
      <c r="AE5" s="286"/>
      <c r="AF5" s="286"/>
      <c r="AG5" s="286"/>
      <c r="AH5" s="286"/>
      <c r="AI5" s="286"/>
      <c r="AJ5" s="286"/>
      <c r="AK5" s="286"/>
      <c r="AL5" s="286"/>
      <c r="AM5" s="286"/>
      <c r="AN5" s="286"/>
      <c r="AO5" s="286"/>
      <c r="AP5" s="286"/>
      <c r="AQ5" s="286"/>
      <c r="AR5" s="286"/>
      <c r="AS5" s="286"/>
      <c r="AT5" s="286"/>
      <c r="AU5" s="286"/>
      <c r="AV5" s="286"/>
      <c r="AW5" s="286"/>
      <c r="AX5" s="286"/>
      <c r="AY5" s="286"/>
      <c r="AZ5" s="286"/>
      <c r="BA5" s="76"/>
      <c r="BB5" s="589" t="s">
        <v>44</v>
      </c>
      <c r="BC5" s="589"/>
      <c r="BD5" s="589"/>
      <c r="BE5" s="589"/>
      <c r="BF5" s="589"/>
      <c r="BG5" s="589"/>
      <c r="BH5" s="590">
        <f>CARATULA!P25</f>
        <v>43739</v>
      </c>
      <c r="BI5" s="591"/>
      <c r="BJ5" s="591"/>
      <c r="BK5" s="77"/>
      <c r="BL5" s="72"/>
      <c r="BM5" s="72"/>
      <c r="BN5" s="72"/>
      <c r="BO5" s="72"/>
      <c r="BP5" s="72"/>
      <c r="BQ5" s="72"/>
    </row>
    <row r="6" spans="1:69" ht="15.75" x14ac:dyDescent="0.25">
      <c r="A6" s="72"/>
      <c r="B6" s="73"/>
      <c r="C6" s="74" t="s">
        <v>2</v>
      </c>
      <c r="D6" s="75" t="s">
        <v>6</v>
      </c>
      <c r="E6" s="486">
        <f>CARATULA!G26</f>
        <v>0</v>
      </c>
      <c r="F6" s="286"/>
      <c r="G6" s="286"/>
      <c r="H6" s="286"/>
      <c r="I6" s="286"/>
      <c r="J6" s="286"/>
      <c r="K6" s="286"/>
      <c r="L6" s="286"/>
      <c r="M6" s="286"/>
      <c r="N6" s="286"/>
      <c r="O6" s="286"/>
      <c r="P6" s="286"/>
      <c r="Q6" s="286"/>
      <c r="R6" s="286"/>
      <c r="S6" s="286"/>
      <c r="T6" s="286"/>
      <c r="U6" s="286"/>
      <c r="V6" s="286"/>
      <c r="W6" s="286"/>
      <c r="X6" s="286"/>
      <c r="Y6" s="286"/>
      <c r="Z6" s="286"/>
      <c r="AA6" s="286"/>
      <c r="AB6" s="286"/>
      <c r="AC6" s="286"/>
      <c r="AD6" s="286"/>
      <c r="AE6" s="286"/>
      <c r="AF6" s="286"/>
      <c r="AG6" s="286"/>
      <c r="AH6" s="286"/>
      <c r="AI6" s="286"/>
      <c r="AJ6" s="286"/>
      <c r="AK6" s="286"/>
      <c r="AL6" s="286"/>
      <c r="AM6" s="286"/>
      <c r="AN6" s="286"/>
      <c r="AO6" s="286"/>
      <c r="AP6" s="286"/>
      <c r="AQ6" s="286"/>
      <c r="AR6" s="286"/>
      <c r="AS6" s="286"/>
      <c r="AT6" s="286"/>
      <c r="AU6" s="286"/>
      <c r="AV6" s="286"/>
      <c r="AW6" s="286"/>
      <c r="AX6" s="286"/>
      <c r="AY6" s="286"/>
      <c r="AZ6" s="286"/>
      <c r="BA6" s="76"/>
      <c r="BB6" s="78"/>
      <c r="BC6" s="78"/>
      <c r="BD6" s="78"/>
      <c r="BE6" s="78"/>
      <c r="BF6" s="78"/>
      <c r="BG6" s="78"/>
      <c r="BH6" s="78"/>
      <c r="BI6" s="78"/>
      <c r="BJ6" s="78"/>
      <c r="BK6" s="77"/>
      <c r="BL6" s="72"/>
      <c r="BM6" s="72"/>
      <c r="BN6" s="72"/>
      <c r="BO6" s="72"/>
      <c r="BP6" s="72"/>
      <c r="BQ6" s="72"/>
    </row>
    <row r="7" spans="1:69" ht="15.75" x14ac:dyDescent="0.25">
      <c r="A7" s="72"/>
      <c r="B7" s="73"/>
      <c r="C7" s="74" t="s">
        <v>99</v>
      </c>
      <c r="D7" s="75" t="s">
        <v>6</v>
      </c>
      <c r="E7" s="504" t="str">
        <f>CONCATENATE(CARATULA!G28," ",CARATULA!H28)</f>
        <v xml:space="preserve"> </v>
      </c>
      <c r="F7" s="287"/>
      <c r="G7" s="287"/>
      <c r="H7" s="287"/>
      <c r="I7" s="287"/>
      <c r="J7" s="287"/>
      <c r="K7" s="287"/>
      <c r="L7" s="287"/>
      <c r="M7" s="286"/>
      <c r="N7" s="286"/>
      <c r="O7" s="286"/>
      <c r="P7" s="286"/>
      <c r="Q7" s="286"/>
      <c r="R7" s="287"/>
      <c r="S7" s="287"/>
      <c r="T7" s="287"/>
      <c r="U7" s="286"/>
      <c r="V7" s="286"/>
      <c r="W7" s="286"/>
      <c r="X7" s="286"/>
      <c r="Y7" s="286"/>
      <c r="Z7" s="286"/>
      <c r="AA7" s="286"/>
      <c r="AB7" s="286"/>
      <c r="AC7" s="286"/>
      <c r="AD7" s="286"/>
      <c r="AE7" s="286"/>
      <c r="AF7" s="286"/>
      <c r="AG7" s="286"/>
      <c r="AH7" s="286"/>
      <c r="AI7" s="286"/>
      <c r="AJ7" s="286"/>
      <c r="AK7" s="286"/>
      <c r="AL7" s="286"/>
      <c r="AM7" s="286"/>
      <c r="AN7" s="286"/>
      <c r="AO7" s="286"/>
      <c r="AP7" s="286"/>
      <c r="AQ7" s="286"/>
      <c r="AR7" s="286"/>
      <c r="AS7" s="286"/>
      <c r="AT7" s="286"/>
      <c r="AU7" s="286"/>
      <c r="AV7" s="286"/>
      <c r="AW7" s="286"/>
      <c r="AX7" s="286"/>
      <c r="AY7" s="286"/>
      <c r="AZ7" s="286"/>
      <c r="BA7" s="76"/>
      <c r="BB7" s="589" t="s">
        <v>45</v>
      </c>
      <c r="BC7" s="589"/>
      <c r="BD7" s="589"/>
      <c r="BE7" s="589"/>
      <c r="BF7" s="589"/>
      <c r="BG7" s="589"/>
      <c r="BH7" s="590">
        <f>CARATULA!R25</f>
        <v>43799</v>
      </c>
      <c r="BI7" s="591"/>
      <c r="BJ7" s="591"/>
      <c r="BK7" s="77"/>
      <c r="BL7" s="72"/>
      <c r="BM7" s="72"/>
      <c r="BN7" s="72"/>
      <c r="BO7" s="72"/>
      <c r="BP7" s="72"/>
      <c r="BQ7" s="72"/>
    </row>
    <row r="8" spans="1:69" ht="15.75" x14ac:dyDescent="0.25">
      <c r="A8" s="72"/>
      <c r="B8" s="73"/>
      <c r="C8" s="74" t="s">
        <v>382</v>
      </c>
      <c r="D8" s="75" t="s">
        <v>6</v>
      </c>
      <c r="E8" s="486">
        <f>CARATULA!G22</f>
        <v>0</v>
      </c>
      <c r="F8" s="286"/>
      <c r="G8" s="286"/>
      <c r="H8" s="286"/>
      <c r="I8" s="286"/>
      <c r="J8" s="286"/>
      <c r="K8" s="286"/>
      <c r="L8" s="286"/>
      <c r="M8" s="286"/>
      <c r="N8" s="286"/>
      <c r="O8" s="286"/>
      <c r="P8" s="286"/>
      <c r="Q8" s="286"/>
      <c r="R8" s="286"/>
      <c r="S8" s="286"/>
      <c r="T8" s="286"/>
      <c r="U8" s="286"/>
      <c r="V8" s="286"/>
      <c r="W8" s="286"/>
      <c r="X8" s="286"/>
      <c r="Y8" s="286"/>
      <c r="Z8" s="286"/>
      <c r="AA8" s="286"/>
      <c r="AB8" s="286"/>
      <c r="AC8" s="286"/>
      <c r="AD8" s="286"/>
      <c r="AE8" s="286"/>
      <c r="AF8" s="286"/>
      <c r="AG8" s="286"/>
      <c r="AH8" s="286"/>
      <c r="AI8" s="286"/>
      <c r="AJ8" s="286"/>
      <c r="AK8" s="286"/>
      <c r="AL8" s="286"/>
      <c r="AM8" s="286"/>
      <c r="AN8" s="286"/>
      <c r="AO8" s="286"/>
      <c r="AP8" s="286"/>
      <c r="AQ8" s="286"/>
      <c r="AR8" s="286"/>
      <c r="AS8" s="286"/>
      <c r="AT8" s="286"/>
      <c r="AU8" s="286"/>
      <c r="AV8" s="286"/>
      <c r="AW8" s="286"/>
      <c r="AX8" s="286"/>
      <c r="AY8" s="286"/>
      <c r="AZ8" s="286"/>
      <c r="BA8" s="76"/>
      <c r="BB8" s="76"/>
      <c r="BC8" s="76"/>
      <c r="BD8" s="76"/>
      <c r="BE8" s="76"/>
      <c r="BF8" s="76"/>
      <c r="BG8" s="76"/>
      <c r="BH8" s="76"/>
      <c r="BI8" s="76"/>
      <c r="BJ8" s="76"/>
      <c r="BK8" s="77"/>
      <c r="BL8" s="72"/>
      <c r="BM8" s="72"/>
      <c r="BN8" s="72"/>
      <c r="BO8" s="72"/>
      <c r="BP8" s="72"/>
      <c r="BQ8" s="72"/>
    </row>
    <row r="9" spans="1:69" ht="15.75" x14ac:dyDescent="0.25">
      <c r="A9" s="72"/>
      <c r="B9" s="73"/>
      <c r="C9" s="74" t="s">
        <v>383</v>
      </c>
      <c r="D9" s="75" t="s">
        <v>6</v>
      </c>
      <c r="E9" s="486">
        <f>CARATULA!G24</f>
        <v>0</v>
      </c>
      <c r="F9" s="286"/>
      <c r="G9" s="286"/>
      <c r="H9" s="286"/>
      <c r="I9" s="286"/>
      <c r="J9" s="286"/>
      <c r="K9" s="286"/>
      <c r="L9" s="286"/>
      <c r="M9" s="286"/>
      <c r="N9" s="286"/>
      <c r="O9" s="286"/>
      <c r="P9" s="286"/>
      <c r="Q9" s="286"/>
      <c r="R9" s="286"/>
      <c r="S9" s="286"/>
      <c r="T9" s="286"/>
      <c r="U9" s="286"/>
      <c r="V9" s="286"/>
      <c r="W9" s="286"/>
      <c r="X9" s="286"/>
      <c r="Y9" s="286"/>
      <c r="Z9" s="286"/>
      <c r="AA9" s="286"/>
      <c r="AB9" s="286"/>
      <c r="AC9" s="286"/>
      <c r="AD9" s="286"/>
      <c r="AE9" s="286"/>
      <c r="AF9" s="286"/>
      <c r="AG9" s="286"/>
      <c r="AH9" s="286"/>
      <c r="AI9" s="286"/>
      <c r="AJ9" s="286"/>
      <c r="AK9" s="286"/>
      <c r="AL9" s="286"/>
      <c r="AM9" s="286"/>
      <c r="AN9" s="286"/>
      <c r="AO9" s="286"/>
      <c r="AP9" s="286"/>
      <c r="AQ9" s="286"/>
      <c r="AR9" s="286"/>
      <c r="AS9" s="286"/>
      <c r="AT9" s="286"/>
      <c r="AU9" s="286"/>
      <c r="AV9" s="286"/>
      <c r="AW9" s="286"/>
      <c r="AX9" s="286"/>
      <c r="AY9" s="286"/>
      <c r="AZ9" s="286"/>
      <c r="BA9" s="76"/>
      <c r="BB9" s="601" t="s">
        <v>200</v>
      </c>
      <c r="BC9" s="601"/>
      <c r="BD9" s="601"/>
      <c r="BE9" s="601"/>
      <c r="BF9" s="601"/>
      <c r="BG9" s="601"/>
      <c r="BH9" s="681">
        <f ca="1">TODAY()</f>
        <v>43510</v>
      </c>
      <c r="BI9" s="682"/>
      <c r="BJ9" s="682"/>
      <c r="BK9" s="77"/>
      <c r="BL9" s="72"/>
      <c r="BM9" s="72"/>
      <c r="BN9" s="72"/>
      <c r="BO9" s="72"/>
      <c r="BP9" s="72"/>
      <c r="BQ9" s="72"/>
    </row>
    <row r="10" spans="1:69" ht="15.75" x14ac:dyDescent="0.25">
      <c r="A10" s="72"/>
      <c r="B10" s="73"/>
      <c r="C10" s="74" t="s">
        <v>3</v>
      </c>
      <c r="D10" s="75" t="s">
        <v>6</v>
      </c>
      <c r="E10" s="486">
        <f>CARATULA!G30</f>
        <v>0</v>
      </c>
      <c r="F10" s="286"/>
      <c r="G10" s="286"/>
      <c r="H10" s="286"/>
      <c r="I10" s="286"/>
      <c r="J10" s="286"/>
      <c r="K10" s="286"/>
      <c r="L10" s="286"/>
      <c r="M10" s="286"/>
      <c r="N10" s="286"/>
      <c r="O10" s="286"/>
      <c r="P10" s="286"/>
      <c r="Q10" s="286"/>
      <c r="R10" s="286"/>
      <c r="S10" s="286"/>
      <c r="T10" s="286"/>
      <c r="U10" s="286"/>
      <c r="V10" s="286"/>
      <c r="W10" s="286"/>
      <c r="X10" s="286"/>
      <c r="Y10" s="286"/>
      <c r="Z10" s="286"/>
      <c r="AA10" s="286"/>
      <c r="AB10" s="286"/>
      <c r="AC10" s="286"/>
      <c r="AD10" s="286"/>
      <c r="AE10" s="286"/>
      <c r="AF10" s="286"/>
      <c r="AG10" s="286"/>
      <c r="AH10" s="286"/>
      <c r="AI10" s="286"/>
      <c r="AJ10" s="286"/>
      <c r="AK10" s="286"/>
      <c r="AL10" s="286"/>
      <c r="AM10" s="286"/>
      <c r="AN10" s="286"/>
      <c r="AO10" s="286"/>
      <c r="AP10" s="286"/>
      <c r="AQ10" s="286"/>
      <c r="AR10" s="286"/>
      <c r="AS10" s="286"/>
      <c r="AT10" s="286"/>
      <c r="AU10" s="286"/>
      <c r="AV10" s="286"/>
      <c r="AW10" s="286"/>
      <c r="AX10" s="286"/>
      <c r="AY10" s="286"/>
      <c r="AZ10" s="286"/>
      <c r="BA10" s="76"/>
      <c r="BB10" s="76"/>
      <c r="BC10" s="76"/>
      <c r="BD10" s="76"/>
      <c r="BE10" s="76"/>
      <c r="BF10" s="76"/>
      <c r="BG10" s="76"/>
      <c r="BH10" s="76"/>
      <c r="BI10" s="76"/>
      <c r="BJ10" s="76"/>
      <c r="BK10" s="77"/>
      <c r="BL10" s="72"/>
      <c r="BM10" s="72"/>
      <c r="BN10" s="72"/>
      <c r="BO10" s="72"/>
      <c r="BP10" s="72"/>
      <c r="BQ10" s="72"/>
    </row>
    <row r="11" spans="1:69" ht="15.75" x14ac:dyDescent="0.25">
      <c r="A11" s="72"/>
      <c r="B11" s="73"/>
      <c r="C11" s="74" t="s">
        <v>21</v>
      </c>
      <c r="D11" s="75" t="s">
        <v>6</v>
      </c>
      <c r="E11" s="486">
        <f>CARATULA!G32</f>
        <v>0</v>
      </c>
      <c r="F11" s="286"/>
      <c r="G11" s="286"/>
      <c r="H11" s="286"/>
      <c r="I11" s="286"/>
      <c r="J11" s="286"/>
      <c r="K11" s="286"/>
      <c r="L11" s="286"/>
      <c r="M11" s="286"/>
      <c r="N11" s="286"/>
      <c r="O11" s="286"/>
      <c r="P11" s="286"/>
      <c r="Q11" s="286"/>
      <c r="R11" s="286"/>
      <c r="S11" s="286"/>
      <c r="T11" s="286"/>
      <c r="U11" s="286"/>
      <c r="V11" s="286"/>
      <c r="W11" s="286"/>
      <c r="X11" s="286"/>
      <c r="Y11" s="286"/>
      <c r="Z11" s="286"/>
      <c r="AA11" s="286"/>
      <c r="AB11" s="286"/>
      <c r="AC11" s="286"/>
      <c r="AD11" s="286"/>
      <c r="AE11" s="286"/>
      <c r="AF11" s="286"/>
      <c r="AG11" s="286"/>
      <c r="AH11" s="286"/>
      <c r="AI11" s="286"/>
      <c r="AJ11" s="286"/>
      <c r="AK11" s="286"/>
      <c r="AL11" s="286"/>
      <c r="AM11" s="286"/>
      <c r="AN11" s="286"/>
      <c r="AO11" s="286"/>
      <c r="AP11" s="286"/>
      <c r="AQ11" s="286"/>
      <c r="AR11" s="286"/>
      <c r="AS11" s="286"/>
      <c r="AT11" s="286"/>
      <c r="AU11" s="286"/>
      <c r="AV11" s="286"/>
      <c r="AW11" s="286"/>
      <c r="AX11" s="286"/>
      <c r="AY11" s="286"/>
      <c r="AZ11" s="286"/>
      <c r="BA11" s="76"/>
      <c r="BB11" s="76"/>
      <c r="BC11" s="76"/>
      <c r="BD11" s="76"/>
      <c r="BE11" s="76"/>
      <c r="BF11" s="76"/>
      <c r="BG11" s="76"/>
      <c r="BH11" s="76"/>
      <c r="BI11" s="76"/>
      <c r="BJ11" s="76"/>
      <c r="BK11" s="77"/>
      <c r="BL11" s="72"/>
      <c r="BM11" s="72"/>
      <c r="BN11" s="72"/>
      <c r="BO11" s="72"/>
      <c r="BP11" s="72"/>
      <c r="BQ11" s="72"/>
    </row>
    <row r="12" spans="1:69" ht="1.5" customHeight="1" x14ac:dyDescent="0.25">
      <c r="B12" s="67"/>
      <c r="C12" s="68"/>
      <c r="D12" s="68"/>
      <c r="E12" s="68"/>
      <c r="F12" s="68"/>
      <c r="G12" s="68"/>
      <c r="H12" s="68"/>
      <c r="I12" s="68"/>
      <c r="J12" s="68"/>
      <c r="K12" s="68"/>
      <c r="L12" s="68"/>
      <c r="M12" s="68"/>
      <c r="N12" s="68"/>
      <c r="O12" s="68"/>
      <c r="P12" s="68"/>
      <c r="Q12" s="68"/>
      <c r="R12" s="68"/>
      <c r="S12" s="68"/>
      <c r="T12" s="68"/>
      <c r="U12" s="68"/>
      <c r="V12" s="68"/>
      <c r="W12" s="68"/>
      <c r="X12" s="68"/>
      <c r="Y12" s="68"/>
      <c r="Z12" s="68"/>
      <c r="AA12" s="68"/>
      <c r="AB12" s="68"/>
      <c r="AC12" s="68"/>
      <c r="AD12" s="68"/>
      <c r="AE12" s="68"/>
      <c r="AF12" s="68"/>
      <c r="AG12" s="68"/>
      <c r="AH12" s="68"/>
      <c r="AI12" s="68"/>
      <c r="AJ12" s="68"/>
      <c r="AK12" s="68"/>
      <c r="AL12" s="68"/>
      <c r="AM12" s="68"/>
      <c r="AN12" s="68"/>
      <c r="AO12" s="68"/>
      <c r="AP12" s="68"/>
      <c r="AQ12" s="68"/>
      <c r="AR12" s="68"/>
      <c r="AS12" s="68"/>
      <c r="AT12" s="68"/>
      <c r="AU12" s="68"/>
      <c r="AV12" s="68"/>
      <c r="AW12" s="68"/>
      <c r="AX12" s="68"/>
      <c r="AY12" s="68"/>
      <c r="AZ12" s="68"/>
      <c r="BA12" s="68"/>
      <c r="BB12" s="68"/>
      <c r="BC12" s="68"/>
      <c r="BD12" s="68"/>
      <c r="BE12" s="68"/>
      <c r="BF12" s="68"/>
      <c r="BG12" s="68"/>
      <c r="BH12" s="68"/>
      <c r="BI12" s="68"/>
      <c r="BJ12" s="68"/>
      <c r="BK12" s="69"/>
    </row>
    <row r="13" spans="1:69" x14ac:dyDescent="0.25">
      <c r="A13" s="72"/>
      <c r="B13" s="595" t="s">
        <v>41</v>
      </c>
      <c r="C13" s="608" t="s">
        <v>23</v>
      </c>
      <c r="D13" s="608"/>
      <c r="E13" s="597" t="s">
        <v>242</v>
      </c>
      <c r="F13" s="597"/>
      <c r="G13" s="597"/>
      <c r="H13" s="597"/>
      <c r="I13" s="597"/>
      <c r="J13" s="597"/>
      <c r="K13" s="597"/>
      <c r="L13" s="597"/>
      <c r="M13" s="597"/>
      <c r="N13" s="597"/>
      <c r="O13" s="597"/>
      <c r="P13" s="597"/>
      <c r="Q13" s="597"/>
      <c r="R13" s="597"/>
      <c r="S13" s="597"/>
      <c r="T13" s="597"/>
      <c r="U13" s="597"/>
      <c r="V13" s="597"/>
      <c r="W13" s="597"/>
      <c r="X13" s="597"/>
      <c r="Y13" s="597"/>
      <c r="Z13" s="597"/>
      <c r="AA13" s="597"/>
      <c r="AB13" s="597"/>
      <c r="AC13" s="597"/>
      <c r="AD13" s="597"/>
      <c r="AE13" s="597"/>
      <c r="AF13" s="597"/>
      <c r="AG13" s="597"/>
      <c r="AH13" s="597"/>
      <c r="AI13" s="597"/>
      <c r="AJ13" s="597"/>
      <c r="AK13" s="597"/>
      <c r="AL13" s="597"/>
      <c r="AM13" s="597"/>
      <c r="AN13" s="597"/>
      <c r="AO13" s="597"/>
      <c r="AP13" s="597"/>
      <c r="AQ13" s="597"/>
      <c r="AR13" s="597"/>
      <c r="AS13" s="597"/>
      <c r="AT13" s="597"/>
      <c r="AU13" s="597"/>
      <c r="AV13" s="597"/>
      <c r="AW13" s="597"/>
      <c r="AX13" s="597"/>
      <c r="AY13" s="597"/>
      <c r="AZ13" s="597"/>
      <c r="BA13" s="597"/>
      <c r="BB13" s="597"/>
      <c r="BC13" s="597"/>
      <c r="BD13" s="597"/>
      <c r="BE13" s="597"/>
      <c r="BF13" s="598"/>
      <c r="BG13" s="599" t="s">
        <v>42</v>
      </c>
      <c r="BH13" s="599"/>
      <c r="BI13" s="599"/>
      <c r="BJ13" s="600"/>
      <c r="BK13" s="679" t="s">
        <v>237</v>
      </c>
    </row>
    <row r="14" spans="1:69" ht="68.25" customHeight="1" thickBot="1" x14ac:dyDescent="0.3">
      <c r="A14" s="72"/>
      <c r="B14" s="596"/>
      <c r="C14" s="609"/>
      <c r="D14" s="609"/>
      <c r="E14" s="260"/>
      <c r="F14" s="260"/>
      <c r="G14" s="260"/>
      <c r="H14" s="260"/>
      <c r="I14" s="260"/>
      <c r="J14" s="260"/>
      <c r="K14" s="260"/>
      <c r="L14" s="260"/>
      <c r="M14" s="260"/>
      <c r="N14" s="260"/>
      <c r="O14" s="260"/>
      <c r="P14" s="260"/>
      <c r="Q14" s="260"/>
      <c r="R14" s="260"/>
      <c r="S14" s="260"/>
      <c r="T14" s="260"/>
      <c r="U14" s="260"/>
      <c r="V14" s="260"/>
      <c r="W14" s="260"/>
      <c r="X14" s="260"/>
      <c r="Y14" s="260"/>
      <c r="Z14" s="260"/>
      <c r="AA14" s="260"/>
      <c r="AB14" s="260"/>
      <c r="AC14" s="260"/>
      <c r="AD14" s="260"/>
      <c r="AE14" s="260"/>
      <c r="AF14" s="260"/>
      <c r="AG14" s="260"/>
      <c r="AH14" s="260"/>
      <c r="AI14" s="260"/>
      <c r="AJ14" s="260"/>
      <c r="AK14" s="260"/>
      <c r="AL14" s="260"/>
      <c r="AM14" s="260"/>
      <c r="AN14" s="260"/>
      <c r="AO14" s="260"/>
      <c r="AP14" s="260"/>
      <c r="AQ14" s="260"/>
      <c r="AR14" s="260"/>
      <c r="AS14" s="260"/>
      <c r="AT14" s="260"/>
      <c r="AU14" s="260"/>
      <c r="AV14" s="260"/>
      <c r="AW14" s="260"/>
      <c r="AX14" s="260"/>
      <c r="AY14" s="260"/>
      <c r="AZ14" s="260"/>
      <c r="BA14" s="260"/>
      <c r="BB14" s="260"/>
      <c r="BC14" s="260"/>
      <c r="BD14" s="260"/>
      <c r="BE14" s="260"/>
      <c r="BF14" s="261"/>
      <c r="BG14" s="79" t="s">
        <v>50</v>
      </c>
      <c r="BH14" s="79" t="s">
        <v>51</v>
      </c>
      <c r="BI14" s="79" t="s">
        <v>52</v>
      </c>
      <c r="BJ14" s="80" t="s">
        <v>53</v>
      </c>
      <c r="BK14" s="680"/>
      <c r="BM14" s="72"/>
      <c r="BN14" s="72"/>
      <c r="BO14" s="72"/>
      <c r="BP14" s="72"/>
      <c r="BQ14" s="72"/>
    </row>
    <row r="15" spans="1:69" x14ac:dyDescent="0.25">
      <c r="A15" s="72"/>
      <c r="B15" s="81">
        <v>1</v>
      </c>
      <c r="C15" s="610" t="str">
        <f>'C. FILIACION'!C14</f>
        <v>SUAREZ EVELIN ISELA</v>
      </c>
      <c r="D15" s="610"/>
      <c r="E15" s="256"/>
      <c r="F15" s="256"/>
      <c r="G15" s="256"/>
      <c r="H15" s="256"/>
      <c r="I15" s="256"/>
      <c r="J15" s="256"/>
      <c r="K15" s="256"/>
      <c r="L15" s="256"/>
      <c r="M15" s="256"/>
      <c r="N15" s="256"/>
      <c r="O15" s="256"/>
      <c r="P15" s="256"/>
      <c r="Q15" s="256"/>
      <c r="R15" s="256"/>
      <c r="S15" s="256"/>
      <c r="T15" s="256"/>
      <c r="U15" s="256"/>
      <c r="V15" s="256"/>
      <c r="W15" s="256"/>
      <c r="X15" s="256"/>
      <c r="Y15" s="256"/>
      <c r="Z15" s="256"/>
      <c r="AA15" s="256"/>
      <c r="AB15" s="256"/>
      <c r="AC15" s="256"/>
      <c r="AD15" s="256"/>
      <c r="AE15" s="256"/>
      <c r="AF15" s="256"/>
      <c r="AG15" s="256"/>
      <c r="AH15" s="256"/>
      <c r="AI15" s="256"/>
      <c r="AJ15" s="256"/>
      <c r="AK15" s="256"/>
      <c r="AL15" s="256"/>
      <c r="AM15" s="256"/>
      <c r="AN15" s="256"/>
      <c r="AO15" s="256"/>
      <c r="AP15" s="256"/>
      <c r="AQ15" s="256"/>
      <c r="AR15" s="256"/>
      <c r="AS15" s="256"/>
      <c r="AT15" s="256"/>
      <c r="AU15" s="256"/>
      <c r="AV15" s="256"/>
      <c r="AW15" s="256"/>
      <c r="AX15" s="256"/>
      <c r="AY15" s="256"/>
      <c r="AZ15" s="256"/>
      <c r="BA15" s="256"/>
      <c r="BB15" s="256"/>
      <c r="BC15" s="256"/>
      <c r="BD15" s="256"/>
      <c r="BE15" s="256"/>
      <c r="BF15" s="256"/>
      <c r="BG15" s="508" t="str">
        <f>IF(COUNTIF(E15:BF15,"A")=0,"",COUNTIF(E15:BF15,"A"))</f>
        <v/>
      </c>
      <c r="BH15" s="508" t="str">
        <f>IF(COUNTIF(E15:BF15,"F")=0,"",COUNTIF(E15:BF15,"F"))</f>
        <v/>
      </c>
      <c r="BI15" s="508" t="str">
        <f>IF(COUNTIF(E15:BF15,"R")=0,"",COUNTIF(E15:BF15,"R"))</f>
        <v/>
      </c>
      <c r="BJ15" s="509" t="str">
        <f>IF(COUNTIF(E15:BF15,"L")=0,"",COUNTIF(E15:BF15,"L"))</f>
        <v/>
      </c>
      <c r="BK15" s="510" t="str">
        <f>IF((IF(BG15="",0,BG15)+IF(BI15="",0,BI15))=0,"",(IF(BG15="",0,BG15)+IF(BI15="",0,BI15)))</f>
        <v/>
      </c>
    </row>
    <row r="16" spans="1:69" x14ac:dyDescent="0.25">
      <c r="A16" s="72"/>
      <c r="B16" s="82">
        <v>2</v>
      </c>
      <c r="C16" s="604" t="str">
        <f>'C. FILIACION'!C15</f>
        <v>ALARCON  VARGAS JAIR ALEXIS</v>
      </c>
      <c r="D16" s="604"/>
      <c r="E16" s="257"/>
      <c r="F16" s="257"/>
      <c r="G16" s="257"/>
      <c r="H16" s="257"/>
      <c r="I16" s="257"/>
      <c r="J16" s="257"/>
      <c r="K16" s="257"/>
      <c r="L16" s="257"/>
      <c r="M16" s="257"/>
      <c r="N16" s="257"/>
      <c r="O16" s="257"/>
      <c r="P16" s="257"/>
      <c r="Q16" s="257"/>
      <c r="R16" s="257"/>
      <c r="S16" s="257"/>
      <c r="T16" s="257"/>
      <c r="U16" s="257"/>
      <c r="V16" s="257"/>
      <c r="W16" s="257"/>
      <c r="X16" s="257"/>
      <c r="Y16" s="257"/>
      <c r="Z16" s="257"/>
      <c r="AA16" s="257"/>
      <c r="AB16" s="257"/>
      <c r="AC16" s="257"/>
      <c r="AD16" s="257"/>
      <c r="AE16" s="257"/>
      <c r="AF16" s="257"/>
      <c r="AG16" s="257"/>
      <c r="AH16" s="257"/>
      <c r="AI16" s="257"/>
      <c r="AJ16" s="257"/>
      <c r="AK16" s="257"/>
      <c r="AL16" s="257"/>
      <c r="AM16" s="257"/>
      <c r="AN16" s="257"/>
      <c r="AO16" s="257"/>
      <c r="AP16" s="257"/>
      <c r="AQ16" s="257"/>
      <c r="AR16" s="257"/>
      <c r="AS16" s="257"/>
      <c r="AT16" s="257"/>
      <c r="AU16" s="257"/>
      <c r="AV16" s="257"/>
      <c r="AW16" s="257"/>
      <c r="AX16" s="257"/>
      <c r="AY16" s="257"/>
      <c r="AZ16" s="257"/>
      <c r="BA16" s="257"/>
      <c r="BB16" s="257"/>
      <c r="BC16" s="257"/>
      <c r="BD16" s="257"/>
      <c r="BE16" s="257"/>
      <c r="BF16" s="258"/>
      <c r="BG16" s="511" t="str">
        <f t="shared" ref="BG16:BG59" si="0">IF(COUNTIF(E16:BF16,"A")=0,"",COUNTIF(E16:BF16,"A"))</f>
        <v/>
      </c>
      <c r="BH16" s="511" t="str">
        <f t="shared" ref="BH16:BH59" si="1">IF(COUNTIF(E16:BF16,"F")=0,"",COUNTIF(E16:BF16,"F"))</f>
        <v/>
      </c>
      <c r="BI16" s="511" t="str">
        <f t="shared" ref="BI16:BI59" si="2">IF(COUNTIF(E16:BF16,"R")=0,"",COUNTIF(E16:BF16,"R"))</f>
        <v/>
      </c>
      <c r="BJ16" s="512" t="str">
        <f t="shared" ref="BJ16:BJ59" si="3">IF(COUNTIF(E16:BF16,"L")=0,"",COUNTIF(E16:BF16,"L"))</f>
        <v/>
      </c>
      <c r="BK16" s="513" t="str">
        <f t="shared" ref="BK16:BK59" si="4">IF((IF(BG16="",0,BG16)+IF(BI16="",0,BI16))=0,"",(IF(BG16="",0,BG16)+IF(BI16="",0,BI16)))</f>
        <v/>
      </c>
    </row>
    <row r="17" spans="1:63" x14ac:dyDescent="0.25">
      <c r="A17" s="72"/>
      <c r="B17" s="82">
        <v>3</v>
      </c>
      <c r="C17" s="604" t="str">
        <f>'C. FILIACION'!C16</f>
        <v>AÑAZGO  VARGAS NOELIA</v>
      </c>
      <c r="D17" s="604"/>
      <c r="E17" s="257"/>
      <c r="F17" s="257"/>
      <c r="G17" s="257"/>
      <c r="H17" s="257"/>
      <c r="I17" s="257"/>
      <c r="J17" s="257"/>
      <c r="K17" s="257"/>
      <c r="L17" s="257"/>
      <c r="M17" s="257"/>
      <c r="N17" s="257"/>
      <c r="O17" s="257"/>
      <c r="P17" s="257"/>
      <c r="Q17" s="257"/>
      <c r="R17" s="257"/>
      <c r="S17" s="257"/>
      <c r="T17" s="257"/>
      <c r="U17" s="257"/>
      <c r="V17" s="257"/>
      <c r="W17" s="257"/>
      <c r="X17" s="257"/>
      <c r="Y17" s="257"/>
      <c r="Z17" s="257"/>
      <c r="AA17" s="257"/>
      <c r="AB17" s="257"/>
      <c r="AC17" s="257"/>
      <c r="AD17" s="257"/>
      <c r="AE17" s="257"/>
      <c r="AF17" s="257"/>
      <c r="AG17" s="257"/>
      <c r="AH17" s="257"/>
      <c r="AI17" s="257"/>
      <c r="AJ17" s="257"/>
      <c r="AK17" s="257"/>
      <c r="AL17" s="257"/>
      <c r="AM17" s="257"/>
      <c r="AN17" s="257"/>
      <c r="AO17" s="257"/>
      <c r="AP17" s="257"/>
      <c r="AQ17" s="257"/>
      <c r="AR17" s="257"/>
      <c r="AS17" s="257"/>
      <c r="AT17" s="257"/>
      <c r="AU17" s="257"/>
      <c r="AV17" s="257"/>
      <c r="AW17" s="257"/>
      <c r="AX17" s="257"/>
      <c r="AY17" s="257"/>
      <c r="AZ17" s="257"/>
      <c r="BA17" s="257"/>
      <c r="BB17" s="257"/>
      <c r="BC17" s="257"/>
      <c r="BD17" s="257"/>
      <c r="BE17" s="257"/>
      <c r="BF17" s="258"/>
      <c r="BG17" s="511" t="str">
        <f t="shared" si="0"/>
        <v/>
      </c>
      <c r="BH17" s="511" t="str">
        <f t="shared" si="1"/>
        <v/>
      </c>
      <c r="BI17" s="511" t="str">
        <f t="shared" si="2"/>
        <v/>
      </c>
      <c r="BJ17" s="512" t="str">
        <f t="shared" si="3"/>
        <v/>
      </c>
      <c r="BK17" s="513" t="str">
        <f t="shared" si="4"/>
        <v/>
      </c>
    </row>
    <row r="18" spans="1:63" x14ac:dyDescent="0.25">
      <c r="A18" s="72"/>
      <c r="B18" s="82">
        <v>4</v>
      </c>
      <c r="C18" s="604" t="str">
        <f>'C. FILIACION'!C17</f>
        <v>AQUISE HINOJOSA YHAMIR FABIO</v>
      </c>
      <c r="D18" s="604"/>
      <c r="E18" s="257"/>
      <c r="F18" s="257"/>
      <c r="G18" s="257"/>
      <c r="H18" s="257"/>
      <c r="I18" s="257"/>
      <c r="J18" s="257"/>
      <c r="K18" s="257"/>
      <c r="L18" s="257"/>
      <c r="M18" s="257"/>
      <c r="N18" s="257"/>
      <c r="O18" s="257"/>
      <c r="P18" s="257"/>
      <c r="Q18" s="257"/>
      <c r="R18" s="257"/>
      <c r="S18" s="257"/>
      <c r="T18" s="257"/>
      <c r="U18" s="257"/>
      <c r="V18" s="257"/>
      <c r="W18" s="257"/>
      <c r="X18" s="257"/>
      <c r="Y18" s="257"/>
      <c r="Z18" s="257"/>
      <c r="AA18" s="257"/>
      <c r="AB18" s="257"/>
      <c r="AC18" s="257"/>
      <c r="AD18" s="257"/>
      <c r="AE18" s="257"/>
      <c r="AF18" s="257"/>
      <c r="AG18" s="257"/>
      <c r="AH18" s="257"/>
      <c r="AI18" s="257"/>
      <c r="AJ18" s="257"/>
      <c r="AK18" s="257"/>
      <c r="AL18" s="257"/>
      <c r="AM18" s="257"/>
      <c r="AN18" s="257"/>
      <c r="AO18" s="257"/>
      <c r="AP18" s="257"/>
      <c r="AQ18" s="257"/>
      <c r="AR18" s="257"/>
      <c r="AS18" s="257"/>
      <c r="AT18" s="257"/>
      <c r="AU18" s="257"/>
      <c r="AV18" s="257"/>
      <c r="AW18" s="257"/>
      <c r="AX18" s="257"/>
      <c r="AY18" s="257"/>
      <c r="AZ18" s="257"/>
      <c r="BA18" s="257"/>
      <c r="BB18" s="257"/>
      <c r="BC18" s="257"/>
      <c r="BD18" s="257"/>
      <c r="BE18" s="257"/>
      <c r="BF18" s="258"/>
      <c r="BG18" s="511" t="str">
        <f t="shared" si="0"/>
        <v/>
      </c>
      <c r="BH18" s="511" t="str">
        <f t="shared" si="1"/>
        <v/>
      </c>
      <c r="BI18" s="511" t="str">
        <f t="shared" si="2"/>
        <v/>
      </c>
      <c r="BJ18" s="512" t="str">
        <f t="shared" si="3"/>
        <v/>
      </c>
      <c r="BK18" s="513" t="str">
        <f t="shared" si="4"/>
        <v/>
      </c>
    </row>
    <row r="19" spans="1:63" x14ac:dyDescent="0.25">
      <c r="A19" s="72"/>
      <c r="B19" s="82">
        <v>5</v>
      </c>
      <c r="C19" s="604" t="str">
        <f>'C. FILIACION'!C18</f>
        <v>ARGANI  LAREDO MARIA JESUS</v>
      </c>
      <c r="D19" s="604"/>
      <c r="E19" s="257"/>
      <c r="F19" s="257"/>
      <c r="G19" s="257"/>
      <c r="H19" s="257"/>
      <c r="I19" s="257"/>
      <c r="J19" s="257"/>
      <c r="K19" s="257"/>
      <c r="L19" s="257"/>
      <c r="M19" s="257"/>
      <c r="N19" s="257"/>
      <c r="O19" s="257"/>
      <c r="P19" s="257"/>
      <c r="Q19" s="257"/>
      <c r="R19" s="257"/>
      <c r="S19" s="257"/>
      <c r="T19" s="257"/>
      <c r="U19" s="257"/>
      <c r="V19" s="257"/>
      <c r="W19" s="257"/>
      <c r="X19" s="257"/>
      <c r="Y19" s="257"/>
      <c r="Z19" s="257"/>
      <c r="AA19" s="257"/>
      <c r="AB19" s="257"/>
      <c r="AC19" s="257"/>
      <c r="AD19" s="257"/>
      <c r="AE19" s="257"/>
      <c r="AF19" s="257"/>
      <c r="AG19" s="257"/>
      <c r="AH19" s="257"/>
      <c r="AI19" s="257"/>
      <c r="AJ19" s="257"/>
      <c r="AK19" s="257"/>
      <c r="AL19" s="257"/>
      <c r="AM19" s="257"/>
      <c r="AN19" s="257"/>
      <c r="AO19" s="257"/>
      <c r="AP19" s="257"/>
      <c r="AQ19" s="257"/>
      <c r="AR19" s="257"/>
      <c r="AS19" s="257"/>
      <c r="AT19" s="257"/>
      <c r="AU19" s="257"/>
      <c r="AV19" s="257"/>
      <c r="AW19" s="257"/>
      <c r="AX19" s="257"/>
      <c r="AY19" s="257"/>
      <c r="AZ19" s="257"/>
      <c r="BA19" s="257"/>
      <c r="BB19" s="257"/>
      <c r="BC19" s="257"/>
      <c r="BD19" s="257"/>
      <c r="BE19" s="257"/>
      <c r="BF19" s="258"/>
      <c r="BG19" s="511" t="str">
        <f t="shared" si="0"/>
        <v/>
      </c>
      <c r="BH19" s="511" t="str">
        <f t="shared" si="1"/>
        <v/>
      </c>
      <c r="BI19" s="511" t="str">
        <f t="shared" si="2"/>
        <v/>
      </c>
      <c r="BJ19" s="512" t="str">
        <f t="shared" si="3"/>
        <v/>
      </c>
      <c r="BK19" s="513" t="str">
        <f t="shared" si="4"/>
        <v/>
      </c>
    </row>
    <row r="20" spans="1:63" x14ac:dyDescent="0.25">
      <c r="A20" s="72"/>
      <c r="B20" s="82">
        <v>6</v>
      </c>
      <c r="C20" s="604" t="str">
        <f>'C. FILIACION'!C19</f>
        <v>AYLLON MOLLO RONNY BRUCE</v>
      </c>
      <c r="D20" s="604"/>
      <c r="E20" s="257"/>
      <c r="F20" s="257"/>
      <c r="G20" s="257"/>
      <c r="H20" s="257"/>
      <c r="I20" s="257"/>
      <c r="J20" s="257"/>
      <c r="K20" s="257"/>
      <c r="L20" s="257"/>
      <c r="M20" s="257"/>
      <c r="N20" s="257"/>
      <c r="O20" s="257"/>
      <c r="P20" s="257"/>
      <c r="Q20" s="257"/>
      <c r="R20" s="257"/>
      <c r="S20" s="257"/>
      <c r="T20" s="257"/>
      <c r="U20" s="257"/>
      <c r="V20" s="257"/>
      <c r="W20" s="257"/>
      <c r="X20" s="257"/>
      <c r="Y20" s="257"/>
      <c r="Z20" s="257"/>
      <c r="AA20" s="257"/>
      <c r="AB20" s="257"/>
      <c r="AC20" s="257"/>
      <c r="AD20" s="257"/>
      <c r="AE20" s="257"/>
      <c r="AF20" s="257"/>
      <c r="AG20" s="257"/>
      <c r="AH20" s="257"/>
      <c r="AI20" s="257"/>
      <c r="AJ20" s="257"/>
      <c r="AK20" s="257"/>
      <c r="AL20" s="257"/>
      <c r="AM20" s="257"/>
      <c r="AN20" s="257"/>
      <c r="AO20" s="257"/>
      <c r="AP20" s="257"/>
      <c r="AQ20" s="257"/>
      <c r="AR20" s="257"/>
      <c r="AS20" s="257"/>
      <c r="AT20" s="257"/>
      <c r="AU20" s="257"/>
      <c r="AV20" s="257"/>
      <c r="AW20" s="257"/>
      <c r="AX20" s="257"/>
      <c r="AY20" s="257"/>
      <c r="AZ20" s="257"/>
      <c r="BA20" s="257"/>
      <c r="BB20" s="257"/>
      <c r="BC20" s="257"/>
      <c r="BD20" s="257"/>
      <c r="BE20" s="257"/>
      <c r="BF20" s="258"/>
      <c r="BG20" s="511" t="str">
        <f t="shared" si="0"/>
        <v/>
      </c>
      <c r="BH20" s="511" t="str">
        <f t="shared" si="1"/>
        <v/>
      </c>
      <c r="BI20" s="511" t="str">
        <f t="shared" si="2"/>
        <v/>
      </c>
      <c r="BJ20" s="512" t="str">
        <f t="shared" si="3"/>
        <v/>
      </c>
      <c r="BK20" s="513" t="str">
        <f t="shared" si="4"/>
        <v/>
      </c>
    </row>
    <row r="21" spans="1:63" x14ac:dyDescent="0.25">
      <c r="A21" s="72"/>
      <c r="B21" s="82">
        <v>7</v>
      </c>
      <c r="C21" s="604" t="str">
        <f>'C. FILIACION'!C20</f>
        <v>BALBOA  PAZ ANTHONY JR</v>
      </c>
      <c r="D21" s="604"/>
      <c r="E21" s="257"/>
      <c r="F21" s="257"/>
      <c r="G21" s="257"/>
      <c r="H21" s="257"/>
      <c r="I21" s="257"/>
      <c r="J21" s="257"/>
      <c r="K21" s="257"/>
      <c r="L21" s="257"/>
      <c r="M21" s="257"/>
      <c r="N21" s="257"/>
      <c r="O21" s="257"/>
      <c r="P21" s="257"/>
      <c r="Q21" s="257"/>
      <c r="R21" s="257"/>
      <c r="S21" s="257"/>
      <c r="T21" s="257"/>
      <c r="U21" s="257"/>
      <c r="V21" s="257"/>
      <c r="W21" s="257"/>
      <c r="X21" s="257"/>
      <c r="Y21" s="257"/>
      <c r="Z21" s="257"/>
      <c r="AA21" s="257"/>
      <c r="AB21" s="257"/>
      <c r="AC21" s="257"/>
      <c r="AD21" s="257"/>
      <c r="AE21" s="257"/>
      <c r="AF21" s="257"/>
      <c r="AG21" s="257"/>
      <c r="AH21" s="257"/>
      <c r="AI21" s="257"/>
      <c r="AJ21" s="257"/>
      <c r="AK21" s="257"/>
      <c r="AL21" s="257"/>
      <c r="AM21" s="257"/>
      <c r="AN21" s="257"/>
      <c r="AO21" s="257"/>
      <c r="AP21" s="257"/>
      <c r="AQ21" s="257"/>
      <c r="AR21" s="257"/>
      <c r="AS21" s="257"/>
      <c r="AT21" s="257"/>
      <c r="AU21" s="257"/>
      <c r="AV21" s="257"/>
      <c r="AW21" s="257"/>
      <c r="AX21" s="257"/>
      <c r="AY21" s="257"/>
      <c r="AZ21" s="257"/>
      <c r="BA21" s="257"/>
      <c r="BB21" s="257"/>
      <c r="BC21" s="257"/>
      <c r="BD21" s="257"/>
      <c r="BE21" s="257"/>
      <c r="BF21" s="258"/>
      <c r="BG21" s="511" t="str">
        <f t="shared" si="0"/>
        <v/>
      </c>
      <c r="BH21" s="511" t="str">
        <f t="shared" si="1"/>
        <v/>
      </c>
      <c r="BI21" s="511" t="str">
        <f t="shared" si="2"/>
        <v/>
      </c>
      <c r="BJ21" s="512" t="str">
        <f t="shared" si="3"/>
        <v/>
      </c>
      <c r="BK21" s="513" t="str">
        <f t="shared" si="4"/>
        <v/>
      </c>
    </row>
    <row r="22" spans="1:63" x14ac:dyDescent="0.25">
      <c r="A22" s="72"/>
      <c r="B22" s="82">
        <v>8</v>
      </c>
      <c r="C22" s="604" t="str">
        <f>'C. FILIACION'!C21</f>
        <v>CAMACHO SALGADO LEONARDO</v>
      </c>
      <c r="D22" s="604"/>
      <c r="E22" s="257"/>
      <c r="F22" s="257"/>
      <c r="G22" s="257"/>
      <c r="H22" s="257"/>
      <c r="I22" s="257"/>
      <c r="J22" s="257"/>
      <c r="K22" s="257"/>
      <c r="L22" s="257"/>
      <c r="M22" s="257"/>
      <c r="N22" s="257"/>
      <c r="O22" s="257"/>
      <c r="P22" s="257"/>
      <c r="Q22" s="257"/>
      <c r="R22" s="257"/>
      <c r="S22" s="257"/>
      <c r="T22" s="257"/>
      <c r="U22" s="257"/>
      <c r="V22" s="257"/>
      <c r="W22" s="257"/>
      <c r="X22" s="257"/>
      <c r="Y22" s="257"/>
      <c r="Z22" s="257"/>
      <c r="AA22" s="257"/>
      <c r="AB22" s="257"/>
      <c r="AC22" s="257"/>
      <c r="AD22" s="257"/>
      <c r="AE22" s="257"/>
      <c r="AF22" s="257"/>
      <c r="AG22" s="257"/>
      <c r="AH22" s="257"/>
      <c r="AI22" s="257"/>
      <c r="AJ22" s="257"/>
      <c r="AK22" s="257"/>
      <c r="AL22" s="257"/>
      <c r="AM22" s="257"/>
      <c r="AN22" s="257"/>
      <c r="AO22" s="257"/>
      <c r="AP22" s="257"/>
      <c r="AQ22" s="257"/>
      <c r="AR22" s="257"/>
      <c r="AS22" s="257"/>
      <c r="AT22" s="257"/>
      <c r="AU22" s="257"/>
      <c r="AV22" s="257"/>
      <c r="AW22" s="257"/>
      <c r="AX22" s="257"/>
      <c r="AY22" s="257"/>
      <c r="AZ22" s="257"/>
      <c r="BA22" s="257"/>
      <c r="BB22" s="257"/>
      <c r="BC22" s="257"/>
      <c r="BD22" s="257"/>
      <c r="BE22" s="257"/>
      <c r="BF22" s="258"/>
      <c r="BG22" s="511" t="str">
        <f t="shared" si="0"/>
        <v/>
      </c>
      <c r="BH22" s="511" t="str">
        <f t="shared" si="1"/>
        <v/>
      </c>
      <c r="BI22" s="511" t="str">
        <f t="shared" si="2"/>
        <v/>
      </c>
      <c r="BJ22" s="512" t="str">
        <f t="shared" si="3"/>
        <v/>
      </c>
      <c r="BK22" s="513" t="str">
        <f t="shared" si="4"/>
        <v/>
      </c>
    </row>
    <row r="23" spans="1:63" x14ac:dyDescent="0.25">
      <c r="A23" s="72"/>
      <c r="B23" s="82">
        <v>9</v>
      </c>
      <c r="C23" s="604" t="str">
        <f>'C. FILIACION'!C22</f>
        <v>CARRION MARGUAY FABIANA ALEXANDRA</v>
      </c>
      <c r="D23" s="604"/>
      <c r="E23" s="257"/>
      <c r="F23" s="257"/>
      <c r="G23" s="257"/>
      <c r="H23" s="257"/>
      <c r="I23" s="257"/>
      <c r="J23" s="257"/>
      <c r="K23" s="257"/>
      <c r="L23" s="257"/>
      <c r="M23" s="257"/>
      <c r="N23" s="257"/>
      <c r="O23" s="257"/>
      <c r="P23" s="257"/>
      <c r="Q23" s="257"/>
      <c r="R23" s="257"/>
      <c r="S23" s="257"/>
      <c r="T23" s="257"/>
      <c r="U23" s="257"/>
      <c r="V23" s="257"/>
      <c r="W23" s="257"/>
      <c r="X23" s="257"/>
      <c r="Y23" s="257"/>
      <c r="Z23" s="257"/>
      <c r="AA23" s="257"/>
      <c r="AB23" s="257"/>
      <c r="AC23" s="257"/>
      <c r="AD23" s="257"/>
      <c r="AE23" s="257"/>
      <c r="AF23" s="257"/>
      <c r="AG23" s="257"/>
      <c r="AH23" s="257"/>
      <c r="AI23" s="257"/>
      <c r="AJ23" s="257"/>
      <c r="AK23" s="257"/>
      <c r="AL23" s="257"/>
      <c r="AM23" s="257"/>
      <c r="AN23" s="257"/>
      <c r="AO23" s="257"/>
      <c r="AP23" s="257"/>
      <c r="AQ23" s="257"/>
      <c r="AR23" s="257"/>
      <c r="AS23" s="257"/>
      <c r="AT23" s="257"/>
      <c r="AU23" s="257"/>
      <c r="AV23" s="257"/>
      <c r="AW23" s="257"/>
      <c r="AX23" s="257"/>
      <c r="AY23" s="257"/>
      <c r="AZ23" s="257"/>
      <c r="BA23" s="257"/>
      <c r="BB23" s="257"/>
      <c r="BC23" s="257"/>
      <c r="BD23" s="257"/>
      <c r="BE23" s="257"/>
      <c r="BF23" s="258"/>
      <c r="BG23" s="511" t="str">
        <f t="shared" si="0"/>
        <v/>
      </c>
      <c r="BH23" s="511" t="str">
        <f t="shared" si="1"/>
        <v/>
      </c>
      <c r="BI23" s="511" t="str">
        <f t="shared" si="2"/>
        <v/>
      </c>
      <c r="BJ23" s="512" t="str">
        <f t="shared" si="3"/>
        <v/>
      </c>
      <c r="BK23" s="513" t="str">
        <f t="shared" si="4"/>
        <v/>
      </c>
    </row>
    <row r="24" spans="1:63" x14ac:dyDescent="0.25">
      <c r="A24" s="72"/>
      <c r="B24" s="82">
        <v>10</v>
      </c>
      <c r="C24" s="604" t="str">
        <f>'C. FILIACION'!C23</f>
        <v>CAYO CALLE JUAN PABLO</v>
      </c>
      <c r="D24" s="604"/>
      <c r="E24" s="257"/>
      <c r="F24" s="257"/>
      <c r="G24" s="257"/>
      <c r="H24" s="257"/>
      <c r="I24" s="257"/>
      <c r="J24" s="257"/>
      <c r="K24" s="257"/>
      <c r="L24" s="257"/>
      <c r="M24" s="257"/>
      <c r="N24" s="257"/>
      <c r="O24" s="257"/>
      <c r="P24" s="257"/>
      <c r="Q24" s="257"/>
      <c r="R24" s="257"/>
      <c r="S24" s="257"/>
      <c r="T24" s="257"/>
      <c r="U24" s="257"/>
      <c r="V24" s="257"/>
      <c r="W24" s="257"/>
      <c r="X24" s="257"/>
      <c r="Y24" s="257"/>
      <c r="Z24" s="257"/>
      <c r="AA24" s="257"/>
      <c r="AB24" s="257"/>
      <c r="AC24" s="257"/>
      <c r="AD24" s="257"/>
      <c r="AE24" s="257"/>
      <c r="AF24" s="257"/>
      <c r="AG24" s="257"/>
      <c r="AH24" s="257"/>
      <c r="AI24" s="257"/>
      <c r="AJ24" s="257"/>
      <c r="AK24" s="257"/>
      <c r="AL24" s="257"/>
      <c r="AM24" s="257"/>
      <c r="AN24" s="257"/>
      <c r="AO24" s="257"/>
      <c r="AP24" s="257"/>
      <c r="AQ24" s="257"/>
      <c r="AR24" s="257"/>
      <c r="AS24" s="257"/>
      <c r="AT24" s="257"/>
      <c r="AU24" s="257"/>
      <c r="AV24" s="257"/>
      <c r="AW24" s="257"/>
      <c r="AX24" s="257"/>
      <c r="AY24" s="257"/>
      <c r="AZ24" s="257"/>
      <c r="BA24" s="257"/>
      <c r="BB24" s="257"/>
      <c r="BC24" s="257"/>
      <c r="BD24" s="257"/>
      <c r="BE24" s="257"/>
      <c r="BF24" s="258"/>
      <c r="BG24" s="511" t="str">
        <f t="shared" si="0"/>
        <v/>
      </c>
      <c r="BH24" s="511" t="str">
        <f t="shared" si="1"/>
        <v/>
      </c>
      <c r="BI24" s="511" t="str">
        <f t="shared" si="2"/>
        <v/>
      </c>
      <c r="BJ24" s="512" t="str">
        <f t="shared" si="3"/>
        <v/>
      </c>
      <c r="BK24" s="513" t="str">
        <f t="shared" si="4"/>
        <v/>
      </c>
    </row>
    <row r="25" spans="1:63" x14ac:dyDescent="0.25">
      <c r="A25" s="72"/>
      <c r="B25" s="82">
        <v>11</v>
      </c>
      <c r="C25" s="604" t="str">
        <f>'C. FILIACION'!C24</f>
        <v>CONDE ZARATE ASHLY OTHANY</v>
      </c>
      <c r="D25" s="604"/>
      <c r="E25" s="257"/>
      <c r="F25" s="257"/>
      <c r="G25" s="257"/>
      <c r="H25" s="257"/>
      <c r="I25" s="257"/>
      <c r="J25" s="257"/>
      <c r="K25" s="257"/>
      <c r="L25" s="257"/>
      <c r="M25" s="257"/>
      <c r="N25" s="257"/>
      <c r="O25" s="257"/>
      <c r="P25" s="257"/>
      <c r="Q25" s="257"/>
      <c r="R25" s="257"/>
      <c r="S25" s="257"/>
      <c r="T25" s="257"/>
      <c r="U25" s="257"/>
      <c r="V25" s="257"/>
      <c r="W25" s="257"/>
      <c r="X25" s="257"/>
      <c r="Y25" s="257"/>
      <c r="Z25" s="257"/>
      <c r="AA25" s="257"/>
      <c r="AB25" s="257"/>
      <c r="AC25" s="257"/>
      <c r="AD25" s="257"/>
      <c r="AE25" s="257"/>
      <c r="AF25" s="257"/>
      <c r="AG25" s="257"/>
      <c r="AH25" s="257"/>
      <c r="AI25" s="257"/>
      <c r="AJ25" s="257"/>
      <c r="AK25" s="257"/>
      <c r="AL25" s="257"/>
      <c r="AM25" s="257"/>
      <c r="AN25" s="257"/>
      <c r="AO25" s="257"/>
      <c r="AP25" s="257"/>
      <c r="AQ25" s="257"/>
      <c r="AR25" s="257"/>
      <c r="AS25" s="257"/>
      <c r="AT25" s="257"/>
      <c r="AU25" s="257"/>
      <c r="AV25" s="257"/>
      <c r="AW25" s="257"/>
      <c r="AX25" s="257"/>
      <c r="AY25" s="257"/>
      <c r="AZ25" s="257"/>
      <c r="BA25" s="257"/>
      <c r="BB25" s="257"/>
      <c r="BC25" s="257"/>
      <c r="BD25" s="257"/>
      <c r="BE25" s="257"/>
      <c r="BF25" s="258"/>
      <c r="BG25" s="511" t="str">
        <f t="shared" si="0"/>
        <v/>
      </c>
      <c r="BH25" s="511" t="str">
        <f t="shared" si="1"/>
        <v/>
      </c>
      <c r="BI25" s="511" t="str">
        <f t="shared" si="2"/>
        <v/>
      </c>
      <c r="BJ25" s="512" t="str">
        <f t="shared" si="3"/>
        <v/>
      </c>
      <c r="BK25" s="513" t="str">
        <f t="shared" si="4"/>
        <v/>
      </c>
    </row>
    <row r="26" spans="1:63" x14ac:dyDescent="0.25">
      <c r="A26" s="72"/>
      <c r="B26" s="82">
        <v>12</v>
      </c>
      <c r="C26" s="604" t="str">
        <f>'C. FILIACION'!C25</f>
        <v>CORTEZ RODRIGUEZ  GONZALO AXCELL</v>
      </c>
      <c r="D26" s="604"/>
      <c r="E26" s="257"/>
      <c r="F26" s="257"/>
      <c r="G26" s="257"/>
      <c r="H26" s="257"/>
      <c r="I26" s="257"/>
      <c r="J26" s="257"/>
      <c r="K26" s="257"/>
      <c r="L26" s="257"/>
      <c r="M26" s="257"/>
      <c r="N26" s="257"/>
      <c r="O26" s="257"/>
      <c r="P26" s="257"/>
      <c r="Q26" s="257"/>
      <c r="R26" s="257"/>
      <c r="S26" s="257"/>
      <c r="T26" s="257"/>
      <c r="U26" s="257"/>
      <c r="V26" s="257"/>
      <c r="W26" s="257"/>
      <c r="X26" s="257"/>
      <c r="Y26" s="257"/>
      <c r="Z26" s="257"/>
      <c r="AA26" s="257"/>
      <c r="AB26" s="257"/>
      <c r="AC26" s="257"/>
      <c r="AD26" s="257"/>
      <c r="AE26" s="257"/>
      <c r="AF26" s="257"/>
      <c r="AG26" s="257"/>
      <c r="AH26" s="257"/>
      <c r="AI26" s="257"/>
      <c r="AJ26" s="257"/>
      <c r="AK26" s="257"/>
      <c r="AL26" s="257"/>
      <c r="AM26" s="257"/>
      <c r="AN26" s="257"/>
      <c r="AO26" s="257"/>
      <c r="AP26" s="257"/>
      <c r="AQ26" s="257"/>
      <c r="AR26" s="257"/>
      <c r="AS26" s="257"/>
      <c r="AT26" s="257"/>
      <c r="AU26" s="257"/>
      <c r="AV26" s="257"/>
      <c r="AW26" s="257"/>
      <c r="AX26" s="257"/>
      <c r="AY26" s="257"/>
      <c r="AZ26" s="257"/>
      <c r="BA26" s="257"/>
      <c r="BB26" s="257"/>
      <c r="BC26" s="257"/>
      <c r="BD26" s="257"/>
      <c r="BE26" s="257"/>
      <c r="BF26" s="258"/>
      <c r="BG26" s="511" t="str">
        <f t="shared" si="0"/>
        <v/>
      </c>
      <c r="BH26" s="511" t="str">
        <f t="shared" si="1"/>
        <v/>
      </c>
      <c r="BI26" s="511" t="str">
        <f t="shared" si="2"/>
        <v/>
      </c>
      <c r="BJ26" s="512" t="str">
        <f t="shared" si="3"/>
        <v/>
      </c>
      <c r="BK26" s="513" t="str">
        <f t="shared" si="4"/>
        <v/>
      </c>
    </row>
    <row r="27" spans="1:63" x14ac:dyDescent="0.25">
      <c r="A27" s="72"/>
      <c r="B27" s="82">
        <v>13</v>
      </c>
      <c r="C27" s="604" t="str">
        <f>'C. FILIACION'!C26</f>
        <v>HILAYA  TORREZ CARLA JHULIANA</v>
      </c>
      <c r="D27" s="604"/>
      <c r="E27" s="257"/>
      <c r="F27" s="257"/>
      <c r="G27" s="257"/>
      <c r="H27" s="257"/>
      <c r="I27" s="257"/>
      <c r="J27" s="257"/>
      <c r="K27" s="257"/>
      <c r="L27" s="257"/>
      <c r="M27" s="257"/>
      <c r="N27" s="257"/>
      <c r="O27" s="257"/>
      <c r="P27" s="257"/>
      <c r="Q27" s="257"/>
      <c r="R27" s="257"/>
      <c r="S27" s="257"/>
      <c r="T27" s="257"/>
      <c r="U27" s="257"/>
      <c r="V27" s="257"/>
      <c r="W27" s="257"/>
      <c r="X27" s="257"/>
      <c r="Y27" s="257"/>
      <c r="Z27" s="257"/>
      <c r="AA27" s="257"/>
      <c r="AB27" s="257"/>
      <c r="AC27" s="257"/>
      <c r="AD27" s="257"/>
      <c r="AE27" s="257"/>
      <c r="AF27" s="257"/>
      <c r="AG27" s="257"/>
      <c r="AH27" s="257"/>
      <c r="AI27" s="257"/>
      <c r="AJ27" s="257"/>
      <c r="AK27" s="257"/>
      <c r="AL27" s="257"/>
      <c r="AM27" s="257"/>
      <c r="AN27" s="257"/>
      <c r="AO27" s="257"/>
      <c r="AP27" s="257"/>
      <c r="AQ27" s="257"/>
      <c r="AR27" s="257"/>
      <c r="AS27" s="257"/>
      <c r="AT27" s="257"/>
      <c r="AU27" s="257"/>
      <c r="AV27" s="257"/>
      <c r="AW27" s="257"/>
      <c r="AX27" s="257"/>
      <c r="AY27" s="257"/>
      <c r="AZ27" s="257"/>
      <c r="BA27" s="257"/>
      <c r="BB27" s="257"/>
      <c r="BC27" s="257"/>
      <c r="BD27" s="257"/>
      <c r="BE27" s="257"/>
      <c r="BF27" s="258"/>
      <c r="BG27" s="511" t="str">
        <f t="shared" si="0"/>
        <v/>
      </c>
      <c r="BH27" s="511" t="str">
        <f t="shared" si="1"/>
        <v/>
      </c>
      <c r="BI27" s="511" t="str">
        <f t="shared" si="2"/>
        <v/>
      </c>
      <c r="BJ27" s="512" t="str">
        <f t="shared" si="3"/>
        <v/>
      </c>
      <c r="BK27" s="513" t="str">
        <f t="shared" si="4"/>
        <v/>
      </c>
    </row>
    <row r="28" spans="1:63" x14ac:dyDescent="0.25">
      <c r="A28" s="72"/>
      <c r="B28" s="82">
        <v>14</v>
      </c>
      <c r="C28" s="604" t="str">
        <f>'C. FILIACION'!C27</f>
        <v>HUANCA CALLISAYA  PATRICIA</v>
      </c>
      <c r="D28" s="604"/>
      <c r="E28" s="257"/>
      <c r="F28" s="257"/>
      <c r="G28" s="257"/>
      <c r="H28" s="257"/>
      <c r="I28" s="257"/>
      <c r="J28" s="257"/>
      <c r="K28" s="257"/>
      <c r="L28" s="257"/>
      <c r="M28" s="257"/>
      <c r="N28" s="257"/>
      <c r="O28" s="257"/>
      <c r="P28" s="257"/>
      <c r="Q28" s="257"/>
      <c r="R28" s="257"/>
      <c r="S28" s="257"/>
      <c r="T28" s="257"/>
      <c r="U28" s="257"/>
      <c r="V28" s="257"/>
      <c r="W28" s="257"/>
      <c r="X28" s="257"/>
      <c r="Y28" s="257"/>
      <c r="Z28" s="257"/>
      <c r="AA28" s="257"/>
      <c r="AB28" s="257"/>
      <c r="AC28" s="257"/>
      <c r="AD28" s="257"/>
      <c r="AE28" s="257"/>
      <c r="AF28" s="257"/>
      <c r="AG28" s="257"/>
      <c r="AH28" s="257"/>
      <c r="AI28" s="257"/>
      <c r="AJ28" s="257"/>
      <c r="AK28" s="257"/>
      <c r="AL28" s="257"/>
      <c r="AM28" s="257"/>
      <c r="AN28" s="257"/>
      <c r="AO28" s="257"/>
      <c r="AP28" s="257"/>
      <c r="AQ28" s="257"/>
      <c r="AR28" s="257"/>
      <c r="AS28" s="257"/>
      <c r="AT28" s="257"/>
      <c r="AU28" s="257"/>
      <c r="AV28" s="257"/>
      <c r="AW28" s="257"/>
      <c r="AX28" s="257"/>
      <c r="AY28" s="257"/>
      <c r="AZ28" s="257"/>
      <c r="BA28" s="257"/>
      <c r="BB28" s="257"/>
      <c r="BC28" s="257"/>
      <c r="BD28" s="257"/>
      <c r="BE28" s="257"/>
      <c r="BF28" s="258"/>
      <c r="BG28" s="511" t="str">
        <f t="shared" si="0"/>
        <v/>
      </c>
      <c r="BH28" s="511" t="str">
        <f t="shared" si="1"/>
        <v/>
      </c>
      <c r="BI28" s="511" t="str">
        <f t="shared" si="2"/>
        <v/>
      </c>
      <c r="BJ28" s="512" t="str">
        <f t="shared" si="3"/>
        <v/>
      </c>
      <c r="BK28" s="513" t="str">
        <f t="shared" si="4"/>
        <v/>
      </c>
    </row>
    <row r="29" spans="1:63" x14ac:dyDescent="0.25">
      <c r="A29" s="72"/>
      <c r="B29" s="82">
        <v>15</v>
      </c>
      <c r="C29" s="604" t="str">
        <f>'C. FILIACION'!C28</f>
        <v>LIMACHI RADA GERMAN DOMINGO</v>
      </c>
      <c r="D29" s="604"/>
      <c r="E29" s="257"/>
      <c r="F29" s="257"/>
      <c r="G29" s="257"/>
      <c r="H29" s="257"/>
      <c r="I29" s="257"/>
      <c r="J29" s="257"/>
      <c r="K29" s="257"/>
      <c r="L29" s="257"/>
      <c r="M29" s="257"/>
      <c r="N29" s="257"/>
      <c r="O29" s="257"/>
      <c r="P29" s="257"/>
      <c r="Q29" s="257"/>
      <c r="R29" s="257"/>
      <c r="S29" s="257"/>
      <c r="T29" s="257"/>
      <c r="U29" s="257"/>
      <c r="V29" s="257"/>
      <c r="W29" s="257"/>
      <c r="X29" s="257"/>
      <c r="Y29" s="257"/>
      <c r="Z29" s="257"/>
      <c r="AA29" s="257"/>
      <c r="AB29" s="257"/>
      <c r="AC29" s="257"/>
      <c r="AD29" s="257"/>
      <c r="AE29" s="257"/>
      <c r="AF29" s="257"/>
      <c r="AG29" s="257"/>
      <c r="AH29" s="257"/>
      <c r="AI29" s="257"/>
      <c r="AJ29" s="257"/>
      <c r="AK29" s="257"/>
      <c r="AL29" s="257"/>
      <c r="AM29" s="257"/>
      <c r="AN29" s="257"/>
      <c r="AO29" s="257"/>
      <c r="AP29" s="257"/>
      <c r="AQ29" s="257"/>
      <c r="AR29" s="257"/>
      <c r="AS29" s="257"/>
      <c r="AT29" s="257"/>
      <c r="AU29" s="257"/>
      <c r="AV29" s="257"/>
      <c r="AW29" s="257"/>
      <c r="AX29" s="257"/>
      <c r="AY29" s="257"/>
      <c r="AZ29" s="257"/>
      <c r="BA29" s="257"/>
      <c r="BB29" s="257"/>
      <c r="BC29" s="257"/>
      <c r="BD29" s="257"/>
      <c r="BE29" s="257"/>
      <c r="BF29" s="258"/>
      <c r="BG29" s="511" t="str">
        <f t="shared" si="0"/>
        <v/>
      </c>
      <c r="BH29" s="511" t="str">
        <f t="shared" si="1"/>
        <v/>
      </c>
      <c r="BI29" s="511" t="str">
        <f t="shared" si="2"/>
        <v/>
      </c>
      <c r="BJ29" s="512" t="str">
        <f t="shared" si="3"/>
        <v/>
      </c>
      <c r="BK29" s="513" t="str">
        <f t="shared" si="4"/>
        <v/>
      </c>
    </row>
    <row r="30" spans="1:63" x14ac:dyDescent="0.25">
      <c r="A30" s="72"/>
      <c r="B30" s="82">
        <v>16</v>
      </c>
      <c r="C30" s="604" t="str">
        <f>'C. FILIACION'!C29</f>
        <v>MANTILLA SANCHEZ CAROLINA VALERIA</v>
      </c>
      <c r="D30" s="604"/>
      <c r="E30" s="257"/>
      <c r="F30" s="257"/>
      <c r="G30" s="257"/>
      <c r="H30" s="257"/>
      <c r="I30" s="257"/>
      <c r="J30" s="257"/>
      <c r="K30" s="257"/>
      <c r="L30" s="257"/>
      <c r="M30" s="257"/>
      <c r="N30" s="257"/>
      <c r="O30" s="257"/>
      <c r="P30" s="257"/>
      <c r="Q30" s="257"/>
      <c r="R30" s="257"/>
      <c r="S30" s="257"/>
      <c r="T30" s="257"/>
      <c r="U30" s="257"/>
      <c r="V30" s="257"/>
      <c r="W30" s="257"/>
      <c r="X30" s="257"/>
      <c r="Y30" s="257"/>
      <c r="Z30" s="257"/>
      <c r="AA30" s="257"/>
      <c r="AB30" s="257"/>
      <c r="AC30" s="257"/>
      <c r="AD30" s="257"/>
      <c r="AE30" s="257"/>
      <c r="AF30" s="257"/>
      <c r="AG30" s="257"/>
      <c r="AH30" s="257"/>
      <c r="AI30" s="257"/>
      <c r="AJ30" s="257"/>
      <c r="AK30" s="257"/>
      <c r="AL30" s="257"/>
      <c r="AM30" s="257"/>
      <c r="AN30" s="257"/>
      <c r="AO30" s="257"/>
      <c r="AP30" s="257"/>
      <c r="AQ30" s="257"/>
      <c r="AR30" s="257"/>
      <c r="AS30" s="257"/>
      <c r="AT30" s="257"/>
      <c r="AU30" s="257"/>
      <c r="AV30" s="257"/>
      <c r="AW30" s="257"/>
      <c r="AX30" s="257"/>
      <c r="AY30" s="257"/>
      <c r="AZ30" s="257"/>
      <c r="BA30" s="257"/>
      <c r="BB30" s="257"/>
      <c r="BC30" s="257"/>
      <c r="BD30" s="257"/>
      <c r="BE30" s="257"/>
      <c r="BF30" s="258"/>
      <c r="BG30" s="511" t="str">
        <f t="shared" si="0"/>
        <v/>
      </c>
      <c r="BH30" s="511" t="str">
        <f t="shared" si="1"/>
        <v/>
      </c>
      <c r="BI30" s="511" t="str">
        <f t="shared" si="2"/>
        <v/>
      </c>
      <c r="BJ30" s="512" t="str">
        <f t="shared" si="3"/>
        <v/>
      </c>
      <c r="BK30" s="513" t="str">
        <f t="shared" si="4"/>
        <v/>
      </c>
    </row>
    <row r="31" spans="1:63" x14ac:dyDescent="0.25">
      <c r="A31" s="72"/>
      <c r="B31" s="82">
        <v>17</v>
      </c>
      <c r="C31" s="604" t="str">
        <f>'C. FILIACION'!C30</f>
        <v>MULLER  ESCOBAR MARCIA BIBIANA</v>
      </c>
      <c r="D31" s="604"/>
      <c r="E31" s="257"/>
      <c r="F31" s="257"/>
      <c r="G31" s="257"/>
      <c r="H31" s="257"/>
      <c r="I31" s="257"/>
      <c r="J31" s="257"/>
      <c r="K31" s="257"/>
      <c r="L31" s="257"/>
      <c r="M31" s="257"/>
      <c r="N31" s="257"/>
      <c r="O31" s="257"/>
      <c r="P31" s="257"/>
      <c r="Q31" s="257"/>
      <c r="R31" s="257"/>
      <c r="S31" s="257"/>
      <c r="T31" s="257"/>
      <c r="U31" s="257"/>
      <c r="V31" s="257"/>
      <c r="W31" s="257"/>
      <c r="X31" s="257"/>
      <c r="Y31" s="257"/>
      <c r="Z31" s="257"/>
      <c r="AA31" s="257"/>
      <c r="AB31" s="257"/>
      <c r="AC31" s="257"/>
      <c r="AD31" s="257"/>
      <c r="AE31" s="257"/>
      <c r="AF31" s="257"/>
      <c r="AG31" s="257"/>
      <c r="AH31" s="257"/>
      <c r="AI31" s="257"/>
      <c r="AJ31" s="257"/>
      <c r="AK31" s="257"/>
      <c r="AL31" s="257"/>
      <c r="AM31" s="257"/>
      <c r="AN31" s="257"/>
      <c r="AO31" s="257"/>
      <c r="AP31" s="257"/>
      <c r="AQ31" s="257"/>
      <c r="AR31" s="257"/>
      <c r="AS31" s="257"/>
      <c r="AT31" s="257"/>
      <c r="AU31" s="257"/>
      <c r="AV31" s="257"/>
      <c r="AW31" s="257"/>
      <c r="AX31" s="257"/>
      <c r="AY31" s="257"/>
      <c r="AZ31" s="257"/>
      <c r="BA31" s="257"/>
      <c r="BB31" s="257"/>
      <c r="BC31" s="257"/>
      <c r="BD31" s="257"/>
      <c r="BE31" s="257"/>
      <c r="BF31" s="258"/>
      <c r="BG31" s="511" t="str">
        <f t="shared" si="0"/>
        <v/>
      </c>
      <c r="BH31" s="511" t="str">
        <f t="shared" si="1"/>
        <v/>
      </c>
      <c r="BI31" s="511" t="str">
        <f t="shared" si="2"/>
        <v/>
      </c>
      <c r="BJ31" s="512" t="str">
        <f t="shared" si="3"/>
        <v/>
      </c>
      <c r="BK31" s="513" t="str">
        <f t="shared" si="4"/>
        <v/>
      </c>
    </row>
    <row r="32" spans="1:63" x14ac:dyDescent="0.25">
      <c r="A32" s="72"/>
      <c r="B32" s="82">
        <v>18</v>
      </c>
      <c r="C32" s="604" t="str">
        <f>'C. FILIACION'!C31</f>
        <v xml:space="preserve">POMA MAMANI ADRIAN </v>
      </c>
      <c r="D32" s="604"/>
      <c r="E32" s="257"/>
      <c r="F32" s="257"/>
      <c r="G32" s="257"/>
      <c r="H32" s="257"/>
      <c r="I32" s="257"/>
      <c r="J32" s="257"/>
      <c r="K32" s="257"/>
      <c r="L32" s="257"/>
      <c r="M32" s="257"/>
      <c r="N32" s="257"/>
      <c r="O32" s="257"/>
      <c r="P32" s="257"/>
      <c r="Q32" s="257"/>
      <c r="R32" s="257"/>
      <c r="S32" s="257"/>
      <c r="T32" s="257"/>
      <c r="U32" s="257"/>
      <c r="V32" s="257"/>
      <c r="W32" s="257"/>
      <c r="X32" s="257"/>
      <c r="Y32" s="257"/>
      <c r="Z32" s="257"/>
      <c r="AA32" s="257"/>
      <c r="AB32" s="257"/>
      <c r="AC32" s="257"/>
      <c r="AD32" s="257"/>
      <c r="AE32" s="257"/>
      <c r="AF32" s="257"/>
      <c r="AG32" s="257"/>
      <c r="AH32" s="257"/>
      <c r="AI32" s="257"/>
      <c r="AJ32" s="257"/>
      <c r="AK32" s="257"/>
      <c r="AL32" s="257"/>
      <c r="AM32" s="257"/>
      <c r="AN32" s="257"/>
      <c r="AO32" s="257"/>
      <c r="AP32" s="257"/>
      <c r="AQ32" s="257"/>
      <c r="AR32" s="257"/>
      <c r="AS32" s="257"/>
      <c r="AT32" s="257"/>
      <c r="AU32" s="257"/>
      <c r="AV32" s="257"/>
      <c r="AW32" s="257"/>
      <c r="AX32" s="257"/>
      <c r="AY32" s="257"/>
      <c r="AZ32" s="257"/>
      <c r="BA32" s="257"/>
      <c r="BB32" s="257"/>
      <c r="BC32" s="257"/>
      <c r="BD32" s="257"/>
      <c r="BE32" s="257"/>
      <c r="BF32" s="258"/>
      <c r="BG32" s="511" t="str">
        <f t="shared" si="0"/>
        <v/>
      </c>
      <c r="BH32" s="511" t="str">
        <f t="shared" si="1"/>
        <v/>
      </c>
      <c r="BI32" s="511" t="str">
        <f t="shared" si="2"/>
        <v/>
      </c>
      <c r="BJ32" s="512" t="str">
        <f t="shared" si="3"/>
        <v/>
      </c>
      <c r="BK32" s="513" t="str">
        <f t="shared" si="4"/>
        <v/>
      </c>
    </row>
    <row r="33" spans="1:63" x14ac:dyDescent="0.25">
      <c r="A33" s="72"/>
      <c r="B33" s="82">
        <v>19</v>
      </c>
      <c r="C33" s="604" t="str">
        <f>'C. FILIACION'!C32</f>
        <v>PORTILLO  JALJA JHOSEP ERLAN</v>
      </c>
      <c r="D33" s="604"/>
      <c r="E33" s="257"/>
      <c r="F33" s="257"/>
      <c r="G33" s="257"/>
      <c r="H33" s="257"/>
      <c r="I33" s="257"/>
      <c r="J33" s="257"/>
      <c r="K33" s="257"/>
      <c r="L33" s="257"/>
      <c r="M33" s="257"/>
      <c r="N33" s="257"/>
      <c r="O33" s="257"/>
      <c r="P33" s="257"/>
      <c r="Q33" s="257"/>
      <c r="R33" s="257"/>
      <c r="S33" s="257"/>
      <c r="T33" s="257"/>
      <c r="U33" s="257"/>
      <c r="V33" s="257"/>
      <c r="W33" s="257"/>
      <c r="X33" s="257"/>
      <c r="Y33" s="257"/>
      <c r="Z33" s="257"/>
      <c r="AA33" s="257"/>
      <c r="AB33" s="257"/>
      <c r="AC33" s="257"/>
      <c r="AD33" s="257"/>
      <c r="AE33" s="257"/>
      <c r="AF33" s="257"/>
      <c r="AG33" s="257"/>
      <c r="AH33" s="257"/>
      <c r="AI33" s="257"/>
      <c r="AJ33" s="257"/>
      <c r="AK33" s="257"/>
      <c r="AL33" s="257"/>
      <c r="AM33" s="257"/>
      <c r="AN33" s="257"/>
      <c r="AO33" s="257"/>
      <c r="AP33" s="257"/>
      <c r="AQ33" s="257"/>
      <c r="AR33" s="257"/>
      <c r="AS33" s="257"/>
      <c r="AT33" s="257"/>
      <c r="AU33" s="257"/>
      <c r="AV33" s="257"/>
      <c r="AW33" s="257"/>
      <c r="AX33" s="257"/>
      <c r="AY33" s="257"/>
      <c r="AZ33" s="257"/>
      <c r="BA33" s="257"/>
      <c r="BB33" s="257"/>
      <c r="BC33" s="257"/>
      <c r="BD33" s="257"/>
      <c r="BE33" s="257"/>
      <c r="BF33" s="258"/>
      <c r="BG33" s="511" t="str">
        <f t="shared" si="0"/>
        <v/>
      </c>
      <c r="BH33" s="511" t="str">
        <f t="shared" si="1"/>
        <v/>
      </c>
      <c r="BI33" s="511" t="str">
        <f t="shared" si="2"/>
        <v/>
      </c>
      <c r="BJ33" s="512" t="str">
        <f t="shared" si="3"/>
        <v/>
      </c>
      <c r="BK33" s="513" t="str">
        <f t="shared" si="4"/>
        <v/>
      </c>
    </row>
    <row r="34" spans="1:63" x14ac:dyDescent="0.25">
      <c r="A34" s="72"/>
      <c r="B34" s="82">
        <v>20</v>
      </c>
      <c r="C34" s="604" t="str">
        <f>'C. FILIACION'!C33</f>
        <v>PUJRO  CHAUCA DIANA MARIBEL</v>
      </c>
      <c r="D34" s="604"/>
      <c r="E34" s="257"/>
      <c r="F34" s="257"/>
      <c r="G34" s="257"/>
      <c r="H34" s="257"/>
      <c r="I34" s="257"/>
      <c r="J34" s="257"/>
      <c r="K34" s="257"/>
      <c r="L34" s="257"/>
      <c r="M34" s="257"/>
      <c r="N34" s="257"/>
      <c r="O34" s="257"/>
      <c r="P34" s="257"/>
      <c r="Q34" s="257"/>
      <c r="R34" s="257"/>
      <c r="S34" s="257"/>
      <c r="T34" s="257"/>
      <c r="U34" s="257"/>
      <c r="V34" s="257"/>
      <c r="W34" s="257"/>
      <c r="X34" s="257"/>
      <c r="Y34" s="257"/>
      <c r="Z34" s="257"/>
      <c r="AA34" s="257"/>
      <c r="AB34" s="257"/>
      <c r="AC34" s="257"/>
      <c r="AD34" s="257"/>
      <c r="AE34" s="257"/>
      <c r="AF34" s="257"/>
      <c r="AG34" s="257"/>
      <c r="AH34" s="257"/>
      <c r="AI34" s="257"/>
      <c r="AJ34" s="257"/>
      <c r="AK34" s="257"/>
      <c r="AL34" s="257"/>
      <c r="AM34" s="257"/>
      <c r="AN34" s="257"/>
      <c r="AO34" s="257"/>
      <c r="AP34" s="257"/>
      <c r="AQ34" s="257"/>
      <c r="AR34" s="257"/>
      <c r="AS34" s="257"/>
      <c r="AT34" s="257"/>
      <c r="AU34" s="257"/>
      <c r="AV34" s="257"/>
      <c r="AW34" s="257"/>
      <c r="AX34" s="257"/>
      <c r="AY34" s="257"/>
      <c r="AZ34" s="257"/>
      <c r="BA34" s="257"/>
      <c r="BB34" s="257"/>
      <c r="BC34" s="257"/>
      <c r="BD34" s="257"/>
      <c r="BE34" s="257"/>
      <c r="BF34" s="258"/>
      <c r="BG34" s="511" t="str">
        <f t="shared" si="0"/>
        <v/>
      </c>
      <c r="BH34" s="511" t="str">
        <f t="shared" si="1"/>
        <v/>
      </c>
      <c r="BI34" s="511" t="str">
        <f t="shared" si="2"/>
        <v/>
      </c>
      <c r="BJ34" s="512" t="str">
        <f t="shared" si="3"/>
        <v/>
      </c>
      <c r="BK34" s="513" t="str">
        <f t="shared" si="4"/>
        <v/>
      </c>
    </row>
    <row r="35" spans="1:63" x14ac:dyDescent="0.25">
      <c r="A35" s="72"/>
      <c r="B35" s="82">
        <v>21</v>
      </c>
      <c r="C35" s="604" t="str">
        <f>'C. FILIACION'!C34</f>
        <v>SANCHEZ  MOLINA ALEXIS VHADIR</v>
      </c>
      <c r="D35" s="604"/>
      <c r="E35" s="257"/>
      <c r="F35" s="257"/>
      <c r="G35" s="257"/>
      <c r="H35" s="257"/>
      <c r="I35" s="257"/>
      <c r="J35" s="257"/>
      <c r="K35" s="257"/>
      <c r="L35" s="257"/>
      <c r="M35" s="257"/>
      <c r="N35" s="257"/>
      <c r="O35" s="257"/>
      <c r="P35" s="257"/>
      <c r="Q35" s="257"/>
      <c r="R35" s="257"/>
      <c r="S35" s="257"/>
      <c r="T35" s="257"/>
      <c r="U35" s="257"/>
      <c r="V35" s="257"/>
      <c r="W35" s="257"/>
      <c r="X35" s="257"/>
      <c r="Y35" s="257"/>
      <c r="Z35" s="257"/>
      <c r="AA35" s="257"/>
      <c r="AB35" s="257"/>
      <c r="AC35" s="257"/>
      <c r="AD35" s="257"/>
      <c r="AE35" s="257"/>
      <c r="AF35" s="257"/>
      <c r="AG35" s="257"/>
      <c r="AH35" s="257"/>
      <c r="AI35" s="257"/>
      <c r="AJ35" s="257"/>
      <c r="AK35" s="257"/>
      <c r="AL35" s="257"/>
      <c r="AM35" s="257"/>
      <c r="AN35" s="257"/>
      <c r="AO35" s="257"/>
      <c r="AP35" s="257"/>
      <c r="AQ35" s="257"/>
      <c r="AR35" s="257"/>
      <c r="AS35" s="257"/>
      <c r="AT35" s="257"/>
      <c r="AU35" s="257"/>
      <c r="AV35" s="257"/>
      <c r="AW35" s="257"/>
      <c r="AX35" s="257"/>
      <c r="AY35" s="257"/>
      <c r="AZ35" s="257"/>
      <c r="BA35" s="257"/>
      <c r="BB35" s="257"/>
      <c r="BC35" s="257"/>
      <c r="BD35" s="257"/>
      <c r="BE35" s="257"/>
      <c r="BF35" s="258"/>
      <c r="BG35" s="511" t="str">
        <f t="shared" si="0"/>
        <v/>
      </c>
      <c r="BH35" s="511" t="str">
        <f t="shared" si="1"/>
        <v/>
      </c>
      <c r="BI35" s="511" t="str">
        <f t="shared" si="2"/>
        <v/>
      </c>
      <c r="BJ35" s="512" t="str">
        <f t="shared" si="3"/>
        <v/>
      </c>
      <c r="BK35" s="513" t="str">
        <f t="shared" si="4"/>
        <v/>
      </c>
    </row>
    <row r="36" spans="1:63" x14ac:dyDescent="0.25">
      <c r="A36" s="72"/>
      <c r="B36" s="82">
        <v>22</v>
      </c>
      <c r="C36" s="604" t="str">
        <f>'C. FILIACION'!C35</f>
        <v>SARAVIA SALVATIERRA JOSSE AMED</v>
      </c>
      <c r="D36" s="604"/>
      <c r="E36" s="257"/>
      <c r="F36" s="257"/>
      <c r="G36" s="257"/>
      <c r="H36" s="257"/>
      <c r="I36" s="257"/>
      <c r="J36" s="257"/>
      <c r="K36" s="257"/>
      <c r="L36" s="257"/>
      <c r="M36" s="257"/>
      <c r="N36" s="257"/>
      <c r="O36" s="257"/>
      <c r="P36" s="257"/>
      <c r="Q36" s="257"/>
      <c r="R36" s="257"/>
      <c r="S36" s="257"/>
      <c r="T36" s="257"/>
      <c r="U36" s="257"/>
      <c r="V36" s="257"/>
      <c r="W36" s="257"/>
      <c r="X36" s="257"/>
      <c r="Y36" s="257"/>
      <c r="Z36" s="257"/>
      <c r="AA36" s="257"/>
      <c r="AB36" s="257"/>
      <c r="AC36" s="257"/>
      <c r="AD36" s="257"/>
      <c r="AE36" s="257"/>
      <c r="AF36" s="257"/>
      <c r="AG36" s="257"/>
      <c r="AH36" s="257"/>
      <c r="AI36" s="257"/>
      <c r="AJ36" s="257"/>
      <c r="AK36" s="257"/>
      <c r="AL36" s="257"/>
      <c r="AM36" s="257"/>
      <c r="AN36" s="257"/>
      <c r="AO36" s="257"/>
      <c r="AP36" s="257"/>
      <c r="AQ36" s="257"/>
      <c r="AR36" s="257"/>
      <c r="AS36" s="257"/>
      <c r="AT36" s="257"/>
      <c r="AU36" s="257"/>
      <c r="AV36" s="257"/>
      <c r="AW36" s="257"/>
      <c r="AX36" s="257"/>
      <c r="AY36" s="257"/>
      <c r="AZ36" s="257"/>
      <c r="BA36" s="257"/>
      <c r="BB36" s="257"/>
      <c r="BC36" s="257"/>
      <c r="BD36" s="257"/>
      <c r="BE36" s="257"/>
      <c r="BF36" s="258"/>
      <c r="BG36" s="511" t="str">
        <f t="shared" si="0"/>
        <v/>
      </c>
      <c r="BH36" s="511" t="str">
        <f t="shared" si="1"/>
        <v/>
      </c>
      <c r="BI36" s="511" t="str">
        <f t="shared" si="2"/>
        <v/>
      </c>
      <c r="BJ36" s="512" t="str">
        <f t="shared" si="3"/>
        <v/>
      </c>
      <c r="BK36" s="513" t="str">
        <f t="shared" si="4"/>
        <v/>
      </c>
    </row>
    <row r="37" spans="1:63" x14ac:dyDescent="0.25">
      <c r="A37" s="72"/>
      <c r="B37" s="82">
        <v>23</v>
      </c>
      <c r="C37" s="604" t="str">
        <f>'C. FILIACION'!C36</f>
        <v>SIERRA LUNA GABRIEL  GERMAN</v>
      </c>
      <c r="D37" s="604"/>
      <c r="E37" s="257"/>
      <c r="F37" s="257"/>
      <c r="G37" s="257"/>
      <c r="H37" s="257"/>
      <c r="I37" s="257"/>
      <c r="J37" s="257"/>
      <c r="K37" s="257"/>
      <c r="L37" s="257"/>
      <c r="M37" s="257"/>
      <c r="N37" s="257"/>
      <c r="O37" s="257"/>
      <c r="P37" s="257"/>
      <c r="Q37" s="257"/>
      <c r="R37" s="257"/>
      <c r="S37" s="257"/>
      <c r="T37" s="257"/>
      <c r="U37" s="257"/>
      <c r="V37" s="257"/>
      <c r="W37" s="257"/>
      <c r="X37" s="257"/>
      <c r="Y37" s="257"/>
      <c r="Z37" s="257"/>
      <c r="AA37" s="257"/>
      <c r="AB37" s="257"/>
      <c r="AC37" s="257"/>
      <c r="AD37" s="257"/>
      <c r="AE37" s="257"/>
      <c r="AF37" s="257"/>
      <c r="AG37" s="257"/>
      <c r="AH37" s="257"/>
      <c r="AI37" s="257"/>
      <c r="AJ37" s="257"/>
      <c r="AK37" s="257"/>
      <c r="AL37" s="257"/>
      <c r="AM37" s="257"/>
      <c r="AN37" s="257"/>
      <c r="AO37" s="257"/>
      <c r="AP37" s="257"/>
      <c r="AQ37" s="257"/>
      <c r="AR37" s="257"/>
      <c r="AS37" s="257"/>
      <c r="AT37" s="257"/>
      <c r="AU37" s="257"/>
      <c r="AV37" s="257"/>
      <c r="AW37" s="257"/>
      <c r="AX37" s="257"/>
      <c r="AY37" s="257"/>
      <c r="AZ37" s="257"/>
      <c r="BA37" s="257"/>
      <c r="BB37" s="257"/>
      <c r="BC37" s="257"/>
      <c r="BD37" s="257"/>
      <c r="BE37" s="257"/>
      <c r="BF37" s="258"/>
      <c r="BG37" s="511" t="str">
        <f t="shared" si="0"/>
        <v/>
      </c>
      <c r="BH37" s="511" t="str">
        <f t="shared" si="1"/>
        <v/>
      </c>
      <c r="BI37" s="511" t="str">
        <f t="shared" si="2"/>
        <v/>
      </c>
      <c r="BJ37" s="512" t="str">
        <f t="shared" si="3"/>
        <v/>
      </c>
      <c r="BK37" s="513" t="str">
        <f t="shared" si="4"/>
        <v/>
      </c>
    </row>
    <row r="38" spans="1:63" x14ac:dyDescent="0.25">
      <c r="A38" s="72"/>
      <c r="B38" s="82">
        <v>24</v>
      </c>
      <c r="C38" s="604" t="str">
        <f>'C. FILIACION'!C37</f>
        <v>ZEWANE  MARTINEZ LINDA JHAMILETT</v>
      </c>
      <c r="D38" s="604"/>
      <c r="E38" s="257"/>
      <c r="F38" s="257"/>
      <c r="G38" s="257"/>
      <c r="H38" s="257"/>
      <c r="I38" s="257"/>
      <c r="J38" s="257"/>
      <c r="K38" s="257"/>
      <c r="L38" s="257"/>
      <c r="M38" s="257"/>
      <c r="N38" s="257"/>
      <c r="O38" s="257"/>
      <c r="P38" s="257"/>
      <c r="Q38" s="257"/>
      <c r="R38" s="257"/>
      <c r="S38" s="257"/>
      <c r="T38" s="257"/>
      <c r="U38" s="257"/>
      <c r="V38" s="257"/>
      <c r="W38" s="257"/>
      <c r="X38" s="257"/>
      <c r="Y38" s="257"/>
      <c r="Z38" s="257"/>
      <c r="AA38" s="257"/>
      <c r="AB38" s="257"/>
      <c r="AC38" s="257"/>
      <c r="AD38" s="257"/>
      <c r="AE38" s="257"/>
      <c r="AF38" s="257"/>
      <c r="AG38" s="257"/>
      <c r="AH38" s="257"/>
      <c r="AI38" s="257"/>
      <c r="AJ38" s="257"/>
      <c r="AK38" s="257"/>
      <c r="AL38" s="257"/>
      <c r="AM38" s="257"/>
      <c r="AN38" s="257"/>
      <c r="AO38" s="257"/>
      <c r="AP38" s="257"/>
      <c r="AQ38" s="257"/>
      <c r="AR38" s="257"/>
      <c r="AS38" s="257"/>
      <c r="AT38" s="257"/>
      <c r="AU38" s="257"/>
      <c r="AV38" s="257"/>
      <c r="AW38" s="257"/>
      <c r="AX38" s="257"/>
      <c r="AY38" s="257"/>
      <c r="AZ38" s="257"/>
      <c r="BA38" s="257"/>
      <c r="BB38" s="257"/>
      <c r="BC38" s="257"/>
      <c r="BD38" s="257"/>
      <c r="BE38" s="257"/>
      <c r="BF38" s="258"/>
      <c r="BG38" s="511" t="str">
        <f t="shared" si="0"/>
        <v/>
      </c>
      <c r="BH38" s="511" t="str">
        <f t="shared" si="1"/>
        <v/>
      </c>
      <c r="BI38" s="511" t="str">
        <f t="shared" si="2"/>
        <v/>
      </c>
      <c r="BJ38" s="512" t="str">
        <f t="shared" si="3"/>
        <v/>
      </c>
      <c r="BK38" s="513" t="str">
        <f t="shared" si="4"/>
        <v/>
      </c>
    </row>
    <row r="39" spans="1:63" x14ac:dyDescent="0.25">
      <c r="A39" s="72"/>
      <c r="B39" s="82">
        <v>25</v>
      </c>
      <c r="C39" s="604">
        <f>'C. FILIACION'!C38</f>
        <v>0</v>
      </c>
      <c r="D39" s="604"/>
      <c r="E39" s="257"/>
      <c r="F39" s="257"/>
      <c r="G39" s="257"/>
      <c r="H39" s="257"/>
      <c r="I39" s="257"/>
      <c r="J39" s="257"/>
      <c r="K39" s="257"/>
      <c r="L39" s="257"/>
      <c r="M39" s="257"/>
      <c r="N39" s="257"/>
      <c r="O39" s="257"/>
      <c r="P39" s="257"/>
      <c r="Q39" s="257"/>
      <c r="R39" s="257"/>
      <c r="S39" s="257"/>
      <c r="T39" s="257"/>
      <c r="U39" s="257"/>
      <c r="V39" s="257"/>
      <c r="W39" s="257"/>
      <c r="X39" s="257"/>
      <c r="Y39" s="257"/>
      <c r="Z39" s="257"/>
      <c r="AA39" s="257"/>
      <c r="AB39" s="257"/>
      <c r="AC39" s="257"/>
      <c r="AD39" s="257"/>
      <c r="AE39" s="257"/>
      <c r="AF39" s="257"/>
      <c r="AG39" s="257"/>
      <c r="AH39" s="257"/>
      <c r="AI39" s="257"/>
      <c r="AJ39" s="257"/>
      <c r="AK39" s="257"/>
      <c r="AL39" s="257"/>
      <c r="AM39" s="257"/>
      <c r="AN39" s="257"/>
      <c r="AO39" s="257"/>
      <c r="AP39" s="257"/>
      <c r="AQ39" s="257"/>
      <c r="AR39" s="257"/>
      <c r="AS39" s="257"/>
      <c r="AT39" s="257"/>
      <c r="AU39" s="257"/>
      <c r="AV39" s="257"/>
      <c r="AW39" s="257"/>
      <c r="AX39" s="257"/>
      <c r="AY39" s="257"/>
      <c r="AZ39" s="257"/>
      <c r="BA39" s="257"/>
      <c r="BB39" s="257"/>
      <c r="BC39" s="257"/>
      <c r="BD39" s="257"/>
      <c r="BE39" s="257"/>
      <c r="BF39" s="258"/>
      <c r="BG39" s="511" t="str">
        <f t="shared" si="0"/>
        <v/>
      </c>
      <c r="BH39" s="511" t="str">
        <f t="shared" si="1"/>
        <v/>
      </c>
      <c r="BI39" s="511" t="str">
        <f t="shared" si="2"/>
        <v/>
      </c>
      <c r="BJ39" s="512" t="str">
        <f t="shared" si="3"/>
        <v/>
      </c>
      <c r="BK39" s="513" t="str">
        <f t="shared" si="4"/>
        <v/>
      </c>
    </row>
    <row r="40" spans="1:63" x14ac:dyDescent="0.25">
      <c r="A40" s="72"/>
      <c r="B40" s="82">
        <v>26</v>
      </c>
      <c r="C40" s="604">
        <f>'C. FILIACION'!C39</f>
        <v>0</v>
      </c>
      <c r="D40" s="604"/>
      <c r="E40" s="257"/>
      <c r="F40" s="257"/>
      <c r="G40" s="257"/>
      <c r="H40" s="257"/>
      <c r="I40" s="257"/>
      <c r="J40" s="257"/>
      <c r="K40" s="257"/>
      <c r="L40" s="257"/>
      <c r="M40" s="257"/>
      <c r="N40" s="257"/>
      <c r="O40" s="257"/>
      <c r="P40" s="257"/>
      <c r="Q40" s="257"/>
      <c r="R40" s="257"/>
      <c r="S40" s="257"/>
      <c r="T40" s="257"/>
      <c r="U40" s="257"/>
      <c r="V40" s="257"/>
      <c r="W40" s="257"/>
      <c r="X40" s="257"/>
      <c r="Y40" s="257"/>
      <c r="Z40" s="257"/>
      <c r="AA40" s="257"/>
      <c r="AB40" s="257"/>
      <c r="AC40" s="257"/>
      <c r="AD40" s="257"/>
      <c r="AE40" s="257"/>
      <c r="AF40" s="257"/>
      <c r="AG40" s="257"/>
      <c r="AH40" s="257"/>
      <c r="AI40" s="257"/>
      <c r="AJ40" s="257"/>
      <c r="AK40" s="257"/>
      <c r="AL40" s="257"/>
      <c r="AM40" s="257"/>
      <c r="AN40" s="257"/>
      <c r="AO40" s="257"/>
      <c r="AP40" s="257"/>
      <c r="AQ40" s="257"/>
      <c r="AR40" s="257"/>
      <c r="AS40" s="257"/>
      <c r="AT40" s="257"/>
      <c r="AU40" s="257"/>
      <c r="AV40" s="257"/>
      <c r="AW40" s="257"/>
      <c r="AX40" s="257"/>
      <c r="AY40" s="257"/>
      <c r="AZ40" s="257"/>
      <c r="BA40" s="257"/>
      <c r="BB40" s="257"/>
      <c r="BC40" s="257"/>
      <c r="BD40" s="257"/>
      <c r="BE40" s="257"/>
      <c r="BF40" s="258"/>
      <c r="BG40" s="511" t="str">
        <f t="shared" si="0"/>
        <v/>
      </c>
      <c r="BH40" s="511" t="str">
        <f t="shared" si="1"/>
        <v/>
      </c>
      <c r="BI40" s="511" t="str">
        <f t="shared" si="2"/>
        <v/>
      </c>
      <c r="BJ40" s="512" t="str">
        <f t="shared" si="3"/>
        <v/>
      </c>
      <c r="BK40" s="513" t="str">
        <f t="shared" si="4"/>
        <v/>
      </c>
    </row>
    <row r="41" spans="1:63" x14ac:dyDescent="0.25">
      <c r="A41" s="72"/>
      <c r="B41" s="82">
        <v>27</v>
      </c>
      <c r="C41" s="604">
        <f>'C. FILIACION'!C40</f>
        <v>0</v>
      </c>
      <c r="D41" s="604"/>
      <c r="E41" s="257"/>
      <c r="F41" s="257"/>
      <c r="G41" s="257"/>
      <c r="H41" s="257"/>
      <c r="I41" s="257"/>
      <c r="J41" s="257"/>
      <c r="K41" s="257"/>
      <c r="L41" s="257"/>
      <c r="M41" s="257"/>
      <c r="N41" s="257"/>
      <c r="O41" s="257"/>
      <c r="P41" s="257"/>
      <c r="Q41" s="257"/>
      <c r="R41" s="257"/>
      <c r="S41" s="257"/>
      <c r="T41" s="257"/>
      <c r="U41" s="257"/>
      <c r="V41" s="257"/>
      <c r="W41" s="257"/>
      <c r="X41" s="257"/>
      <c r="Y41" s="257"/>
      <c r="Z41" s="257"/>
      <c r="AA41" s="257"/>
      <c r="AB41" s="257"/>
      <c r="AC41" s="257"/>
      <c r="AD41" s="257"/>
      <c r="AE41" s="257"/>
      <c r="AF41" s="257"/>
      <c r="AG41" s="257"/>
      <c r="AH41" s="257"/>
      <c r="AI41" s="257"/>
      <c r="AJ41" s="257"/>
      <c r="AK41" s="257"/>
      <c r="AL41" s="257"/>
      <c r="AM41" s="257"/>
      <c r="AN41" s="257"/>
      <c r="AO41" s="257"/>
      <c r="AP41" s="257"/>
      <c r="AQ41" s="257"/>
      <c r="AR41" s="257"/>
      <c r="AS41" s="257"/>
      <c r="AT41" s="257"/>
      <c r="AU41" s="257"/>
      <c r="AV41" s="257"/>
      <c r="AW41" s="257"/>
      <c r="AX41" s="257"/>
      <c r="AY41" s="257"/>
      <c r="AZ41" s="257"/>
      <c r="BA41" s="257"/>
      <c r="BB41" s="257"/>
      <c r="BC41" s="257"/>
      <c r="BD41" s="257"/>
      <c r="BE41" s="257"/>
      <c r="BF41" s="258"/>
      <c r="BG41" s="511" t="str">
        <f t="shared" si="0"/>
        <v/>
      </c>
      <c r="BH41" s="511" t="str">
        <f t="shared" si="1"/>
        <v/>
      </c>
      <c r="BI41" s="511" t="str">
        <f t="shared" si="2"/>
        <v/>
      </c>
      <c r="BJ41" s="512" t="str">
        <f t="shared" si="3"/>
        <v/>
      </c>
      <c r="BK41" s="513" t="str">
        <f t="shared" si="4"/>
        <v/>
      </c>
    </row>
    <row r="42" spans="1:63" x14ac:dyDescent="0.25">
      <c r="A42" s="72"/>
      <c r="B42" s="82">
        <v>28</v>
      </c>
      <c r="C42" s="604">
        <f>'C. FILIACION'!C41</f>
        <v>0</v>
      </c>
      <c r="D42" s="604"/>
      <c r="E42" s="257"/>
      <c r="F42" s="257"/>
      <c r="G42" s="257"/>
      <c r="H42" s="257"/>
      <c r="I42" s="257"/>
      <c r="J42" s="257"/>
      <c r="K42" s="257"/>
      <c r="L42" s="257"/>
      <c r="M42" s="257"/>
      <c r="N42" s="257"/>
      <c r="O42" s="257"/>
      <c r="P42" s="257"/>
      <c r="Q42" s="257"/>
      <c r="R42" s="257"/>
      <c r="S42" s="257"/>
      <c r="T42" s="257"/>
      <c r="U42" s="257"/>
      <c r="V42" s="257"/>
      <c r="W42" s="257"/>
      <c r="X42" s="257"/>
      <c r="Y42" s="257"/>
      <c r="Z42" s="257"/>
      <c r="AA42" s="257"/>
      <c r="AB42" s="257"/>
      <c r="AC42" s="257"/>
      <c r="AD42" s="257"/>
      <c r="AE42" s="257"/>
      <c r="AF42" s="257"/>
      <c r="AG42" s="257"/>
      <c r="AH42" s="257"/>
      <c r="AI42" s="257"/>
      <c r="AJ42" s="257"/>
      <c r="AK42" s="257"/>
      <c r="AL42" s="257"/>
      <c r="AM42" s="257"/>
      <c r="AN42" s="257"/>
      <c r="AO42" s="257"/>
      <c r="AP42" s="257"/>
      <c r="AQ42" s="257"/>
      <c r="AR42" s="257"/>
      <c r="AS42" s="257"/>
      <c r="AT42" s="257"/>
      <c r="AU42" s="257"/>
      <c r="AV42" s="257"/>
      <c r="AW42" s="257"/>
      <c r="AX42" s="257"/>
      <c r="AY42" s="257"/>
      <c r="AZ42" s="257"/>
      <c r="BA42" s="257"/>
      <c r="BB42" s="257"/>
      <c r="BC42" s="257"/>
      <c r="BD42" s="257"/>
      <c r="BE42" s="257"/>
      <c r="BF42" s="258"/>
      <c r="BG42" s="511" t="str">
        <f t="shared" si="0"/>
        <v/>
      </c>
      <c r="BH42" s="511" t="str">
        <f t="shared" si="1"/>
        <v/>
      </c>
      <c r="BI42" s="511" t="str">
        <f t="shared" si="2"/>
        <v/>
      </c>
      <c r="BJ42" s="512" t="str">
        <f t="shared" si="3"/>
        <v/>
      </c>
      <c r="BK42" s="513" t="str">
        <f t="shared" si="4"/>
        <v/>
      </c>
    </row>
    <row r="43" spans="1:63" x14ac:dyDescent="0.25">
      <c r="A43" s="72"/>
      <c r="B43" s="82">
        <v>29</v>
      </c>
      <c r="C43" s="604">
        <f>'C. FILIACION'!C42</f>
        <v>0</v>
      </c>
      <c r="D43" s="604"/>
      <c r="E43" s="257"/>
      <c r="F43" s="257"/>
      <c r="G43" s="257"/>
      <c r="H43" s="257"/>
      <c r="I43" s="257"/>
      <c r="J43" s="257"/>
      <c r="K43" s="257"/>
      <c r="L43" s="257"/>
      <c r="M43" s="257"/>
      <c r="N43" s="257"/>
      <c r="O43" s="257"/>
      <c r="P43" s="257"/>
      <c r="Q43" s="257"/>
      <c r="R43" s="257"/>
      <c r="S43" s="257"/>
      <c r="T43" s="257"/>
      <c r="U43" s="257"/>
      <c r="V43" s="257"/>
      <c r="W43" s="257"/>
      <c r="X43" s="257"/>
      <c r="Y43" s="257"/>
      <c r="Z43" s="257"/>
      <c r="AA43" s="257"/>
      <c r="AB43" s="257"/>
      <c r="AC43" s="257"/>
      <c r="AD43" s="257"/>
      <c r="AE43" s="257"/>
      <c r="AF43" s="257"/>
      <c r="AG43" s="257"/>
      <c r="AH43" s="257"/>
      <c r="AI43" s="257"/>
      <c r="AJ43" s="257"/>
      <c r="AK43" s="257"/>
      <c r="AL43" s="257"/>
      <c r="AM43" s="257"/>
      <c r="AN43" s="257"/>
      <c r="AO43" s="257"/>
      <c r="AP43" s="257"/>
      <c r="AQ43" s="257"/>
      <c r="AR43" s="257"/>
      <c r="AS43" s="257"/>
      <c r="AT43" s="257"/>
      <c r="AU43" s="257"/>
      <c r="AV43" s="257"/>
      <c r="AW43" s="257"/>
      <c r="AX43" s="257"/>
      <c r="AY43" s="257"/>
      <c r="AZ43" s="257"/>
      <c r="BA43" s="257"/>
      <c r="BB43" s="257"/>
      <c r="BC43" s="257"/>
      <c r="BD43" s="257"/>
      <c r="BE43" s="257"/>
      <c r="BF43" s="258"/>
      <c r="BG43" s="511" t="str">
        <f t="shared" si="0"/>
        <v/>
      </c>
      <c r="BH43" s="511" t="str">
        <f t="shared" si="1"/>
        <v/>
      </c>
      <c r="BI43" s="511" t="str">
        <f t="shared" si="2"/>
        <v/>
      </c>
      <c r="BJ43" s="512" t="str">
        <f t="shared" si="3"/>
        <v/>
      </c>
      <c r="BK43" s="513" t="str">
        <f t="shared" si="4"/>
        <v/>
      </c>
    </row>
    <row r="44" spans="1:63" x14ac:dyDescent="0.25">
      <c r="A44" s="72"/>
      <c r="B44" s="82">
        <v>30</v>
      </c>
      <c r="C44" s="604">
        <f>'C. FILIACION'!C43</f>
        <v>0</v>
      </c>
      <c r="D44" s="604"/>
      <c r="E44" s="257"/>
      <c r="F44" s="257"/>
      <c r="G44" s="257"/>
      <c r="H44" s="257"/>
      <c r="I44" s="257"/>
      <c r="J44" s="257"/>
      <c r="K44" s="257"/>
      <c r="L44" s="257"/>
      <c r="M44" s="257"/>
      <c r="N44" s="257"/>
      <c r="O44" s="257"/>
      <c r="P44" s="257"/>
      <c r="Q44" s="257"/>
      <c r="R44" s="257"/>
      <c r="S44" s="257"/>
      <c r="T44" s="257"/>
      <c r="U44" s="257"/>
      <c r="V44" s="257"/>
      <c r="W44" s="257"/>
      <c r="X44" s="257"/>
      <c r="Y44" s="257"/>
      <c r="Z44" s="257"/>
      <c r="AA44" s="257"/>
      <c r="AB44" s="257"/>
      <c r="AC44" s="257"/>
      <c r="AD44" s="257"/>
      <c r="AE44" s="257"/>
      <c r="AF44" s="257"/>
      <c r="AG44" s="257"/>
      <c r="AH44" s="257"/>
      <c r="AI44" s="257"/>
      <c r="AJ44" s="257"/>
      <c r="AK44" s="257"/>
      <c r="AL44" s="257"/>
      <c r="AM44" s="257"/>
      <c r="AN44" s="257"/>
      <c r="AO44" s="257"/>
      <c r="AP44" s="257"/>
      <c r="AQ44" s="257"/>
      <c r="AR44" s="257"/>
      <c r="AS44" s="257"/>
      <c r="AT44" s="257"/>
      <c r="AU44" s="257"/>
      <c r="AV44" s="257"/>
      <c r="AW44" s="257"/>
      <c r="AX44" s="257"/>
      <c r="AY44" s="257"/>
      <c r="AZ44" s="257"/>
      <c r="BA44" s="257"/>
      <c r="BB44" s="257"/>
      <c r="BC44" s="257"/>
      <c r="BD44" s="257"/>
      <c r="BE44" s="257"/>
      <c r="BF44" s="258"/>
      <c r="BG44" s="511" t="str">
        <f t="shared" si="0"/>
        <v/>
      </c>
      <c r="BH44" s="511" t="str">
        <f t="shared" si="1"/>
        <v/>
      </c>
      <c r="BI44" s="511" t="str">
        <f t="shared" si="2"/>
        <v/>
      </c>
      <c r="BJ44" s="512" t="str">
        <f t="shared" si="3"/>
        <v/>
      </c>
      <c r="BK44" s="513" t="str">
        <f t="shared" si="4"/>
        <v/>
      </c>
    </row>
    <row r="45" spans="1:63" x14ac:dyDescent="0.25">
      <c r="A45" s="72"/>
      <c r="B45" s="82">
        <v>31</v>
      </c>
      <c r="C45" s="604">
        <f>'C. FILIACION'!C44</f>
        <v>0</v>
      </c>
      <c r="D45" s="604"/>
      <c r="E45" s="257"/>
      <c r="F45" s="257"/>
      <c r="G45" s="257"/>
      <c r="H45" s="257"/>
      <c r="I45" s="257"/>
      <c r="J45" s="257"/>
      <c r="K45" s="257"/>
      <c r="L45" s="257"/>
      <c r="M45" s="257"/>
      <c r="N45" s="257"/>
      <c r="O45" s="257"/>
      <c r="P45" s="257"/>
      <c r="Q45" s="257"/>
      <c r="R45" s="257"/>
      <c r="S45" s="257"/>
      <c r="T45" s="257"/>
      <c r="U45" s="257"/>
      <c r="V45" s="257"/>
      <c r="W45" s="257"/>
      <c r="X45" s="257"/>
      <c r="Y45" s="257"/>
      <c r="Z45" s="257"/>
      <c r="AA45" s="257"/>
      <c r="AB45" s="257"/>
      <c r="AC45" s="257"/>
      <c r="AD45" s="257"/>
      <c r="AE45" s="257"/>
      <c r="AF45" s="257"/>
      <c r="AG45" s="257"/>
      <c r="AH45" s="257"/>
      <c r="AI45" s="257"/>
      <c r="AJ45" s="257"/>
      <c r="AK45" s="257"/>
      <c r="AL45" s="257"/>
      <c r="AM45" s="257"/>
      <c r="AN45" s="257"/>
      <c r="AO45" s="257"/>
      <c r="AP45" s="257"/>
      <c r="AQ45" s="257"/>
      <c r="AR45" s="257"/>
      <c r="AS45" s="257"/>
      <c r="AT45" s="257"/>
      <c r="AU45" s="257"/>
      <c r="AV45" s="257"/>
      <c r="AW45" s="257"/>
      <c r="AX45" s="257"/>
      <c r="AY45" s="257"/>
      <c r="AZ45" s="257"/>
      <c r="BA45" s="257"/>
      <c r="BB45" s="257"/>
      <c r="BC45" s="257"/>
      <c r="BD45" s="257"/>
      <c r="BE45" s="257"/>
      <c r="BF45" s="258"/>
      <c r="BG45" s="511" t="str">
        <f t="shared" si="0"/>
        <v/>
      </c>
      <c r="BH45" s="511" t="str">
        <f t="shared" si="1"/>
        <v/>
      </c>
      <c r="BI45" s="511" t="str">
        <f t="shared" si="2"/>
        <v/>
      </c>
      <c r="BJ45" s="512" t="str">
        <f t="shared" si="3"/>
        <v/>
      </c>
      <c r="BK45" s="513" t="str">
        <f t="shared" si="4"/>
        <v/>
      </c>
    </row>
    <row r="46" spans="1:63" x14ac:dyDescent="0.25">
      <c r="A46" s="72"/>
      <c r="B46" s="82">
        <v>32</v>
      </c>
      <c r="C46" s="604">
        <f>'C. FILIACION'!C45</f>
        <v>0</v>
      </c>
      <c r="D46" s="604"/>
      <c r="E46" s="257"/>
      <c r="F46" s="257"/>
      <c r="G46" s="257"/>
      <c r="H46" s="257"/>
      <c r="I46" s="257"/>
      <c r="J46" s="257"/>
      <c r="K46" s="257"/>
      <c r="L46" s="257"/>
      <c r="M46" s="257"/>
      <c r="N46" s="257"/>
      <c r="O46" s="257"/>
      <c r="P46" s="257"/>
      <c r="Q46" s="257"/>
      <c r="R46" s="257"/>
      <c r="S46" s="257"/>
      <c r="T46" s="257"/>
      <c r="U46" s="257"/>
      <c r="V46" s="257"/>
      <c r="W46" s="257"/>
      <c r="X46" s="257"/>
      <c r="Y46" s="257"/>
      <c r="Z46" s="257"/>
      <c r="AA46" s="257"/>
      <c r="AB46" s="257"/>
      <c r="AC46" s="257"/>
      <c r="AD46" s="257"/>
      <c r="AE46" s="257"/>
      <c r="AF46" s="257"/>
      <c r="AG46" s="257"/>
      <c r="AH46" s="257"/>
      <c r="AI46" s="257"/>
      <c r="AJ46" s="257"/>
      <c r="AK46" s="257"/>
      <c r="AL46" s="257"/>
      <c r="AM46" s="257"/>
      <c r="AN46" s="257"/>
      <c r="AO46" s="257"/>
      <c r="AP46" s="257"/>
      <c r="AQ46" s="257"/>
      <c r="AR46" s="257"/>
      <c r="AS46" s="257"/>
      <c r="AT46" s="257"/>
      <c r="AU46" s="257"/>
      <c r="AV46" s="257"/>
      <c r="AW46" s="257"/>
      <c r="AX46" s="257"/>
      <c r="AY46" s="257"/>
      <c r="AZ46" s="257"/>
      <c r="BA46" s="257"/>
      <c r="BB46" s="257"/>
      <c r="BC46" s="257"/>
      <c r="BD46" s="257"/>
      <c r="BE46" s="257"/>
      <c r="BF46" s="258"/>
      <c r="BG46" s="511" t="str">
        <f t="shared" si="0"/>
        <v/>
      </c>
      <c r="BH46" s="511" t="str">
        <f t="shared" si="1"/>
        <v/>
      </c>
      <c r="BI46" s="511" t="str">
        <f t="shared" si="2"/>
        <v/>
      </c>
      <c r="BJ46" s="512" t="str">
        <f t="shared" si="3"/>
        <v/>
      </c>
      <c r="BK46" s="513" t="str">
        <f t="shared" si="4"/>
        <v/>
      </c>
    </row>
    <row r="47" spans="1:63" x14ac:dyDescent="0.25">
      <c r="A47" s="72"/>
      <c r="B47" s="82">
        <v>33</v>
      </c>
      <c r="C47" s="604">
        <f>'C. FILIACION'!C46</f>
        <v>0</v>
      </c>
      <c r="D47" s="604"/>
      <c r="E47" s="257"/>
      <c r="F47" s="257"/>
      <c r="G47" s="257"/>
      <c r="H47" s="257"/>
      <c r="I47" s="257"/>
      <c r="J47" s="257"/>
      <c r="K47" s="257"/>
      <c r="L47" s="257"/>
      <c r="M47" s="257"/>
      <c r="N47" s="257"/>
      <c r="O47" s="257"/>
      <c r="P47" s="257"/>
      <c r="Q47" s="257"/>
      <c r="R47" s="257"/>
      <c r="S47" s="257"/>
      <c r="T47" s="257"/>
      <c r="U47" s="257"/>
      <c r="V47" s="257"/>
      <c r="W47" s="257"/>
      <c r="X47" s="257"/>
      <c r="Y47" s="257"/>
      <c r="Z47" s="257"/>
      <c r="AA47" s="257"/>
      <c r="AB47" s="257"/>
      <c r="AC47" s="257"/>
      <c r="AD47" s="257"/>
      <c r="AE47" s="257"/>
      <c r="AF47" s="257"/>
      <c r="AG47" s="257"/>
      <c r="AH47" s="257"/>
      <c r="AI47" s="257"/>
      <c r="AJ47" s="257"/>
      <c r="AK47" s="257"/>
      <c r="AL47" s="257"/>
      <c r="AM47" s="257"/>
      <c r="AN47" s="257"/>
      <c r="AO47" s="257"/>
      <c r="AP47" s="257"/>
      <c r="AQ47" s="257"/>
      <c r="AR47" s="257"/>
      <c r="AS47" s="257"/>
      <c r="AT47" s="257"/>
      <c r="AU47" s="257"/>
      <c r="AV47" s="257"/>
      <c r="AW47" s="257"/>
      <c r="AX47" s="257"/>
      <c r="AY47" s="257"/>
      <c r="AZ47" s="257"/>
      <c r="BA47" s="257"/>
      <c r="BB47" s="257"/>
      <c r="BC47" s="257"/>
      <c r="BD47" s="257"/>
      <c r="BE47" s="257"/>
      <c r="BF47" s="258"/>
      <c r="BG47" s="511" t="str">
        <f t="shared" si="0"/>
        <v/>
      </c>
      <c r="BH47" s="511" t="str">
        <f t="shared" si="1"/>
        <v/>
      </c>
      <c r="BI47" s="511" t="str">
        <f t="shared" si="2"/>
        <v/>
      </c>
      <c r="BJ47" s="512" t="str">
        <f t="shared" si="3"/>
        <v/>
      </c>
      <c r="BK47" s="513" t="str">
        <f t="shared" si="4"/>
        <v/>
      </c>
    </row>
    <row r="48" spans="1:63" x14ac:dyDescent="0.25">
      <c r="A48" s="72"/>
      <c r="B48" s="82">
        <v>34</v>
      </c>
      <c r="C48" s="604">
        <f>'C. FILIACION'!C47</f>
        <v>0</v>
      </c>
      <c r="D48" s="604"/>
      <c r="E48" s="257"/>
      <c r="F48" s="257"/>
      <c r="G48" s="257"/>
      <c r="H48" s="257"/>
      <c r="I48" s="257"/>
      <c r="J48" s="257"/>
      <c r="K48" s="257"/>
      <c r="L48" s="257"/>
      <c r="M48" s="257"/>
      <c r="N48" s="257"/>
      <c r="O48" s="257"/>
      <c r="P48" s="257"/>
      <c r="Q48" s="257"/>
      <c r="R48" s="257"/>
      <c r="S48" s="257"/>
      <c r="T48" s="257"/>
      <c r="U48" s="257"/>
      <c r="V48" s="257"/>
      <c r="W48" s="257"/>
      <c r="X48" s="257"/>
      <c r="Y48" s="257"/>
      <c r="Z48" s="257"/>
      <c r="AA48" s="257"/>
      <c r="AB48" s="257"/>
      <c r="AC48" s="257"/>
      <c r="AD48" s="257"/>
      <c r="AE48" s="257"/>
      <c r="AF48" s="257"/>
      <c r="AG48" s="257"/>
      <c r="AH48" s="257"/>
      <c r="AI48" s="257"/>
      <c r="AJ48" s="257"/>
      <c r="AK48" s="257"/>
      <c r="AL48" s="257"/>
      <c r="AM48" s="257"/>
      <c r="AN48" s="257"/>
      <c r="AO48" s="257"/>
      <c r="AP48" s="257"/>
      <c r="AQ48" s="257"/>
      <c r="AR48" s="257"/>
      <c r="AS48" s="257"/>
      <c r="AT48" s="257"/>
      <c r="AU48" s="257"/>
      <c r="AV48" s="257"/>
      <c r="AW48" s="257"/>
      <c r="AX48" s="257"/>
      <c r="AY48" s="257"/>
      <c r="AZ48" s="257"/>
      <c r="BA48" s="257"/>
      <c r="BB48" s="257"/>
      <c r="BC48" s="257"/>
      <c r="BD48" s="257"/>
      <c r="BE48" s="257"/>
      <c r="BF48" s="258"/>
      <c r="BG48" s="511" t="str">
        <f t="shared" si="0"/>
        <v/>
      </c>
      <c r="BH48" s="511" t="str">
        <f t="shared" si="1"/>
        <v/>
      </c>
      <c r="BI48" s="511" t="str">
        <f t="shared" si="2"/>
        <v/>
      </c>
      <c r="BJ48" s="512" t="str">
        <f t="shared" si="3"/>
        <v/>
      </c>
      <c r="BK48" s="513" t="str">
        <f t="shared" si="4"/>
        <v/>
      </c>
    </row>
    <row r="49" spans="1:67" x14ac:dyDescent="0.25">
      <c r="A49" s="72"/>
      <c r="B49" s="82">
        <v>35</v>
      </c>
      <c r="C49" s="604">
        <f>'C. FILIACION'!C48</f>
        <v>0</v>
      </c>
      <c r="D49" s="604"/>
      <c r="E49" s="257"/>
      <c r="F49" s="257"/>
      <c r="G49" s="257"/>
      <c r="H49" s="257"/>
      <c r="I49" s="257"/>
      <c r="J49" s="257"/>
      <c r="K49" s="257"/>
      <c r="L49" s="257"/>
      <c r="M49" s="257"/>
      <c r="N49" s="257"/>
      <c r="O49" s="257"/>
      <c r="P49" s="257"/>
      <c r="Q49" s="257"/>
      <c r="R49" s="257"/>
      <c r="S49" s="257"/>
      <c r="T49" s="257"/>
      <c r="U49" s="257"/>
      <c r="V49" s="257"/>
      <c r="W49" s="257"/>
      <c r="X49" s="257"/>
      <c r="Y49" s="257"/>
      <c r="Z49" s="257"/>
      <c r="AA49" s="257"/>
      <c r="AB49" s="257"/>
      <c r="AC49" s="257"/>
      <c r="AD49" s="257"/>
      <c r="AE49" s="257"/>
      <c r="AF49" s="257"/>
      <c r="AG49" s="257"/>
      <c r="AH49" s="257"/>
      <c r="AI49" s="257"/>
      <c r="AJ49" s="257"/>
      <c r="AK49" s="257"/>
      <c r="AL49" s="257"/>
      <c r="AM49" s="257"/>
      <c r="AN49" s="257"/>
      <c r="AO49" s="257"/>
      <c r="AP49" s="257"/>
      <c r="AQ49" s="257"/>
      <c r="AR49" s="257"/>
      <c r="AS49" s="257"/>
      <c r="AT49" s="257"/>
      <c r="AU49" s="257"/>
      <c r="AV49" s="257"/>
      <c r="AW49" s="257"/>
      <c r="AX49" s="257"/>
      <c r="AY49" s="257"/>
      <c r="AZ49" s="257"/>
      <c r="BA49" s="257"/>
      <c r="BB49" s="257"/>
      <c r="BC49" s="257"/>
      <c r="BD49" s="257"/>
      <c r="BE49" s="257"/>
      <c r="BF49" s="258"/>
      <c r="BG49" s="511" t="str">
        <f t="shared" si="0"/>
        <v/>
      </c>
      <c r="BH49" s="511" t="str">
        <f t="shared" si="1"/>
        <v/>
      </c>
      <c r="BI49" s="511" t="str">
        <f t="shared" si="2"/>
        <v/>
      </c>
      <c r="BJ49" s="512" t="str">
        <f t="shared" si="3"/>
        <v/>
      </c>
      <c r="BK49" s="513" t="str">
        <f t="shared" si="4"/>
        <v/>
      </c>
    </row>
    <row r="50" spans="1:67" x14ac:dyDescent="0.25">
      <c r="A50" s="72"/>
      <c r="B50" s="82">
        <v>36</v>
      </c>
      <c r="C50" s="604">
        <f>'C. FILIACION'!C49</f>
        <v>0</v>
      </c>
      <c r="D50" s="604"/>
      <c r="E50" s="257"/>
      <c r="F50" s="257"/>
      <c r="G50" s="257"/>
      <c r="H50" s="257"/>
      <c r="I50" s="257"/>
      <c r="J50" s="257"/>
      <c r="K50" s="257"/>
      <c r="L50" s="257"/>
      <c r="M50" s="257"/>
      <c r="N50" s="257"/>
      <c r="O50" s="257"/>
      <c r="P50" s="257"/>
      <c r="Q50" s="257"/>
      <c r="R50" s="257"/>
      <c r="S50" s="257"/>
      <c r="T50" s="257"/>
      <c r="U50" s="257"/>
      <c r="V50" s="257"/>
      <c r="W50" s="257"/>
      <c r="X50" s="257"/>
      <c r="Y50" s="257"/>
      <c r="Z50" s="257"/>
      <c r="AA50" s="257"/>
      <c r="AB50" s="257"/>
      <c r="AC50" s="257"/>
      <c r="AD50" s="257"/>
      <c r="AE50" s="257"/>
      <c r="AF50" s="257"/>
      <c r="AG50" s="257"/>
      <c r="AH50" s="257"/>
      <c r="AI50" s="257"/>
      <c r="AJ50" s="257"/>
      <c r="AK50" s="257"/>
      <c r="AL50" s="257"/>
      <c r="AM50" s="257"/>
      <c r="AN50" s="257"/>
      <c r="AO50" s="257"/>
      <c r="AP50" s="257"/>
      <c r="AQ50" s="257"/>
      <c r="AR50" s="257"/>
      <c r="AS50" s="257"/>
      <c r="AT50" s="257"/>
      <c r="AU50" s="257"/>
      <c r="AV50" s="257"/>
      <c r="AW50" s="257"/>
      <c r="AX50" s="257"/>
      <c r="AY50" s="257"/>
      <c r="AZ50" s="257"/>
      <c r="BA50" s="257"/>
      <c r="BB50" s="257"/>
      <c r="BC50" s="257"/>
      <c r="BD50" s="257"/>
      <c r="BE50" s="257"/>
      <c r="BF50" s="258"/>
      <c r="BG50" s="511" t="str">
        <f t="shared" si="0"/>
        <v/>
      </c>
      <c r="BH50" s="511" t="str">
        <f t="shared" si="1"/>
        <v/>
      </c>
      <c r="BI50" s="511" t="str">
        <f t="shared" si="2"/>
        <v/>
      </c>
      <c r="BJ50" s="512" t="str">
        <f t="shared" si="3"/>
        <v/>
      </c>
      <c r="BK50" s="513" t="str">
        <f t="shared" si="4"/>
        <v/>
      </c>
    </row>
    <row r="51" spans="1:67" x14ac:dyDescent="0.25">
      <c r="A51" s="72"/>
      <c r="B51" s="82">
        <v>37</v>
      </c>
      <c r="C51" s="604">
        <f>'C. FILIACION'!C50</f>
        <v>0</v>
      </c>
      <c r="D51" s="604"/>
      <c r="E51" s="257"/>
      <c r="F51" s="257"/>
      <c r="G51" s="257"/>
      <c r="H51" s="257"/>
      <c r="I51" s="257"/>
      <c r="J51" s="257"/>
      <c r="K51" s="257"/>
      <c r="L51" s="257"/>
      <c r="M51" s="257"/>
      <c r="N51" s="257"/>
      <c r="O51" s="257"/>
      <c r="P51" s="257"/>
      <c r="Q51" s="257"/>
      <c r="R51" s="257"/>
      <c r="S51" s="257"/>
      <c r="T51" s="257"/>
      <c r="U51" s="257"/>
      <c r="V51" s="257"/>
      <c r="W51" s="257"/>
      <c r="X51" s="257"/>
      <c r="Y51" s="257"/>
      <c r="Z51" s="257"/>
      <c r="AA51" s="257"/>
      <c r="AB51" s="257"/>
      <c r="AC51" s="257"/>
      <c r="AD51" s="257"/>
      <c r="AE51" s="257"/>
      <c r="AF51" s="257"/>
      <c r="AG51" s="257"/>
      <c r="AH51" s="257"/>
      <c r="AI51" s="257"/>
      <c r="AJ51" s="257"/>
      <c r="AK51" s="257"/>
      <c r="AL51" s="257"/>
      <c r="AM51" s="257"/>
      <c r="AN51" s="257"/>
      <c r="AO51" s="257"/>
      <c r="AP51" s="257"/>
      <c r="AQ51" s="257"/>
      <c r="AR51" s="257"/>
      <c r="AS51" s="257"/>
      <c r="AT51" s="257"/>
      <c r="AU51" s="257"/>
      <c r="AV51" s="257"/>
      <c r="AW51" s="257"/>
      <c r="AX51" s="257"/>
      <c r="AY51" s="257"/>
      <c r="AZ51" s="257"/>
      <c r="BA51" s="257"/>
      <c r="BB51" s="257"/>
      <c r="BC51" s="257"/>
      <c r="BD51" s="257"/>
      <c r="BE51" s="257"/>
      <c r="BF51" s="258"/>
      <c r="BG51" s="511" t="str">
        <f t="shared" si="0"/>
        <v/>
      </c>
      <c r="BH51" s="511" t="str">
        <f t="shared" si="1"/>
        <v/>
      </c>
      <c r="BI51" s="511" t="str">
        <f t="shared" si="2"/>
        <v/>
      </c>
      <c r="BJ51" s="512" t="str">
        <f t="shared" si="3"/>
        <v/>
      </c>
      <c r="BK51" s="513" t="str">
        <f t="shared" si="4"/>
        <v/>
      </c>
    </row>
    <row r="52" spans="1:67" x14ac:dyDescent="0.25">
      <c r="A52" s="72"/>
      <c r="B52" s="82">
        <v>38</v>
      </c>
      <c r="C52" s="604">
        <f>'C. FILIACION'!C51</f>
        <v>0</v>
      </c>
      <c r="D52" s="604"/>
      <c r="E52" s="257"/>
      <c r="F52" s="257"/>
      <c r="G52" s="257"/>
      <c r="H52" s="257"/>
      <c r="I52" s="257"/>
      <c r="J52" s="257"/>
      <c r="K52" s="257"/>
      <c r="L52" s="257"/>
      <c r="M52" s="257"/>
      <c r="N52" s="257"/>
      <c r="O52" s="257"/>
      <c r="P52" s="257"/>
      <c r="Q52" s="257"/>
      <c r="R52" s="257"/>
      <c r="S52" s="257"/>
      <c r="T52" s="257"/>
      <c r="U52" s="257"/>
      <c r="V52" s="257"/>
      <c r="W52" s="257"/>
      <c r="X52" s="257"/>
      <c r="Y52" s="257"/>
      <c r="Z52" s="257"/>
      <c r="AA52" s="257"/>
      <c r="AB52" s="257"/>
      <c r="AC52" s="257"/>
      <c r="AD52" s="257"/>
      <c r="AE52" s="257"/>
      <c r="AF52" s="257"/>
      <c r="AG52" s="257"/>
      <c r="AH52" s="257"/>
      <c r="AI52" s="257"/>
      <c r="AJ52" s="257"/>
      <c r="AK52" s="257"/>
      <c r="AL52" s="257"/>
      <c r="AM52" s="257"/>
      <c r="AN52" s="257"/>
      <c r="AO52" s="257"/>
      <c r="AP52" s="257"/>
      <c r="AQ52" s="257"/>
      <c r="AR52" s="257"/>
      <c r="AS52" s="257"/>
      <c r="AT52" s="257"/>
      <c r="AU52" s="257"/>
      <c r="AV52" s="257"/>
      <c r="AW52" s="257"/>
      <c r="AX52" s="257"/>
      <c r="AY52" s="257"/>
      <c r="AZ52" s="257"/>
      <c r="BA52" s="257"/>
      <c r="BB52" s="257"/>
      <c r="BC52" s="257"/>
      <c r="BD52" s="257"/>
      <c r="BE52" s="257"/>
      <c r="BF52" s="258"/>
      <c r="BG52" s="511" t="str">
        <f t="shared" si="0"/>
        <v/>
      </c>
      <c r="BH52" s="511" t="str">
        <f t="shared" si="1"/>
        <v/>
      </c>
      <c r="BI52" s="511" t="str">
        <f t="shared" si="2"/>
        <v/>
      </c>
      <c r="BJ52" s="512" t="str">
        <f t="shared" si="3"/>
        <v/>
      </c>
      <c r="BK52" s="513" t="str">
        <f t="shared" si="4"/>
        <v/>
      </c>
    </row>
    <row r="53" spans="1:67" x14ac:dyDescent="0.25">
      <c r="A53" s="72"/>
      <c r="B53" s="82">
        <v>39</v>
      </c>
      <c r="C53" s="604">
        <f>'C. FILIACION'!C52</f>
        <v>0</v>
      </c>
      <c r="D53" s="604"/>
      <c r="E53" s="257"/>
      <c r="F53" s="257"/>
      <c r="G53" s="257"/>
      <c r="H53" s="257"/>
      <c r="I53" s="257"/>
      <c r="J53" s="257"/>
      <c r="K53" s="257"/>
      <c r="L53" s="257"/>
      <c r="M53" s="257"/>
      <c r="N53" s="257"/>
      <c r="O53" s="257"/>
      <c r="P53" s="257"/>
      <c r="Q53" s="257"/>
      <c r="R53" s="257"/>
      <c r="S53" s="257"/>
      <c r="T53" s="257"/>
      <c r="U53" s="257"/>
      <c r="V53" s="257"/>
      <c r="W53" s="257"/>
      <c r="X53" s="257"/>
      <c r="Y53" s="257"/>
      <c r="Z53" s="257"/>
      <c r="AA53" s="257"/>
      <c r="AB53" s="257"/>
      <c r="AC53" s="257"/>
      <c r="AD53" s="257"/>
      <c r="AE53" s="257"/>
      <c r="AF53" s="257"/>
      <c r="AG53" s="257"/>
      <c r="AH53" s="257"/>
      <c r="AI53" s="257"/>
      <c r="AJ53" s="257"/>
      <c r="AK53" s="257"/>
      <c r="AL53" s="257"/>
      <c r="AM53" s="257"/>
      <c r="AN53" s="257"/>
      <c r="AO53" s="257"/>
      <c r="AP53" s="257"/>
      <c r="AQ53" s="257"/>
      <c r="AR53" s="257"/>
      <c r="AS53" s="257"/>
      <c r="AT53" s="257"/>
      <c r="AU53" s="257"/>
      <c r="AV53" s="257"/>
      <c r="AW53" s="257"/>
      <c r="AX53" s="257"/>
      <c r="AY53" s="257"/>
      <c r="AZ53" s="257"/>
      <c r="BA53" s="257"/>
      <c r="BB53" s="257"/>
      <c r="BC53" s="257"/>
      <c r="BD53" s="257"/>
      <c r="BE53" s="257"/>
      <c r="BF53" s="258"/>
      <c r="BG53" s="511" t="str">
        <f t="shared" si="0"/>
        <v/>
      </c>
      <c r="BH53" s="511" t="str">
        <f t="shared" si="1"/>
        <v/>
      </c>
      <c r="BI53" s="511" t="str">
        <f t="shared" si="2"/>
        <v/>
      </c>
      <c r="BJ53" s="512" t="str">
        <f t="shared" si="3"/>
        <v/>
      </c>
      <c r="BK53" s="513" t="str">
        <f t="shared" si="4"/>
        <v/>
      </c>
    </row>
    <row r="54" spans="1:67" x14ac:dyDescent="0.25">
      <c r="A54" s="72"/>
      <c r="B54" s="82">
        <v>40</v>
      </c>
      <c r="C54" s="604">
        <f>'C. FILIACION'!C53</f>
        <v>0</v>
      </c>
      <c r="D54" s="604"/>
      <c r="E54" s="257"/>
      <c r="F54" s="257"/>
      <c r="G54" s="257"/>
      <c r="H54" s="257"/>
      <c r="I54" s="257"/>
      <c r="J54" s="257"/>
      <c r="K54" s="257"/>
      <c r="L54" s="257"/>
      <c r="M54" s="257"/>
      <c r="N54" s="257"/>
      <c r="O54" s="257"/>
      <c r="P54" s="257"/>
      <c r="Q54" s="257"/>
      <c r="R54" s="257"/>
      <c r="S54" s="257"/>
      <c r="T54" s="257"/>
      <c r="U54" s="257"/>
      <c r="V54" s="257"/>
      <c r="W54" s="257"/>
      <c r="X54" s="257"/>
      <c r="Y54" s="257"/>
      <c r="Z54" s="257"/>
      <c r="AA54" s="257"/>
      <c r="AB54" s="257"/>
      <c r="AC54" s="257"/>
      <c r="AD54" s="257"/>
      <c r="AE54" s="257"/>
      <c r="AF54" s="257"/>
      <c r="AG54" s="257"/>
      <c r="AH54" s="257"/>
      <c r="AI54" s="257"/>
      <c r="AJ54" s="257"/>
      <c r="AK54" s="257"/>
      <c r="AL54" s="257"/>
      <c r="AM54" s="257"/>
      <c r="AN54" s="257"/>
      <c r="AO54" s="257"/>
      <c r="AP54" s="257"/>
      <c r="AQ54" s="257"/>
      <c r="AR54" s="257"/>
      <c r="AS54" s="257"/>
      <c r="AT54" s="257"/>
      <c r="AU54" s="257"/>
      <c r="AV54" s="257"/>
      <c r="AW54" s="257"/>
      <c r="AX54" s="257"/>
      <c r="AY54" s="257"/>
      <c r="AZ54" s="257"/>
      <c r="BA54" s="257"/>
      <c r="BB54" s="257"/>
      <c r="BC54" s="257"/>
      <c r="BD54" s="257"/>
      <c r="BE54" s="257"/>
      <c r="BF54" s="258"/>
      <c r="BG54" s="511" t="str">
        <f t="shared" si="0"/>
        <v/>
      </c>
      <c r="BH54" s="511" t="str">
        <f t="shared" si="1"/>
        <v/>
      </c>
      <c r="BI54" s="511" t="str">
        <f t="shared" si="2"/>
        <v/>
      </c>
      <c r="BJ54" s="512" t="str">
        <f t="shared" si="3"/>
        <v/>
      </c>
      <c r="BK54" s="513" t="str">
        <f t="shared" si="4"/>
        <v/>
      </c>
    </row>
    <row r="55" spans="1:67" x14ac:dyDescent="0.25">
      <c r="A55" s="72"/>
      <c r="B55" s="82">
        <v>41</v>
      </c>
      <c r="C55" s="604">
        <f>'C. FILIACION'!C54</f>
        <v>0</v>
      </c>
      <c r="D55" s="604"/>
      <c r="E55" s="257"/>
      <c r="F55" s="257"/>
      <c r="G55" s="257"/>
      <c r="H55" s="257"/>
      <c r="I55" s="257"/>
      <c r="J55" s="257"/>
      <c r="K55" s="257"/>
      <c r="L55" s="257"/>
      <c r="M55" s="257"/>
      <c r="N55" s="257"/>
      <c r="O55" s="257"/>
      <c r="P55" s="257"/>
      <c r="Q55" s="257"/>
      <c r="R55" s="257"/>
      <c r="S55" s="257"/>
      <c r="T55" s="257"/>
      <c r="U55" s="257"/>
      <c r="V55" s="257"/>
      <c r="W55" s="257"/>
      <c r="X55" s="257"/>
      <c r="Y55" s="257"/>
      <c r="Z55" s="257"/>
      <c r="AA55" s="257"/>
      <c r="AB55" s="257"/>
      <c r="AC55" s="257"/>
      <c r="AD55" s="257"/>
      <c r="AE55" s="257"/>
      <c r="AF55" s="257"/>
      <c r="AG55" s="257"/>
      <c r="AH55" s="257"/>
      <c r="AI55" s="257"/>
      <c r="AJ55" s="257"/>
      <c r="AK55" s="257"/>
      <c r="AL55" s="257"/>
      <c r="AM55" s="257"/>
      <c r="AN55" s="257"/>
      <c r="AO55" s="257"/>
      <c r="AP55" s="257"/>
      <c r="AQ55" s="257"/>
      <c r="AR55" s="257"/>
      <c r="AS55" s="257"/>
      <c r="AT55" s="257"/>
      <c r="AU55" s="257"/>
      <c r="AV55" s="257"/>
      <c r="AW55" s="257"/>
      <c r="AX55" s="257"/>
      <c r="AY55" s="257"/>
      <c r="AZ55" s="257"/>
      <c r="BA55" s="257"/>
      <c r="BB55" s="257"/>
      <c r="BC55" s="257"/>
      <c r="BD55" s="257"/>
      <c r="BE55" s="257"/>
      <c r="BF55" s="258"/>
      <c r="BG55" s="511" t="str">
        <f t="shared" si="0"/>
        <v/>
      </c>
      <c r="BH55" s="511" t="str">
        <f t="shared" si="1"/>
        <v/>
      </c>
      <c r="BI55" s="511" t="str">
        <f t="shared" si="2"/>
        <v/>
      </c>
      <c r="BJ55" s="512" t="str">
        <f t="shared" si="3"/>
        <v/>
      </c>
      <c r="BK55" s="513" t="str">
        <f t="shared" si="4"/>
        <v/>
      </c>
    </row>
    <row r="56" spans="1:67" x14ac:dyDescent="0.25">
      <c r="A56" s="72"/>
      <c r="B56" s="82">
        <v>42</v>
      </c>
      <c r="C56" s="604">
        <f>'C. FILIACION'!C55</f>
        <v>0</v>
      </c>
      <c r="D56" s="604"/>
      <c r="E56" s="257"/>
      <c r="F56" s="257"/>
      <c r="G56" s="257"/>
      <c r="H56" s="257"/>
      <c r="I56" s="257"/>
      <c r="J56" s="257"/>
      <c r="K56" s="257"/>
      <c r="L56" s="257"/>
      <c r="M56" s="257"/>
      <c r="N56" s="257"/>
      <c r="O56" s="257"/>
      <c r="P56" s="257"/>
      <c r="Q56" s="257"/>
      <c r="R56" s="257"/>
      <c r="S56" s="257"/>
      <c r="T56" s="257"/>
      <c r="U56" s="257"/>
      <c r="V56" s="257"/>
      <c r="W56" s="257"/>
      <c r="X56" s="257"/>
      <c r="Y56" s="257"/>
      <c r="Z56" s="257"/>
      <c r="AA56" s="257"/>
      <c r="AB56" s="257"/>
      <c r="AC56" s="257"/>
      <c r="AD56" s="257"/>
      <c r="AE56" s="257"/>
      <c r="AF56" s="257"/>
      <c r="AG56" s="257"/>
      <c r="AH56" s="257"/>
      <c r="AI56" s="257"/>
      <c r="AJ56" s="257"/>
      <c r="AK56" s="257"/>
      <c r="AL56" s="257"/>
      <c r="AM56" s="257"/>
      <c r="AN56" s="257"/>
      <c r="AO56" s="257"/>
      <c r="AP56" s="257"/>
      <c r="AQ56" s="257"/>
      <c r="AR56" s="257"/>
      <c r="AS56" s="257"/>
      <c r="AT56" s="257"/>
      <c r="AU56" s="257"/>
      <c r="AV56" s="257"/>
      <c r="AW56" s="257"/>
      <c r="AX56" s="257"/>
      <c r="AY56" s="257"/>
      <c r="AZ56" s="257"/>
      <c r="BA56" s="257"/>
      <c r="BB56" s="257"/>
      <c r="BC56" s="257"/>
      <c r="BD56" s="257"/>
      <c r="BE56" s="257"/>
      <c r="BF56" s="258"/>
      <c r="BG56" s="511" t="str">
        <f t="shared" si="0"/>
        <v/>
      </c>
      <c r="BH56" s="511" t="str">
        <f t="shared" si="1"/>
        <v/>
      </c>
      <c r="BI56" s="511" t="str">
        <f t="shared" si="2"/>
        <v/>
      </c>
      <c r="BJ56" s="512" t="str">
        <f t="shared" si="3"/>
        <v/>
      </c>
      <c r="BK56" s="513" t="str">
        <f t="shared" si="4"/>
        <v/>
      </c>
    </row>
    <row r="57" spans="1:67" x14ac:dyDescent="0.25">
      <c r="A57" s="72"/>
      <c r="B57" s="82">
        <v>43</v>
      </c>
      <c r="C57" s="604">
        <f>'C. FILIACION'!C56</f>
        <v>0</v>
      </c>
      <c r="D57" s="604"/>
      <c r="E57" s="257"/>
      <c r="F57" s="257"/>
      <c r="G57" s="257"/>
      <c r="H57" s="257"/>
      <c r="I57" s="257"/>
      <c r="J57" s="257"/>
      <c r="K57" s="257"/>
      <c r="L57" s="257"/>
      <c r="M57" s="257"/>
      <c r="N57" s="257"/>
      <c r="O57" s="257"/>
      <c r="P57" s="257"/>
      <c r="Q57" s="257"/>
      <c r="R57" s="257"/>
      <c r="S57" s="257"/>
      <c r="T57" s="257"/>
      <c r="U57" s="257"/>
      <c r="V57" s="257"/>
      <c r="W57" s="257"/>
      <c r="X57" s="257"/>
      <c r="Y57" s="257"/>
      <c r="Z57" s="257"/>
      <c r="AA57" s="257"/>
      <c r="AB57" s="257"/>
      <c r="AC57" s="257"/>
      <c r="AD57" s="257"/>
      <c r="AE57" s="257"/>
      <c r="AF57" s="257"/>
      <c r="AG57" s="257"/>
      <c r="AH57" s="257"/>
      <c r="AI57" s="257"/>
      <c r="AJ57" s="257"/>
      <c r="AK57" s="257"/>
      <c r="AL57" s="257"/>
      <c r="AM57" s="257"/>
      <c r="AN57" s="257"/>
      <c r="AO57" s="257"/>
      <c r="AP57" s="257"/>
      <c r="AQ57" s="257"/>
      <c r="AR57" s="257"/>
      <c r="AS57" s="257"/>
      <c r="AT57" s="257"/>
      <c r="AU57" s="257"/>
      <c r="AV57" s="257"/>
      <c r="AW57" s="257"/>
      <c r="AX57" s="257"/>
      <c r="AY57" s="257"/>
      <c r="AZ57" s="257"/>
      <c r="BA57" s="257"/>
      <c r="BB57" s="257"/>
      <c r="BC57" s="257"/>
      <c r="BD57" s="257"/>
      <c r="BE57" s="257"/>
      <c r="BF57" s="258"/>
      <c r="BG57" s="511" t="str">
        <f t="shared" si="0"/>
        <v/>
      </c>
      <c r="BH57" s="511" t="str">
        <f t="shared" si="1"/>
        <v/>
      </c>
      <c r="BI57" s="511" t="str">
        <f t="shared" si="2"/>
        <v/>
      </c>
      <c r="BJ57" s="512" t="str">
        <f t="shared" si="3"/>
        <v/>
      </c>
      <c r="BK57" s="513" t="str">
        <f t="shared" si="4"/>
        <v/>
      </c>
    </row>
    <row r="58" spans="1:67" x14ac:dyDescent="0.25">
      <c r="A58" s="72"/>
      <c r="B58" s="82">
        <v>44</v>
      </c>
      <c r="C58" s="604">
        <f>'C. FILIACION'!C57</f>
        <v>0</v>
      </c>
      <c r="D58" s="604"/>
      <c r="E58" s="257"/>
      <c r="F58" s="257"/>
      <c r="G58" s="257"/>
      <c r="H58" s="257"/>
      <c r="I58" s="257"/>
      <c r="J58" s="257"/>
      <c r="K58" s="257"/>
      <c r="L58" s="257"/>
      <c r="M58" s="257"/>
      <c r="N58" s="257"/>
      <c r="O58" s="257"/>
      <c r="P58" s="257"/>
      <c r="Q58" s="257"/>
      <c r="R58" s="257"/>
      <c r="S58" s="257"/>
      <c r="T58" s="257"/>
      <c r="U58" s="257"/>
      <c r="V58" s="257"/>
      <c r="W58" s="257"/>
      <c r="X58" s="257"/>
      <c r="Y58" s="257"/>
      <c r="Z58" s="257"/>
      <c r="AA58" s="257"/>
      <c r="AB58" s="257"/>
      <c r="AC58" s="257"/>
      <c r="AD58" s="257"/>
      <c r="AE58" s="257"/>
      <c r="AF58" s="257"/>
      <c r="AG58" s="257"/>
      <c r="AH58" s="257"/>
      <c r="AI58" s="257"/>
      <c r="AJ58" s="257"/>
      <c r="AK58" s="257"/>
      <c r="AL58" s="257"/>
      <c r="AM58" s="257"/>
      <c r="AN58" s="257"/>
      <c r="AO58" s="257"/>
      <c r="AP58" s="257"/>
      <c r="AQ58" s="257"/>
      <c r="AR58" s="257"/>
      <c r="AS58" s="257"/>
      <c r="AT58" s="257"/>
      <c r="AU58" s="257"/>
      <c r="AV58" s="257"/>
      <c r="AW58" s="257"/>
      <c r="AX58" s="257"/>
      <c r="AY58" s="257"/>
      <c r="AZ58" s="257"/>
      <c r="BA58" s="257"/>
      <c r="BB58" s="257"/>
      <c r="BC58" s="257"/>
      <c r="BD58" s="257"/>
      <c r="BE58" s="257"/>
      <c r="BF58" s="258"/>
      <c r="BG58" s="511" t="str">
        <f t="shared" si="0"/>
        <v/>
      </c>
      <c r="BH58" s="511" t="str">
        <f t="shared" si="1"/>
        <v/>
      </c>
      <c r="BI58" s="511" t="str">
        <f t="shared" si="2"/>
        <v/>
      </c>
      <c r="BJ58" s="512" t="str">
        <f t="shared" si="3"/>
        <v/>
      </c>
      <c r="BK58" s="513" t="str">
        <f t="shared" si="4"/>
        <v/>
      </c>
    </row>
    <row r="59" spans="1:67" x14ac:dyDescent="0.25">
      <c r="A59" s="72"/>
      <c r="B59" s="82">
        <v>45</v>
      </c>
      <c r="C59" s="604">
        <f>'C. FILIACION'!C58</f>
        <v>0</v>
      </c>
      <c r="D59" s="604"/>
      <c r="E59" s="257"/>
      <c r="F59" s="257"/>
      <c r="G59" s="257"/>
      <c r="H59" s="257"/>
      <c r="I59" s="257"/>
      <c r="J59" s="257"/>
      <c r="K59" s="257"/>
      <c r="L59" s="257"/>
      <c r="M59" s="257"/>
      <c r="N59" s="257"/>
      <c r="O59" s="257"/>
      <c r="P59" s="257"/>
      <c r="Q59" s="257"/>
      <c r="R59" s="257"/>
      <c r="S59" s="257"/>
      <c r="T59" s="257"/>
      <c r="U59" s="257"/>
      <c r="V59" s="257"/>
      <c r="W59" s="257"/>
      <c r="X59" s="257"/>
      <c r="Y59" s="257"/>
      <c r="Z59" s="257"/>
      <c r="AA59" s="257"/>
      <c r="AB59" s="257"/>
      <c r="AC59" s="257"/>
      <c r="AD59" s="257"/>
      <c r="AE59" s="257"/>
      <c r="AF59" s="257"/>
      <c r="AG59" s="257"/>
      <c r="AH59" s="257"/>
      <c r="AI59" s="257"/>
      <c r="AJ59" s="257"/>
      <c r="AK59" s="257"/>
      <c r="AL59" s="257"/>
      <c r="AM59" s="257"/>
      <c r="AN59" s="257"/>
      <c r="AO59" s="257"/>
      <c r="AP59" s="257"/>
      <c r="AQ59" s="257"/>
      <c r="AR59" s="257"/>
      <c r="AS59" s="257"/>
      <c r="AT59" s="257"/>
      <c r="AU59" s="257"/>
      <c r="AV59" s="257"/>
      <c r="AW59" s="257"/>
      <c r="AX59" s="257"/>
      <c r="AY59" s="257"/>
      <c r="AZ59" s="257"/>
      <c r="BA59" s="257"/>
      <c r="BB59" s="257"/>
      <c r="BC59" s="257"/>
      <c r="BD59" s="257"/>
      <c r="BE59" s="257"/>
      <c r="BF59" s="258"/>
      <c r="BG59" s="511" t="str">
        <f t="shared" si="0"/>
        <v/>
      </c>
      <c r="BH59" s="511" t="str">
        <f t="shared" si="1"/>
        <v/>
      </c>
      <c r="BI59" s="511" t="str">
        <f t="shared" si="2"/>
        <v/>
      </c>
      <c r="BJ59" s="512" t="str">
        <f t="shared" si="3"/>
        <v/>
      </c>
      <c r="BK59" s="513" t="str">
        <f t="shared" si="4"/>
        <v/>
      </c>
    </row>
    <row r="60" spans="1:67" x14ac:dyDescent="0.25">
      <c r="A60" s="72"/>
      <c r="B60" s="83"/>
      <c r="C60" s="134"/>
      <c r="D60" s="134"/>
      <c r="E60" s="133"/>
      <c r="F60" s="133"/>
      <c r="G60" s="133"/>
      <c r="H60" s="133"/>
      <c r="I60" s="133"/>
      <c r="J60" s="133"/>
      <c r="K60" s="133"/>
      <c r="L60" s="133"/>
      <c r="M60" s="133"/>
      <c r="N60" s="133"/>
      <c r="O60" s="133"/>
      <c r="P60" s="133"/>
      <c r="Q60" s="133"/>
      <c r="R60" s="133"/>
      <c r="S60" s="133"/>
      <c r="T60" s="133"/>
      <c r="U60" s="133"/>
      <c r="V60" s="133"/>
      <c r="W60" s="133"/>
      <c r="X60" s="133"/>
      <c r="Y60" s="133"/>
      <c r="Z60" s="133"/>
      <c r="AA60" s="133"/>
      <c r="AB60" s="133"/>
      <c r="AC60" s="133"/>
      <c r="AD60" s="133"/>
      <c r="AE60" s="133"/>
      <c r="AF60" s="133"/>
      <c r="AG60" s="133"/>
      <c r="AH60" s="133"/>
      <c r="AI60" s="133"/>
      <c r="AJ60" s="133"/>
      <c r="AK60" s="133"/>
      <c r="AL60" s="133"/>
      <c r="AM60" s="133"/>
      <c r="AN60" s="133"/>
      <c r="AO60" s="133"/>
      <c r="AP60" s="133"/>
      <c r="AQ60" s="133"/>
      <c r="AR60" s="133"/>
      <c r="AS60" s="133"/>
      <c r="AT60" s="133"/>
      <c r="AU60" s="133"/>
      <c r="AV60" s="133"/>
      <c r="AW60" s="133"/>
      <c r="AX60" s="133"/>
      <c r="AY60" s="133"/>
      <c r="AZ60" s="133"/>
      <c r="BA60" s="133"/>
      <c r="BB60" s="133"/>
      <c r="BC60" s="133"/>
      <c r="BD60" s="133"/>
      <c r="BE60" s="133"/>
      <c r="BF60" s="133"/>
      <c r="BG60" s="134"/>
      <c r="BH60" s="134"/>
      <c r="BI60" s="134"/>
      <c r="BJ60" s="134"/>
      <c r="BK60" s="134"/>
    </row>
    <row r="61" spans="1:67" x14ac:dyDescent="0.25">
      <c r="A61" s="72"/>
      <c r="B61" s="83"/>
      <c r="C61" s="83"/>
      <c r="D61" s="83"/>
      <c r="E61" s="133"/>
      <c r="F61" s="133"/>
      <c r="G61" s="133"/>
      <c r="H61" s="133"/>
      <c r="I61" s="133"/>
      <c r="J61" s="133"/>
      <c r="K61" s="133"/>
      <c r="L61" s="133"/>
      <c r="M61" s="133"/>
      <c r="N61" s="133"/>
      <c r="O61" s="133"/>
      <c r="P61" s="133"/>
      <c r="Q61" s="133"/>
      <c r="R61" s="133"/>
      <c r="S61" s="133"/>
      <c r="T61" s="133"/>
      <c r="U61" s="133"/>
      <c r="V61" s="133"/>
      <c r="W61" s="133"/>
      <c r="X61" s="133"/>
      <c r="Y61" s="133"/>
      <c r="Z61" s="133"/>
      <c r="AA61" s="133"/>
      <c r="AB61" s="133"/>
      <c r="AC61" s="133"/>
      <c r="AD61" s="133"/>
      <c r="AE61" s="133"/>
      <c r="AF61" s="133"/>
      <c r="AG61" s="133"/>
      <c r="AH61" s="133"/>
      <c r="AI61" s="133"/>
      <c r="AJ61" s="133"/>
      <c r="AK61" s="133"/>
      <c r="AL61" s="133"/>
      <c r="AM61" s="133"/>
      <c r="AN61" s="133"/>
      <c r="AO61" s="133"/>
      <c r="AP61" s="133"/>
      <c r="AQ61" s="133"/>
      <c r="AR61" s="133"/>
      <c r="AS61" s="133"/>
      <c r="AT61" s="133"/>
      <c r="AU61" s="133"/>
      <c r="AV61" s="133"/>
      <c r="AW61" s="133"/>
      <c r="AX61" s="133"/>
      <c r="AY61" s="133"/>
      <c r="AZ61" s="133"/>
      <c r="BA61" s="133"/>
      <c r="BB61" s="133"/>
      <c r="BC61" s="133"/>
      <c r="BD61" s="133"/>
      <c r="BE61" s="133"/>
      <c r="BF61" s="133"/>
      <c r="BG61" s="134"/>
      <c r="BH61" s="134"/>
      <c r="BI61" s="134"/>
      <c r="BJ61" s="134"/>
      <c r="BK61" s="134"/>
    </row>
    <row r="62" spans="1:67" ht="15.75" thickBot="1" x14ac:dyDescent="0.3">
      <c r="A62" s="72"/>
      <c r="B62" s="83"/>
      <c r="C62" s="83"/>
      <c r="D62" s="83"/>
      <c r="E62" s="133"/>
      <c r="F62" s="133"/>
      <c r="G62" s="133"/>
      <c r="H62" s="133"/>
      <c r="I62" s="133"/>
      <c r="J62" s="133"/>
      <c r="K62" s="133"/>
      <c r="L62" s="133"/>
      <c r="M62" s="133"/>
      <c r="N62" s="133"/>
      <c r="O62" s="133"/>
      <c r="P62" s="133"/>
      <c r="Q62" s="133"/>
      <c r="R62" s="133"/>
      <c r="S62" s="133"/>
      <c r="T62" s="133"/>
      <c r="U62" s="350"/>
      <c r="V62" s="350"/>
      <c r="W62" s="350"/>
      <c r="X62" s="350"/>
      <c r="Y62" s="350"/>
      <c r="Z62" s="350"/>
      <c r="AA62" s="350"/>
      <c r="AB62" s="350"/>
      <c r="AC62" s="350"/>
      <c r="AD62" s="350"/>
      <c r="AE62" s="350"/>
      <c r="AF62" s="350"/>
      <c r="AG62" s="350"/>
      <c r="AH62" s="350"/>
      <c r="AI62" s="350"/>
      <c r="AJ62" s="350"/>
      <c r="AK62" s="350"/>
      <c r="AL62" s="350"/>
      <c r="AM62" s="350"/>
      <c r="AN62" s="350"/>
      <c r="AO62" s="350"/>
      <c r="AP62" s="350"/>
      <c r="AQ62" s="350"/>
      <c r="AR62" s="350"/>
      <c r="AS62" s="350"/>
      <c r="AT62" s="350"/>
      <c r="AU62" s="720"/>
      <c r="AV62" s="720"/>
      <c r="AW62" s="720"/>
      <c r="AX62" s="720"/>
      <c r="AY62" s="720"/>
      <c r="AZ62" s="720"/>
      <c r="BA62" s="720"/>
      <c r="BB62" s="720"/>
      <c r="BC62" s="720"/>
      <c r="BD62" s="720"/>
      <c r="BE62" s="720"/>
      <c r="BF62" s="720"/>
      <c r="BG62" s="720"/>
      <c r="BH62" s="133"/>
      <c r="BI62" s="133"/>
      <c r="BJ62" s="133"/>
      <c r="BK62" s="133"/>
    </row>
    <row r="63" spans="1:67" ht="25.5" customHeight="1" thickTop="1" x14ac:dyDescent="0.25">
      <c r="A63" s="72"/>
      <c r="B63" s="83"/>
      <c r="C63" s="83"/>
      <c r="D63" s="83"/>
      <c r="E63" s="607">
        <f>CARATULA!G22</f>
        <v>0</v>
      </c>
      <c r="F63" s="607"/>
      <c r="G63" s="607"/>
      <c r="H63" s="607"/>
      <c r="I63" s="607"/>
      <c r="J63" s="607"/>
      <c r="K63" s="607"/>
      <c r="L63" s="607"/>
      <c r="M63" s="607"/>
      <c r="N63" s="607"/>
      <c r="O63" s="607"/>
      <c r="P63" s="135"/>
      <c r="Q63" s="135"/>
      <c r="R63" s="135"/>
      <c r="S63" s="135"/>
      <c r="T63" s="135"/>
      <c r="U63" s="349"/>
      <c r="V63" s="349"/>
      <c r="W63" s="349"/>
      <c r="X63" s="349"/>
      <c r="Y63" s="349"/>
      <c r="Z63" s="349"/>
      <c r="AA63" s="349"/>
      <c r="AB63" s="349"/>
      <c r="AC63" s="349"/>
      <c r="AD63" s="349"/>
      <c r="AE63" s="349"/>
      <c r="AF63" s="349"/>
      <c r="AG63" s="349"/>
      <c r="AH63" s="349"/>
      <c r="AI63" s="349"/>
      <c r="AJ63" s="349"/>
      <c r="AK63" s="349"/>
      <c r="AL63" s="349"/>
      <c r="AM63" s="349"/>
      <c r="AN63" s="349"/>
      <c r="AO63" s="349"/>
      <c r="AP63" s="349"/>
      <c r="AQ63" s="349"/>
      <c r="AR63" s="349"/>
      <c r="AS63" s="349"/>
      <c r="AT63" s="349"/>
      <c r="AU63" s="607">
        <f>CARATULA!G24</f>
        <v>0</v>
      </c>
      <c r="AV63" s="607"/>
      <c r="AW63" s="607"/>
      <c r="AX63" s="607"/>
      <c r="AY63" s="607"/>
      <c r="AZ63" s="607"/>
      <c r="BA63" s="607"/>
      <c r="BB63" s="607"/>
      <c r="BC63" s="607"/>
      <c r="BD63" s="607"/>
      <c r="BE63" s="607"/>
      <c r="BF63" s="607"/>
      <c r="BG63" s="607"/>
      <c r="BH63" s="134"/>
      <c r="BI63" s="134"/>
      <c r="BJ63" s="134"/>
      <c r="BK63" s="134"/>
      <c r="BL63" s="72"/>
      <c r="BM63" s="72"/>
      <c r="BN63" s="72"/>
      <c r="BO63" s="72"/>
    </row>
    <row r="64" spans="1:67" ht="15" customHeight="1" x14ac:dyDescent="0.25">
      <c r="A64" s="72"/>
      <c r="B64" s="83"/>
      <c r="C64" s="83"/>
      <c r="D64" s="83"/>
      <c r="E64" s="136"/>
      <c r="F64" s="136"/>
      <c r="G64" s="136"/>
      <c r="H64" s="136"/>
      <c r="I64" s="136"/>
      <c r="J64" s="136"/>
      <c r="K64" s="136"/>
      <c r="L64" s="136"/>
      <c r="M64" s="136"/>
      <c r="N64" s="136"/>
      <c r="O64" s="136"/>
      <c r="P64" s="135"/>
      <c r="Q64" s="135"/>
      <c r="R64" s="135"/>
      <c r="S64" s="135"/>
      <c r="T64" s="135"/>
      <c r="U64" s="137"/>
      <c r="V64" s="137"/>
      <c r="W64" s="137"/>
      <c r="X64" s="137"/>
      <c r="Y64" s="137"/>
      <c r="Z64" s="137"/>
      <c r="AA64" s="137"/>
      <c r="AB64" s="137"/>
      <c r="AC64" s="137"/>
      <c r="AD64" s="137"/>
      <c r="AE64" s="137"/>
      <c r="AF64" s="137"/>
      <c r="AG64" s="137"/>
      <c r="AH64" s="137"/>
      <c r="AI64" s="137"/>
      <c r="AJ64" s="137"/>
      <c r="AK64" s="137"/>
      <c r="AL64" s="137"/>
      <c r="AM64" s="137"/>
      <c r="AN64" s="137"/>
      <c r="AO64" s="137"/>
      <c r="AP64" s="137"/>
      <c r="AQ64" s="137"/>
      <c r="AR64" s="137"/>
      <c r="AS64" s="137"/>
      <c r="AT64" s="137"/>
      <c r="AU64" s="137"/>
      <c r="AV64" s="137"/>
      <c r="AW64" s="137"/>
      <c r="AX64" s="137"/>
      <c r="AY64" s="137"/>
      <c r="AZ64" s="137"/>
      <c r="BA64" s="137"/>
      <c r="BB64" s="137"/>
      <c r="BC64" s="137"/>
      <c r="BD64" s="137"/>
      <c r="BE64" s="137"/>
      <c r="BF64" s="137"/>
      <c r="BG64" s="137"/>
      <c r="BH64" s="134"/>
      <c r="BI64" s="134"/>
      <c r="BJ64" s="134"/>
      <c r="BK64" s="134"/>
      <c r="BL64" s="72"/>
      <c r="BM64" s="72"/>
      <c r="BN64" s="72"/>
      <c r="BO64" s="72"/>
    </row>
    <row r="65" spans="1:67" x14ac:dyDescent="0.25">
      <c r="A65" s="72"/>
      <c r="B65" s="87"/>
      <c r="C65" s="87"/>
      <c r="D65" s="72"/>
      <c r="E65" s="72"/>
      <c r="F65" s="72"/>
      <c r="G65" s="72"/>
      <c r="H65" s="72"/>
      <c r="I65" s="72"/>
      <c r="J65" s="72"/>
      <c r="K65" s="72"/>
      <c r="L65" s="72"/>
      <c r="M65" s="72"/>
      <c r="N65" s="72"/>
      <c r="O65" s="72"/>
      <c r="P65" s="72"/>
      <c r="Q65" s="72"/>
      <c r="R65" s="72"/>
      <c r="S65" s="72"/>
      <c r="T65" s="72"/>
      <c r="U65" s="72"/>
      <c r="V65" s="72"/>
      <c r="W65" s="72"/>
      <c r="X65" s="72"/>
      <c r="Y65" s="72"/>
      <c r="Z65" s="72"/>
      <c r="AA65" s="72"/>
      <c r="AB65" s="72"/>
      <c r="AC65" s="72"/>
      <c r="AD65" s="72"/>
      <c r="AE65" s="72"/>
      <c r="AF65" s="72"/>
      <c r="AG65" s="72"/>
      <c r="AH65" s="72"/>
      <c r="AI65" s="72"/>
      <c r="AJ65" s="72"/>
      <c r="AK65" s="72"/>
      <c r="AL65" s="72"/>
      <c r="AM65" s="72"/>
      <c r="AN65" s="72"/>
      <c r="AO65" s="72"/>
      <c r="AP65" s="72"/>
      <c r="AQ65" s="72"/>
      <c r="AR65" s="72"/>
      <c r="AS65" s="72"/>
      <c r="AT65" s="72"/>
      <c r="AU65" s="72"/>
      <c r="AV65" s="72"/>
      <c r="AW65" s="72"/>
      <c r="AX65" s="72"/>
      <c r="AY65" s="72"/>
      <c r="AZ65" s="72"/>
      <c r="BA65" s="72"/>
      <c r="BB65" s="72"/>
      <c r="BC65" s="72"/>
      <c r="BD65" s="72"/>
      <c r="BE65" s="72"/>
      <c r="BF65" s="72"/>
      <c r="BG65" s="72"/>
      <c r="BH65" s="72"/>
      <c r="BI65" s="72"/>
      <c r="BJ65" s="72"/>
      <c r="BK65" s="72"/>
      <c r="BL65" s="72"/>
      <c r="BM65" s="72"/>
      <c r="BN65" s="72"/>
      <c r="BO65" s="72"/>
    </row>
    <row r="66" spans="1:67" x14ac:dyDescent="0.25">
      <c r="A66" s="72"/>
      <c r="B66" s="87"/>
      <c r="C66" s="87"/>
      <c r="D66" s="72"/>
      <c r="E66" s="72"/>
      <c r="F66" s="72"/>
      <c r="G66" s="72"/>
      <c r="H66" s="72"/>
      <c r="I66" s="72"/>
      <c r="J66" s="72"/>
      <c r="K66" s="72"/>
      <c r="L66" s="72"/>
      <c r="M66" s="72"/>
      <c r="N66" s="72"/>
      <c r="O66" s="72"/>
      <c r="P66" s="72"/>
      <c r="Q66" s="72"/>
      <c r="R66" s="72"/>
      <c r="S66" s="72"/>
      <c r="T66" s="72"/>
      <c r="U66" s="72"/>
      <c r="V66" s="72"/>
      <c r="W66" s="72"/>
      <c r="X66" s="72"/>
      <c r="Y66" s="72"/>
      <c r="Z66" s="72"/>
      <c r="AA66" s="72"/>
      <c r="AB66" s="72"/>
      <c r="AC66" s="72"/>
      <c r="AD66" s="72"/>
      <c r="AE66" s="72"/>
      <c r="AF66" s="72"/>
      <c r="AG66" s="72"/>
      <c r="AH66" s="72"/>
      <c r="AI66" s="72"/>
      <c r="AJ66" s="72"/>
      <c r="AK66" s="72"/>
      <c r="AL66" s="72"/>
      <c r="AM66" s="72"/>
      <c r="AN66" s="72"/>
      <c r="AO66" s="72"/>
      <c r="AP66" s="72"/>
      <c r="AQ66" s="72"/>
      <c r="AR66" s="72"/>
      <c r="AS66" s="72"/>
      <c r="AT66" s="72"/>
      <c r="AU66" s="72"/>
      <c r="AV66" s="72"/>
      <c r="AW66" s="72"/>
      <c r="AX66" s="72"/>
      <c r="AY66" s="72"/>
      <c r="AZ66" s="72"/>
      <c r="BA66" s="72"/>
      <c r="BB66" s="72"/>
      <c r="BC66" s="72"/>
      <c r="BD66" s="72"/>
      <c r="BE66" s="72"/>
      <c r="BF66" s="72"/>
      <c r="BG66" s="72"/>
      <c r="BH66" s="72"/>
      <c r="BI66" s="72"/>
      <c r="BJ66" s="72"/>
      <c r="BK66" s="72"/>
      <c r="BL66" s="72"/>
      <c r="BM66" s="72"/>
      <c r="BN66" s="72"/>
      <c r="BO66" s="72"/>
    </row>
    <row r="67" spans="1:67" x14ac:dyDescent="0.25">
      <c r="A67" s="72"/>
      <c r="B67" s="87"/>
      <c r="C67" s="87" t="s">
        <v>46</v>
      </c>
      <c r="D67" s="72"/>
      <c r="E67" s="72"/>
      <c r="F67" s="72"/>
      <c r="G67" s="72"/>
      <c r="H67" s="72"/>
      <c r="I67" s="72"/>
      <c r="J67" s="72"/>
      <c r="K67" s="72"/>
      <c r="L67" s="72"/>
      <c r="M67" s="72"/>
      <c r="N67" s="72"/>
      <c r="O67" s="72"/>
      <c r="P67" s="72"/>
      <c r="Q67" s="72"/>
      <c r="R67" s="72"/>
      <c r="S67" s="72"/>
      <c r="T67" s="72"/>
      <c r="U67" s="72"/>
      <c r="V67" s="72"/>
      <c r="W67" s="72"/>
      <c r="X67" s="72"/>
      <c r="Y67" s="72"/>
      <c r="Z67" s="72"/>
      <c r="AA67" s="72"/>
      <c r="AB67" s="72"/>
      <c r="AC67" s="72"/>
      <c r="AD67" s="72"/>
      <c r="AE67" s="72"/>
      <c r="AF67" s="72"/>
      <c r="AG67" s="72"/>
      <c r="AH67" s="72"/>
      <c r="AI67" s="72"/>
      <c r="AJ67" s="72"/>
      <c r="AK67" s="72"/>
      <c r="AL67" s="72"/>
      <c r="AM67" s="72"/>
      <c r="AN67" s="72"/>
      <c r="AO67" s="72"/>
      <c r="AP67" s="72"/>
      <c r="AQ67" s="72"/>
      <c r="AR67" s="72"/>
      <c r="AS67" s="72"/>
      <c r="AT67" s="72"/>
      <c r="AU67" s="72"/>
      <c r="AV67" s="72"/>
      <c r="AW67" s="72"/>
      <c r="AX67" s="72"/>
      <c r="AY67" s="72"/>
      <c r="AZ67" s="72"/>
      <c r="BA67" s="72"/>
      <c r="BB67" s="72"/>
      <c r="BC67" s="72"/>
      <c r="BD67" s="72"/>
      <c r="BE67" s="72"/>
      <c r="BF67" s="72"/>
      <c r="BG67" s="72"/>
      <c r="BH67" s="72"/>
      <c r="BI67" s="72"/>
      <c r="BJ67" s="72"/>
      <c r="BK67" s="72"/>
      <c r="BL67" s="72"/>
      <c r="BM67" s="72"/>
      <c r="BN67" s="72"/>
      <c r="BO67" s="72"/>
    </row>
    <row r="68" spans="1:67" x14ac:dyDescent="0.25">
      <c r="A68" s="72"/>
      <c r="B68" s="87"/>
      <c r="C68" s="87" t="s">
        <v>47</v>
      </c>
      <c r="D68" s="72"/>
      <c r="E68" s="72"/>
      <c r="F68" s="72"/>
      <c r="G68" s="72"/>
      <c r="H68" s="72"/>
      <c r="I68" s="72"/>
      <c r="J68" s="72"/>
      <c r="K68" s="72"/>
      <c r="L68" s="72"/>
      <c r="M68" s="72"/>
      <c r="N68" s="72"/>
      <c r="O68" s="72"/>
      <c r="P68" s="72"/>
      <c r="Q68" s="72"/>
      <c r="R68" s="72"/>
      <c r="S68" s="72"/>
      <c r="T68" s="72"/>
      <c r="U68" s="72"/>
      <c r="V68" s="72"/>
      <c r="W68" s="72"/>
      <c r="X68" s="72"/>
      <c r="Y68" s="72"/>
      <c r="Z68" s="72"/>
      <c r="AA68" s="72"/>
      <c r="AB68" s="72"/>
      <c r="AC68" s="72"/>
      <c r="AD68" s="72"/>
      <c r="AE68" s="72"/>
      <c r="AF68" s="72"/>
      <c r="AG68" s="72"/>
      <c r="AH68" s="72"/>
      <c r="AI68" s="72"/>
      <c r="AJ68" s="72"/>
      <c r="AK68" s="72"/>
      <c r="AL68" s="72"/>
      <c r="AM68" s="72"/>
      <c r="AN68" s="72"/>
      <c r="AO68" s="72"/>
      <c r="AP68" s="72"/>
      <c r="AQ68" s="72"/>
      <c r="AR68" s="72"/>
      <c r="AS68" s="72"/>
      <c r="AT68" s="72"/>
      <c r="AU68" s="72"/>
      <c r="AV68" s="72"/>
      <c r="AW68" s="72"/>
      <c r="AX68" s="72"/>
      <c r="AY68" s="72"/>
      <c r="AZ68" s="72"/>
      <c r="BA68" s="72"/>
      <c r="BB68" s="72"/>
      <c r="BC68" s="72"/>
      <c r="BD68" s="72"/>
      <c r="BE68" s="72"/>
      <c r="BF68" s="72"/>
      <c r="BG68" s="72"/>
      <c r="BH68" s="72"/>
      <c r="BI68" s="72"/>
      <c r="BJ68" s="72"/>
      <c r="BK68" s="72"/>
      <c r="BL68" s="72"/>
      <c r="BM68" s="72"/>
      <c r="BN68" s="72"/>
      <c r="BO68" s="72"/>
    </row>
    <row r="69" spans="1:67" x14ac:dyDescent="0.25">
      <c r="A69" s="72"/>
      <c r="B69" s="87"/>
      <c r="C69" s="87" t="s">
        <v>48</v>
      </c>
      <c r="D69" s="72"/>
      <c r="E69" s="72"/>
      <c r="F69" s="72"/>
      <c r="G69" s="72"/>
      <c r="H69" s="72"/>
      <c r="I69" s="72"/>
      <c r="J69" s="72"/>
      <c r="K69" s="72"/>
      <c r="L69" s="72"/>
      <c r="M69" s="72"/>
      <c r="N69" s="72"/>
      <c r="O69" s="72"/>
      <c r="P69" s="72"/>
      <c r="Q69" s="72"/>
      <c r="R69" s="72"/>
      <c r="S69" s="72"/>
      <c r="T69" s="72"/>
      <c r="U69" s="72"/>
      <c r="V69" s="72"/>
      <c r="W69" s="72"/>
      <c r="X69" s="72"/>
      <c r="Y69" s="72"/>
      <c r="Z69" s="72"/>
      <c r="AA69" s="72"/>
      <c r="AB69" s="72"/>
      <c r="AC69" s="72"/>
      <c r="AD69" s="72"/>
      <c r="AE69" s="72"/>
      <c r="AF69" s="72"/>
      <c r="AG69" s="72"/>
      <c r="AH69" s="72"/>
      <c r="AI69" s="72"/>
      <c r="AJ69" s="72"/>
      <c r="AK69" s="72"/>
      <c r="AL69" s="72"/>
      <c r="AM69" s="72"/>
      <c r="AN69" s="72"/>
      <c r="AO69" s="72"/>
      <c r="AP69" s="72"/>
      <c r="AQ69" s="72"/>
      <c r="AR69" s="72"/>
      <c r="AS69" s="72"/>
      <c r="AT69" s="72"/>
      <c r="AU69" s="72"/>
      <c r="AV69" s="72"/>
      <c r="AW69" s="72"/>
      <c r="AX69" s="72"/>
      <c r="AY69" s="72"/>
      <c r="AZ69" s="72"/>
      <c r="BA69" s="72"/>
      <c r="BB69" s="72"/>
      <c r="BC69" s="72"/>
      <c r="BD69" s="72"/>
      <c r="BE69" s="72"/>
      <c r="BF69" s="72"/>
      <c r="BG69" s="72"/>
      <c r="BH69" s="72"/>
      <c r="BI69" s="72"/>
      <c r="BJ69" s="72"/>
      <c r="BK69" s="72"/>
      <c r="BL69" s="72"/>
      <c r="BM69" s="72"/>
      <c r="BN69" s="72"/>
      <c r="BO69" s="72"/>
    </row>
    <row r="70" spans="1:67" x14ac:dyDescent="0.25">
      <c r="A70" s="72"/>
      <c r="B70" s="87"/>
      <c r="C70" s="87" t="s">
        <v>49</v>
      </c>
      <c r="D70" s="72"/>
      <c r="E70" s="72"/>
      <c r="F70" s="72"/>
      <c r="G70" s="72"/>
      <c r="H70" s="72"/>
      <c r="I70" s="72"/>
      <c r="J70" s="72"/>
      <c r="K70" s="72"/>
      <c r="L70" s="72"/>
      <c r="M70" s="72"/>
      <c r="N70" s="72"/>
      <c r="O70" s="72"/>
      <c r="P70" s="72"/>
      <c r="Q70" s="72"/>
      <c r="R70" s="72"/>
      <c r="S70" s="72"/>
      <c r="T70" s="72"/>
      <c r="U70" s="72"/>
      <c r="V70" s="72"/>
      <c r="W70" s="72"/>
      <c r="X70" s="72"/>
      <c r="Y70" s="72"/>
      <c r="Z70" s="72"/>
      <c r="AA70" s="72"/>
      <c r="AB70" s="72"/>
      <c r="AC70" s="72"/>
      <c r="AD70" s="72"/>
      <c r="AE70" s="72"/>
      <c r="AF70" s="72"/>
      <c r="AG70" s="72"/>
      <c r="AH70" s="72"/>
      <c r="AI70" s="72"/>
      <c r="AJ70" s="72"/>
      <c r="AK70" s="72"/>
      <c r="AL70" s="72"/>
      <c r="AM70" s="72"/>
      <c r="AN70" s="72"/>
      <c r="AO70" s="72"/>
      <c r="AP70" s="72"/>
      <c r="AQ70" s="72"/>
      <c r="AR70" s="72"/>
      <c r="AS70" s="72"/>
      <c r="AT70" s="72"/>
      <c r="AU70" s="72"/>
      <c r="AV70" s="72"/>
      <c r="AW70" s="72"/>
      <c r="AX70" s="72"/>
      <c r="AY70" s="72"/>
      <c r="AZ70" s="72"/>
      <c r="BA70" s="72"/>
      <c r="BB70" s="72"/>
      <c r="BC70" s="72"/>
      <c r="BD70" s="72"/>
      <c r="BE70" s="72"/>
      <c r="BF70" s="72"/>
      <c r="BG70" s="72"/>
      <c r="BH70" s="72"/>
      <c r="BI70" s="72"/>
      <c r="BJ70" s="72"/>
      <c r="BK70" s="72"/>
      <c r="BL70" s="72"/>
      <c r="BM70" s="72"/>
      <c r="BN70" s="72"/>
      <c r="BO70" s="72"/>
    </row>
    <row r="71" spans="1:67" x14ac:dyDescent="0.25">
      <c r="A71" s="72"/>
      <c r="B71" s="87"/>
      <c r="C71" s="87"/>
      <c r="D71" s="72"/>
      <c r="E71" s="72"/>
      <c r="F71" s="72"/>
      <c r="G71" s="72"/>
      <c r="H71" s="72"/>
      <c r="I71" s="72"/>
      <c r="J71" s="72"/>
      <c r="K71" s="72"/>
      <c r="L71" s="72"/>
      <c r="M71" s="72"/>
      <c r="N71" s="72"/>
      <c r="O71" s="72"/>
      <c r="P71" s="72"/>
      <c r="Q71" s="72"/>
      <c r="R71" s="72"/>
      <c r="S71" s="72"/>
      <c r="T71" s="72"/>
      <c r="U71" s="72"/>
      <c r="V71" s="72"/>
      <c r="W71" s="72"/>
      <c r="X71" s="72"/>
      <c r="Y71" s="72"/>
      <c r="Z71" s="72"/>
      <c r="AA71" s="72"/>
      <c r="AB71" s="72"/>
      <c r="AC71" s="72"/>
      <c r="AD71" s="72"/>
      <c r="AE71" s="72"/>
      <c r="AF71" s="72"/>
      <c r="AG71" s="72"/>
      <c r="AH71" s="72"/>
      <c r="AI71" s="72"/>
      <c r="AJ71" s="72"/>
      <c r="AK71" s="72"/>
      <c r="AL71" s="72"/>
      <c r="AM71" s="72"/>
      <c r="AN71" s="72"/>
      <c r="AO71" s="72"/>
      <c r="AP71" s="72"/>
      <c r="AQ71" s="72"/>
      <c r="AR71" s="72"/>
      <c r="AS71" s="72"/>
      <c r="AT71" s="72"/>
      <c r="AU71" s="72"/>
      <c r="AV71" s="72"/>
      <c r="AW71" s="72"/>
      <c r="AX71" s="72"/>
      <c r="AY71" s="72"/>
      <c r="AZ71" s="72"/>
      <c r="BA71" s="72"/>
      <c r="BB71" s="72"/>
      <c r="BC71" s="72"/>
      <c r="BD71" s="72"/>
      <c r="BE71" s="72"/>
      <c r="BF71" s="72"/>
      <c r="BG71" s="72"/>
      <c r="BH71" s="72"/>
      <c r="BI71" s="72"/>
      <c r="BJ71" s="72"/>
      <c r="BK71" s="72"/>
      <c r="BL71" s="72"/>
      <c r="BM71" s="72"/>
      <c r="BN71" s="72"/>
      <c r="BO71" s="72"/>
    </row>
    <row r="72" spans="1:67" x14ac:dyDescent="0.25">
      <c r="A72" s="72"/>
      <c r="B72" s="72"/>
      <c r="C72" s="102"/>
      <c r="D72" s="72"/>
      <c r="E72" s="72"/>
      <c r="F72" s="72"/>
      <c r="G72" s="72"/>
      <c r="H72" s="72"/>
      <c r="I72" s="72"/>
      <c r="J72" s="72"/>
      <c r="K72" s="72"/>
      <c r="L72" s="72"/>
      <c r="M72" s="72"/>
      <c r="N72" s="72"/>
      <c r="O72" s="72"/>
      <c r="P72" s="72"/>
      <c r="Q72" s="72"/>
      <c r="R72" s="72"/>
      <c r="S72" s="72"/>
      <c r="T72" s="72"/>
      <c r="U72" s="72"/>
      <c r="V72" s="72"/>
      <c r="W72" s="72"/>
      <c r="X72" s="72"/>
      <c r="Y72" s="72"/>
      <c r="Z72" s="72"/>
      <c r="AA72" s="72"/>
      <c r="AB72" s="72"/>
      <c r="AC72" s="72"/>
      <c r="AD72" s="72"/>
      <c r="AE72" s="72"/>
      <c r="AF72" s="72"/>
      <c r="AG72" s="72"/>
      <c r="AH72" s="72"/>
      <c r="AI72" s="72"/>
      <c r="AJ72" s="72"/>
      <c r="AK72" s="72"/>
      <c r="AL72" s="72"/>
      <c r="AM72" s="72"/>
      <c r="AN72" s="72"/>
      <c r="AO72" s="72"/>
      <c r="AP72" s="72"/>
      <c r="AQ72" s="72"/>
      <c r="AR72" s="72"/>
      <c r="AS72" s="72"/>
      <c r="AT72" s="72"/>
      <c r="AU72" s="72"/>
      <c r="AV72" s="72"/>
      <c r="AW72" s="72"/>
      <c r="AX72" s="72"/>
      <c r="AY72" s="72"/>
      <c r="AZ72" s="72"/>
      <c r="BA72" s="72"/>
      <c r="BB72" s="72"/>
      <c r="BC72" s="72"/>
      <c r="BD72" s="72"/>
      <c r="BE72" s="72"/>
      <c r="BF72" s="72"/>
      <c r="BG72" s="72"/>
      <c r="BH72" s="72"/>
      <c r="BI72" s="72"/>
      <c r="BJ72" s="72"/>
      <c r="BK72" s="72"/>
      <c r="BL72" s="72"/>
      <c r="BM72" s="72"/>
      <c r="BN72" s="72"/>
      <c r="BO72" s="72"/>
    </row>
    <row r="73" spans="1:67" x14ac:dyDescent="0.25">
      <c r="A73" s="72"/>
      <c r="B73" s="72"/>
      <c r="C73" s="102"/>
      <c r="D73" s="72"/>
      <c r="E73" s="72"/>
      <c r="F73" s="72"/>
      <c r="G73" s="72"/>
      <c r="H73" s="72"/>
      <c r="I73" s="72"/>
      <c r="J73" s="72"/>
      <c r="K73" s="72"/>
      <c r="L73" s="72"/>
      <c r="M73" s="72"/>
      <c r="N73" s="72"/>
      <c r="O73" s="72"/>
      <c r="P73" s="72"/>
      <c r="Q73" s="72"/>
      <c r="R73" s="72"/>
      <c r="S73" s="72"/>
      <c r="T73" s="72"/>
      <c r="U73" s="72"/>
      <c r="V73" s="72"/>
      <c r="W73" s="72"/>
      <c r="X73" s="72"/>
      <c r="Y73" s="72"/>
      <c r="Z73" s="72"/>
      <c r="AA73" s="72"/>
      <c r="AB73" s="72"/>
      <c r="AC73" s="72"/>
      <c r="AD73" s="72"/>
      <c r="AE73" s="72"/>
      <c r="AF73" s="72"/>
      <c r="AG73" s="72"/>
      <c r="AH73" s="72"/>
      <c r="AI73" s="72"/>
      <c r="AJ73" s="72"/>
      <c r="AK73" s="72"/>
      <c r="AL73" s="72"/>
      <c r="AM73" s="72"/>
      <c r="AN73" s="72"/>
      <c r="AO73" s="72"/>
      <c r="AP73" s="72"/>
      <c r="AQ73" s="72"/>
      <c r="AR73" s="72"/>
      <c r="AS73" s="72"/>
      <c r="AT73" s="72"/>
      <c r="AU73" s="72"/>
      <c r="AV73" s="72"/>
      <c r="AW73" s="72"/>
      <c r="AX73" s="72"/>
      <c r="AY73" s="72"/>
      <c r="AZ73" s="72"/>
      <c r="BA73" s="72"/>
      <c r="BB73" s="72"/>
      <c r="BC73" s="72"/>
      <c r="BD73" s="72"/>
      <c r="BE73" s="72"/>
      <c r="BF73" s="72"/>
      <c r="BG73" s="72"/>
      <c r="BH73" s="72"/>
      <c r="BI73" s="72"/>
      <c r="BJ73" s="72"/>
      <c r="BK73" s="72"/>
      <c r="BL73" s="72"/>
      <c r="BM73" s="72"/>
      <c r="BN73" s="72"/>
      <c r="BO73" s="72"/>
    </row>
    <row r="74" spans="1:67" x14ac:dyDescent="0.25">
      <c r="A74" s="72"/>
      <c r="B74" s="72"/>
      <c r="C74" s="72"/>
      <c r="D74" s="72"/>
      <c r="E74" s="72"/>
      <c r="F74" s="72"/>
      <c r="G74" s="72"/>
      <c r="H74" s="72"/>
      <c r="I74" s="72"/>
      <c r="J74" s="72"/>
      <c r="K74" s="72"/>
      <c r="L74" s="72"/>
      <c r="M74" s="72"/>
      <c r="N74" s="72"/>
      <c r="O74" s="72"/>
      <c r="P74" s="72"/>
      <c r="Q74" s="72"/>
      <c r="R74" s="72"/>
      <c r="S74" s="72"/>
      <c r="T74" s="72"/>
      <c r="U74" s="72"/>
      <c r="V74" s="72"/>
      <c r="W74" s="72"/>
      <c r="X74" s="72"/>
      <c r="Y74" s="72"/>
      <c r="Z74" s="72"/>
      <c r="AA74" s="72"/>
      <c r="AB74" s="72"/>
      <c r="AC74" s="72"/>
      <c r="AD74" s="72"/>
      <c r="AE74" s="72"/>
      <c r="AF74" s="72"/>
      <c r="AG74" s="72"/>
      <c r="AH74" s="72"/>
      <c r="AI74" s="72"/>
      <c r="AJ74" s="72"/>
      <c r="AK74" s="72"/>
      <c r="AL74" s="72"/>
      <c r="AM74" s="72"/>
      <c r="AN74" s="72"/>
      <c r="AO74" s="72"/>
      <c r="AP74" s="72"/>
      <c r="AQ74" s="72"/>
      <c r="AR74" s="72"/>
      <c r="AS74" s="72"/>
      <c r="AT74" s="72"/>
      <c r="AU74" s="72"/>
      <c r="AV74" s="72"/>
      <c r="AW74" s="72"/>
      <c r="AX74" s="72"/>
      <c r="AY74" s="72"/>
      <c r="AZ74" s="72"/>
      <c r="BA74" s="72"/>
      <c r="BB74" s="72"/>
      <c r="BC74" s="72"/>
      <c r="BD74" s="72"/>
      <c r="BE74" s="72"/>
      <c r="BF74" s="72"/>
      <c r="BG74" s="72"/>
      <c r="BH74" s="72"/>
      <c r="BI74" s="72"/>
      <c r="BJ74" s="72"/>
      <c r="BK74" s="72"/>
      <c r="BL74" s="72"/>
      <c r="BM74" s="72"/>
      <c r="BN74" s="72"/>
      <c r="BO74" s="72"/>
    </row>
    <row r="75" spans="1:67" x14ac:dyDescent="0.25">
      <c r="A75" s="72"/>
      <c r="B75" s="72"/>
      <c r="C75" s="72"/>
      <c r="D75" s="72"/>
      <c r="E75" s="72"/>
      <c r="F75" s="72"/>
      <c r="G75" s="72"/>
      <c r="H75" s="72"/>
      <c r="I75" s="72"/>
      <c r="J75" s="72"/>
      <c r="K75" s="72"/>
      <c r="L75" s="72"/>
      <c r="M75" s="72"/>
      <c r="N75" s="72"/>
      <c r="O75" s="72"/>
      <c r="P75" s="72"/>
      <c r="Q75" s="72"/>
      <c r="R75" s="72"/>
      <c r="S75" s="72"/>
      <c r="T75" s="72"/>
      <c r="U75" s="72"/>
      <c r="V75" s="72"/>
      <c r="W75" s="72"/>
      <c r="X75" s="72"/>
      <c r="Y75" s="72"/>
      <c r="Z75" s="72"/>
      <c r="AA75" s="72"/>
      <c r="AB75" s="72"/>
      <c r="AC75" s="72"/>
      <c r="AD75" s="72"/>
      <c r="AE75" s="72"/>
      <c r="AF75" s="72"/>
      <c r="AG75" s="72"/>
      <c r="AH75" s="72"/>
      <c r="AI75" s="72"/>
      <c r="AJ75" s="72"/>
      <c r="AK75" s="72"/>
      <c r="AL75" s="72"/>
      <c r="AM75" s="72"/>
      <c r="AN75" s="72"/>
      <c r="AO75" s="72"/>
      <c r="AP75" s="72"/>
      <c r="AQ75" s="72"/>
      <c r="AR75" s="72"/>
      <c r="AS75" s="72"/>
      <c r="AT75" s="72"/>
      <c r="AU75" s="72"/>
      <c r="AV75" s="72"/>
      <c r="AW75" s="72"/>
      <c r="AX75" s="72"/>
      <c r="AY75" s="72"/>
      <c r="AZ75" s="72"/>
      <c r="BA75" s="72"/>
      <c r="BB75" s="72"/>
      <c r="BC75" s="72"/>
      <c r="BD75" s="72"/>
      <c r="BE75" s="72"/>
      <c r="BF75" s="72"/>
      <c r="BG75" s="72"/>
      <c r="BH75" s="72"/>
      <c r="BI75" s="72"/>
      <c r="BJ75" s="72"/>
      <c r="BK75" s="72"/>
      <c r="BL75" s="72"/>
      <c r="BM75" s="72"/>
      <c r="BN75" s="72"/>
      <c r="BO75" s="72"/>
    </row>
    <row r="76" spans="1:67" x14ac:dyDescent="0.25">
      <c r="A76" s="72"/>
      <c r="B76" s="72"/>
      <c r="C76" s="72"/>
      <c r="D76" s="72"/>
      <c r="E76" s="72"/>
      <c r="F76" s="72"/>
      <c r="G76" s="72"/>
      <c r="H76" s="72"/>
      <c r="I76" s="72"/>
      <c r="J76" s="72"/>
      <c r="K76" s="72"/>
      <c r="L76" s="72"/>
      <c r="M76" s="72"/>
      <c r="N76" s="72"/>
      <c r="O76" s="72"/>
      <c r="P76" s="72"/>
      <c r="Q76" s="72"/>
      <c r="R76" s="72"/>
      <c r="S76" s="72"/>
      <c r="T76" s="72"/>
      <c r="U76" s="72"/>
      <c r="V76" s="72"/>
      <c r="W76" s="72"/>
      <c r="X76" s="72"/>
      <c r="Y76" s="72"/>
      <c r="Z76" s="72"/>
      <c r="AA76" s="72"/>
      <c r="AB76" s="72"/>
      <c r="AC76" s="72"/>
      <c r="AD76" s="72"/>
      <c r="AE76" s="72"/>
      <c r="AF76" s="72"/>
      <c r="AG76" s="72"/>
      <c r="AH76" s="72"/>
      <c r="AI76" s="72"/>
      <c r="AJ76" s="72"/>
      <c r="AK76" s="72"/>
      <c r="AL76" s="72"/>
      <c r="AM76" s="72"/>
      <c r="AN76" s="72"/>
      <c r="AO76" s="72"/>
      <c r="AP76" s="72"/>
      <c r="AQ76" s="72"/>
      <c r="AR76" s="72"/>
      <c r="AS76" s="72"/>
      <c r="AT76" s="72"/>
      <c r="AU76" s="72"/>
      <c r="AV76" s="72"/>
      <c r="AW76" s="72"/>
      <c r="AX76" s="72"/>
      <c r="AY76" s="72"/>
      <c r="AZ76" s="72"/>
      <c r="BA76" s="72"/>
      <c r="BB76" s="72"/>
      <c r="BC76" s="72"/>
      <c r="BD76" s="72"/>
      <c r="BE76" s="72"/>
      <c r="BF76" s="72"/>
      <c r="BG76" s="72"/>
      <c r="BH76" s="72"/>
      <c r="BI76" s="72"/>
      <c r="BJ76" s="72"/>
      <c r="BK76" s="72"/>
      <c r="BL76" s="72"/>
      <c r="BM76" s="72"/>
      <c r="BN76" s="72"/>
      <c r="BO76" s="72"/>
    </row>
    <row r="77" spans="1:67" x14ac:dyDescent="0.25">
      <c r="C77" s="72"/>
      <c r="D77" s="72"/>
      <c r="E77" s="72"/>
      <c r="F77" s="72"/>
      <c r="G77" s="72"/>
      <c r="H77" s="72"/>
      <c r="I77" s="72"/>
      <c r="J77" s="72"/>
      <c r="K77" s="72"/>
      <c r="L77" s="72"/>
      <c r="M77" s="72"/>
      <c r="N77" s="72"/>
      <c r="O77" s="72"/>
      <c r="P77" s="72"/>
      <c r="Q77" s="72"/>
      <c r="R77" s="72"/>
      <c r="S77" s="72"/>
      <c r="T77" s="72"/>
      <c r="U77" s="72"/>
      <c r="V77" s="72"/>
      <c r="W77" s="72"/>
      <c r="X77" s="72"/>
      <c r="Y77" s="72"/>
      <c r="Z77" s="72"/>
      <c r="AA77" s="72"/>
      <c r="AB77" s="72"/>
      <c r="AC77" s="72"/>
      <c r="AD77" s="72"/>
      <c r="AE77" s="72"/>
      <c r="AF77" s="72"/>
      <c r="AG77" s="72"/>
      <c r="AH77" s="72"/>
      <c r="AI77" s="72"/>
      <c r="AJ77" s="72"/>
      <c r="AK77" s="72"/>
      <c r="AL77" s="72"/>
      <c r="AM77" s="72"/>
      <c r="AN77" s="72"/>
      <c r="AO77" s="72"/>
      <c r="AP77" s="72"/>
      <c r="AQ77" s="72"/>
      <c r="AR77" s="72"/>
      <c r="AS77" s="72"/>
      <c r="AT77" s="72"/>
      <c r="AU77" s="72"/>
      <c r="AV77" s="72"/>
      <c r="AW77" s="72"/>
      <c r="AX77" s="72"/>
      <c r="AY77" s="72"/>
      <c r="AZ77" s="72"/>
      <c r="BA77" s="72"/>
      <c r="BB77" s="72"/>
      <c r="BC77" s="72"/>
      <c r="BD77" s="72"/>
      <c r="BE77" s="72"/>
      <c r="BF77" s="72"/>
      <c r="BG77" s="72"/>
      <c r="BH77" s="72"/>
      <c r="BI77" s="72"/>
      <c r="BJ77" s="72"/>
      <c r="BK77" s="72"/>
      <c r="BL77" s="72"/>
      <c r="BM77" s="72"/>
      <c r="BN77" s="72"/>
      <c r="BO77" s="72"/>
    </row>
  </sheetData>
  <sheetProtection password="D989" sheet="1" objects="1" scenarios="1"/>
  <mergeCells count="61">
    <mergeCell ref="C53:D53"/>
    <mergeCell ref="C48:D48"/>
    <mergeCell ref="C49:D49"/>
    <mergeCell ref="C50:D50"/>
    <mergeCell ref="C51:D51"/>
    <mergeCell ref="C52:D52"/>
    <mergeCell ref="E63:O63"/>
    <mergeCell ref="AU62:BG62"/>
    <mergeCell ref="AU63:BG63"/>
    <mergeCell ref="C42:D42"/>
    <mergeCell ref="C40:D40"/>
    <mergeCell ref="C55:D55"/>
    <mergeCell ref="C56:D56"/>
    <mergeCell ref="C57:D57"/>
    <mergeCell ref="C58:D58"/>
    <mergeCell ref="C59:D59"/>
    <mergeCell ref="C54:D54"/>
    <mergeCell ref="C43:D43"/>
    <mergeCell ref="C44:D44"/>
    <mergeCell ref="C45:D45"/>
    <mergeCell ref="C46:D46"/>
    <mergeCell ref="C47:D47"/>
    <mergeCell ref="C29:D29"/>
    <mergeCell ref="C36:D36"/>
    <mergeCell ref="C37:D37"/>
    <mergeCell ref="C38:D38"/>
    <mergeCell ref="C39:D39"/>
    <mergeCell ref="C31:D31"/>
    <mergeCell ref="C32:D32"/>
    <mergeCell ref="C33:D33"/>
    <mergeCell ref="C34:D34"/>
    <mergeCell ref="C35:D35"/>
    <mergeCell ref="BK13:BK14"/>
    <mergeCell ref="C15:D15"/>
    <mergeCell ref="C16:D16"/>
    <mergeCell ref="C17:D17"/>
    <mergeCell ref="C41:D41"/>
    <mergeCell ref="C30:D30"/>
    <mergeCell ref="C19:D19"/>
    <mergeCell ref="C20:D20"/>
    <mergeCell ref="C21:D21"/>
    <mergeCell ref="C22:D22"/>
    <mergeCell ref="C23:D23"/>
    <mergeCell ref="C24:D24"/>
    <mergeCell ref="C25:D25"/>
    <mergeCell ref="C26:D26"/>
    <mergeCell ref="C27:D27"/>
    <mergeCell ref="C28:D28"/>
    <mergeCell ref="C18:D18"/>
    <mergeCell ref="B13:B14"/>
    <mergeCell ref="C13:D14"/>
    <mergeCell ref="E13:BF13"/>
    <mergeCell ref="BB9:BG9"/>
    <mergeCell ref="BG13:BJ13"/>
    <mergeCell ref="BH9:BJ9"/>
    <mergeCell ref="B2:BK3"/>
    <mergeCell ref="B4:BK4"/>
    <mergeCell ref="BB5:BG5"/>
    <mergeCell ref="BH5:BJ5"/>
    <mergeCell ref="BB7:BG7"/>
    <mergeCell ref="BH7:BJ7"/>
  </mergeCells>
  <conditionalFormatting sqref="BK15:BK59">
    <cfRule type="containsErrors" priority="2">
      <formula>ISERROR(BK15)</formula>
    </cfRule>
  </conditionalFormatting>
  <conditionalFormatting sqref="BK15:BK59">
    <cfRule type="containsText" dxfId="31" priority="1" operator="containsText" text="#¡VALOR!">
      <formula>NOT(ISERROR(SEARCH("#¡VALOR!",BK15)))</formula>
    </cfRule>
  </conditionalFormatting>
  <pageMargins left="0.25" right="0.25" top="0.75" bottom="0.75" header="0.3" footer="0.3"/>
  <pageSetup scale="58" orientation="portrait" r:id="rId1"/>
  <drawing r:id="rId2"/>
  <legacyDrawing r:id="rId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4">
    <tabColor theme="3" tint="-0.499984740745262"/>
    <pageSetUpPr fitToPage="1"/>
  </sheetPr>
  <dimension ref="A1:BE83"/>
  <sheetViews>
    <sheetView showZeros="0" zoomScale="80" zoomScaleNormal="80" workbookViewId="0">
      <pane ySplit="18" topLeftCell="A50" activePane="bottomLeft" state="frozen"/>
      <selection pane="bottomLeft" activeCell="AN18" sqref="AN18"/>
    </sheetView>
  </sheetViews>
  <sheetFormatPr baseColWidth="10" defaultColWidth="11.42578125" defaultRowHeight="15" x14ac:dyDescent="0.25"/>
  <cols>
    <col min="1" max="1" width="1.42578125" style="66" customWidth="1"/>
    <col min="2" max="2" width="3.5703125" style="66" customWidth="1"/>
    <col min="3" max="3" width="28.5703125" style="66" customWidth="1"/>
    <col min="4" max="4" width="4" style="66" customWidth="1"/>
    <col min="5" max="9" width="2.7109375" style="66" customWidth="1"/>
    <col min="10" max="10" width="5.7109375" style="66" customWidth="1"/>
    <col min="11" max="25" width="2.7109375" style="66" customWidth="1"/>
    <col min="26" max="26" width="5.7109375" style="66" customWidth="1"/>
    <col min="27" max="41" width="2.7109375" style="66" customWidth="1"/>
    <col min="42" max="42" width="5.7109375" style="66" customWidth="1"/>
    <col min="43" max="47" width="2.7109375" style="66" customWidth="1"/>
    <col min="48" max="48" width="5.7109375" style="66" customWidth="1"/>
    <col min="49" max="49" width="8.7109375" style="66" customWidth="1"/>
    <col min="50" max="50" width="9.42578125" style="66" customWidth="1"/>
    <col min="51" max="51" width="8.7109375" style="66" customWidth="1"/>
    <col min="52" max="52" width="13.7109375" style="66" customWidth="1"/>
    <col min="53" max="53" width="7" style="66" customWidth="1"/>
    <col min="54" max="54" width="9.5703125" style="66" customWidth="1"/>
    <col min="55" max="55" width="51.7109375" style="66" customWidth="1"/>
    <col min="56" max="16384" width="11.42578125" style="66"/>
  </cols>
  <sheetData>
    <row r="1" spans="1:57" ht="6" customHeight="1" x14ac:dyDescent="0.25">
      <c r="A1" s="101"/>
    </row>
    <row r="2" spans="1:57" ht="6.75" customHeight="1" x14ac:dyDescent="0.25">
      <c r="A2" s="102"/>
      <c r="B2" s="72"/>
      <c r="C2" s="72"/>
      <c r="D2" s="72"/>
      <c r="E2" s="72"/>
      <c r="F2" s="72"/>
      <c r="G2" s="72"/>
      <c r="H2" s="72"/>
      <c r="I2" s="72"/>
      <c r="J2" s="72"/>
      <c r="K2" s="72"/>
      <c r="L2" s="72"/>
      <c r="M2" s="72"/>
      <c r="N2" s="72"/>
      <c r="O2" s="72"/>
      <c r="P2" s="72"/>
      <c r="Q2" s="72"/>
      <c r="R2" s="72"/>
      <c r="S2" s="72"/>
      <c r="T2" s="72"/>
      <c r="U2" s="72"/>
      <c r="V2" s="72"/>
      <c r="W2" s="72"/>
      <c r="X2" s="72"/>
      <c r="Y2" s="72"/>
      <c r="Z2" s="72"/>
      <c r="AA2" s="72"/>
      <c r="AB2" s="72"/>
      <c r="AC2" s="72"/>
      <c r="AD2" s="72"/>
      <c r="AE2" s="72"/>
      <c r="AF2" s="72"/>
      <c r="AG2" s="72"/>
      <c r="AH2" s="72"/>
      <c r="AI2" s="72"/>
      <c r="AJ2" s="72"/>
      <c r="AK2" s="72"/>
      <c r="AL2" s="72"/>
      <c r="AM2" s="72"/>
      <c r="AN2" s="72"/>
      <c r="AO2" s="72"/>
      <c r="AP2" s="72"/>
      <c r="AQ2" s="72"/>
      <c r="AR2" s="72"/>
      <c r="AS2" s="72"/>
      <c r="AT2" s="72"/>
      <c r="AU2" s="72"/>
      <c r="AV2" s="72"/>
      <c r="AW2" s="72"/>
      <c r="AX2" s="72"/>
      <c r="AY2" s="72"/>
      <c r="AZ2" s="72"/>
      <c r="BA2" s="72"/>
      <c r="BB2" s="72"/>
      <c r="BC2" s="72"/>
      <c r="BD2" s="72"/>
      <c r="BE2" s="72"/>
    </row>
    <row r="3" spans="1:57" ht="9.9499999999999993" customHeight="1" x14ac:dyDescent="0.25">
      <c r="A3" s="102"/>
      <c r="B3" s="639" t="s">
        <v>264</v>
      </c>
      <c r="C3" s="640"/>
      <c r="D3" s="640"/>
      <c r="E3" s="640"/>
      <c r="F3" s="640"/>
      <c r="G3" s="640"/>
      <c r="H3" s="640"/>
      <c r="I3" s="640"/>
      <c r="J3" s="640"/>
      <c r="K3" s="640"/>
      <c r="L3" s="640"/>
      <c r="M3" s="640"/>
      <c r="N3" s="640"/>
      <c r="O3" s="640"/>
      <c r="P3" s="640"/>
      <c r="Q3" s="640"/>
      <c r="R3" s="640"/>
      <c r="S3" s="640"/>
      <c r="T3" s="640"/>
      <c r="U3" s="640"/>
      <c r="V3" s="640"/>
      <c r="W3" s="640"/>
      <c r="X3" s="640"/>
      <c r="Y3" s="640"/>
      <c r="Z3" s="640"/>
      <c r="AA3" s="640"/>
      <c r="AB3" s="640"/>
      <c r="AC3" s="640"/>
      <c r="AD3" s="640"/>
      <c r="AE3" s="640"/>
      <c r="AF3" s="640"/>
      <c r="AG3" s="640"/>
      <c r="AH3" s="640"/>
      <c r="AI3" s="640"/>
      <c r="AJ3" s="640"/>
      <c r="AK3" s="640"/>
      <c r="AL3" s="640"/>
      <c r="AM3" s="640"/>
      <c r="AN3" s="640"/>
      <c r="AO3" s="640"/>
      <c r="AP3" s="640"/>
      <c r="AQ3" s="640"/>
      <c r="AR3" s="640"/>
      <c r="AS3" s="640"/>
      <c r="AT3" s="640"/>
      <c r="AU3" s="640"/>
      <c r="AV3" s="640"/>
      <c r="AW3" s="640"/>
      <c r="AX3" s="640"/>
      <c r="AY3" s="640"/>
      <c r="AZ3" s="640"/>
      <c r="BA3" s="72"/>
      <c r="BB3" s="72"/>
      <c r="BC3" s="72"/>
      <c r="BD3" s="72"/>
      <c r="BE3" s="72"/>
    </row>
    <row r="4" spans="1:57" ht="7.5" customHeight="1" x14ac:dyDescent="0.25">
      <c r="A4" s="102"/>
      <c r="B4" s="639"/>
      <c r="C4" s="640"/>
      <c r="D4" s="640"/>
      <c r="E4" s="640"/>
      <c r="F4" s="640"/>
      <c r="G4" s="640"/>
      <c r="H4" s="640"/>
      <c r="I4" s="640"/>
      <c r="J4" s="640"/>
      <c r="K4" s="640"/>
      <c r="L4" s="640"/>
      <c r="M4" s="640"/>
      <c r="N4" s="640"/>
      <c r="O4" s="640"/>
      <c r="P4" s="640"/>
      <c r="Q4" s="640"/>
      <c r="R4" s="640"/>
      <c r="S4" s="640"/>
      <c r="T4" s="640"/>
      <c r="U4" s="640"/>
      <c r="V4" s="640"/>
      <c r="W4" s="640"/>
      <c r="X4" s="640"/>
      <c r="Y4" s="640"/>
      <c r="Z4" s="640"/>
      <c r="AA4" s="640"/>
      <c r="AB4" s="640"/>
      <c r="AC4" s="640"/>
      <c r="AD4" s="640"/>
      <c r="AE4" s="640"/>
      <c r="AF4" s="640"/>
      <c r="AG4" s="640"/>
      <c r="AH4" s="640"/>
      <c r="AI4" s="640"/>
      <c r="AJ4" s="640"/>
      <c r="AK4" s="640"/>
      <c r="AL4" s="640"/>
      <c r="AM4" s="640"/>
      <c r="AN4" s="640"/>
      <c r="AO4" s="640"/>
      <c r="AP4" s="640"/>
      <c r="AQ4" s="640"/>
      <c r="AR4" s="640"/>
      <c r="AS4" s="640"/>
      <c r="AT4" s="640"/>
      <c r="AU4" s="640"/>
      <c r="AV4" s="640"/>
      <c r="AW4" s="640"/>
      <c r="AX4" s="640"/>
      <c r="AY4" s="640"/>
      <c r="AZ4" s="640"/>
      <c r="BA4" s="72"/>
      <c r="BB4" s="72"/>
      <c r="BC4" s="72"/>
      <c r="BD4" s="72"/>
      <c r="BE4" s="72"/>
    </row>
    <row r="5" spans="1:57" ht="3" customHeight="1" x14ac:dyDescent="0.25">
      <c r="A5" s="102"/>
      <c r="B5" s="115"/>
      <c r="C5" s="115"/>
      <c r="D5" s="115"/>
      <c r="E5" s="115"/>
      <c r="F5" s="115"/>
      <c r="G5" s="115"/>
      <c r="H5" s="115"/>
      <c r="I5" s="115"/>
      <c r="J5" s="115"/>
      <c r="K5" s="115"/>
      <c r="L5" s="115"/>
      <c r="M5" s="115"/>
      <c r="N5" s="115"/>
      <c r="O5" s="115"/>
      <c r="P5" s="115"/>
      <c r="Q5" s="115"/>
      <c r="R5" s="115"/>
      <c r="S5" s="115"/>
      <c r="T5" s="115"/>
      <c r="U5" s="115"/>
      <c r="V5" s="115"/>
      <c r="W5" s="115"/>
      <c r="X5" s="115"/>
      <c r="Y5" s="115"/>
      <c r="Z5" s="115"/>
      <c r="AA5" s="115"/>
      <c r="AB5" s="115"/>
      <c r="AC5" s="115"/>
      <c r="AD5" s="115"/>
      <c r="AE5" s="116"/>
      <c r="AF5" s="72"/>
      <c r="AG5" s="72"/>
      <c r="AH5" s="72"/>
      <c r="AI5" s="72"/>
      <c r="AJ5" s="72"/>
      <c r="AK5" s="72"/>
      <c r="AL5" s="72"/>
      <c r="AM5" s="72"/>
      <c r="AN5" s="72"/>
      <c r="AO5" s="72"/>
      <c r="AP5" s="72"/>
      <c r="AQ5" s="72"/>
      <c r="AR5" s="72"/>
      <c r="AS5" s="72"/>
      <c r="AT5" s="72"/>
      <c r="AU5" s="72"/>
      <c r="AV5" s="72"/>
      <c r="AW5" s="72"/>
      <c r="AX5" s="72"/>
      <c r="AY5" s="72"/>
      <c r="AZ5" s="72"/>
      <c r="BA5" s="72"/>
      <c r="BB5" s="72"/>
      <c r="BC5" s="72"/>
      <c r="BD5" s="72"/>
      <c r="BE5" s="72"/>
    </row>
    <row r="6" spans="1:57" ht="19.5" customHeight="1" x14ac:dyDescent="0.25">
      <c r="A6" s="102"/>
      <c r="B6" s="117"/>
      <c r="C6" s="118" t="s">
        <v>1</v>
      </c>
      <c r="D6" s="119" t="s">
        <v>6</v>
      </c>
      <c r="E6" s="119"/>
      <c r="F6" s="495">
        <f>CARATULA!G20</f>
        <v>0</v>
      </c>
      <c r="G6" s="386"/>
      <c r="H6" s="288"/>
      <c r="I6" s="288"/>
      <c r="J6" s="288"/>
      <c r="K6" s="288"/>
      <c r="L6" s="288"/>
      <c r="M6" s="288"/>
      <c r="N6" s="288"/>
      <c r="O6" s="288"/>
      <c r="P6" s="288"/>
      <c r="Q6" s="288"/>
      <c r="R6" s="288"/>
      <c r="S6" s="288"/>
      <c r="T6" s="120"/>
      <c r="U6" s="120"/>
      <c r="V6" s="120" t="s">
        <v>44</v>
      </c>
      <c r="W6" s="120"/>
      <c r="X6" s="120"/>
      <c r="Y6" s="124"/>
      <c r="Z6" s="139"/>
      <c r="AA6" s="139"/>
      <c r="AB6" s="139"/>
      <c r="AC6" s="303" t="s">
        <v>6</v>
      </c>
      <c r="AD6" s="641">
        <f>CARATULA!P25</f>
        <v>43739</v>
      </c>
      <c r="AE6" s="641"/>
      <c r="AF6" s="641"/>
      <c r="AG6" s="641"/>
      <c r="AH6" s="641"/>
      <c r="AI6" s="121"/>
      <c r="AJ6" s="647"/>
      <c r="AK6" s="647"/>
      <c r="AL6" s="647"/>
      <c r="AM6" s="647"/>
      <c r="AN6" s="647"/>
      <c r="AO6" s="647"/>
      <c r="AP6" s="647"/>
      <c r="AQ6" s="649"/>
      <c r="AR6" s="649"/>
      <c r="AS6" s="668"/>
      <c r="AT6" s="669"/>
      <c r="AU6" s="669"/>
      <c r="AV6" s="669"/>
      <c r="AW6" s="669"/>
      <c r="AX6" s="670"/>
      <c r="AY6" s="643" t="s">
        <v>68</v>
      </c>
      <c r="AZ6" s="644"/>
      <c r="BA6" s="72"/>
      <c r="BB6" s="72"/>
      <c r="BC6" s="72"/>
      <c r="BD6" s="72"/>
      <c r="BE6" s="72"/>
    </row>
    <row r="7" spans="1:57" ht="12.95" customHeight="1" x14ac:dyDescent="0.25">
      <c r="A7" s="102"/>
      <c r="B7" s="117"/>
      <c r="C7" s="118" t="s">
        <v>2</v>
      </c>
      <c r="D7" s="119" t="s">
        <v>6</v>
      </c>
      <c r="E7" s="119"/>
      <c r="F7" s="495">
        <f>CARATULA!G26</f>
        <v>0</v>
      </c>
      <c r="G7" s="386"/>
      <c r="H7" s="288"/>
      <c r="I7" s="288"/>
      <c r="J7" s="288"/>
      <c r="K7" s="288"/>
      <c r="L7" s="288"/>
      <c r="M7" s="288"/>
      <c r="N7" s="288"/>
      <c r="O7" s="288"/>
      <c r="P7" s="288"/>
      <c r="Q7" s="288"/>
      <c r="R7" s="288"/>
      <c r="S7" s="288"/>
      <c r="T7" s="122"/>
      <c r="U7" s="122"/>
      <c r="V7" s="299"/>
      <c r="W7" s="299"/>
      <c r="X7" s="299"/>
      <c r="Y7" s="124"/>
      <c r="Z7" s="124"/>
      <c r="AA7" s="124"/>
      <c r="AB7" s="124"/>
      <c r="AC7" s="304"/>
      <c r="AD7" s="392"/>
      <c r="AE7" s="392"/>
      <c r="AF7" s="306"/>
      <c r="AG7" s="306"/>
      <c r="AH7" s="306"/>
      <c r="AI7" s="78"/>
      <c r="AJ7" s="651" t="s">
        <v>228</v>
      </c>
      <c r="AK7" s="651"/>
      <c r="AL7" s="651"/>
      <c r="AM7" s="651"/>
      <c r="AN7" s="651"/>
      <c r="AO7" s="651"/>
      <c r="AP7" s="651"/>
      <c r="AQ7" s="652">
        <f>COUNTIF(AY19:AY63,"&gt;=50,500")</f>
        <v>0</v>
      </c>
      <c r="AR7" s="652"/>
      <c r="AS7" s="671"/>
      <c r="AT7" s="649"/>
      <c r="AU7" s="649"/>
      <c r="AV7" s="649"/>
      <c r="AW7" s="649"/>
      <c r="AX7" s="672"/>
      <c r="AY7" s="643"/>
      <c r="AZ7" s="644"/>
      <c r="BA7" s="72"/>
      <c r="BB7" s="72"/>
      <c r="BC7" s="72"/>
      <c r="BD7" s="72"/>
      <c r="BE7" s="72"/>
    </row>
    <row r="8" spans="1:57" ht="12.95" customHeight="1" x14ac:dyDescent="0.25">
      <c r="A8" s="102"/>
      <c r="B8" s="117"/>
      <c r="C8" s="118" t="s">
        <v>99</v>
      </c>
      <c r="D8" s="119" t="s">
        <v>6</v>
      </c>
      <c r="E8" s="119"/>
      <c r="F8" s="495" t="str">
        <f>CONCATENATE(CARATULA!G28," ",CARATULA!H28)</f>
        <v xml:space="preserve"> </v>
      </c>
      <c r="G8" s="386"/>
      <c r="H8" s="288"/>
      <c r="I8" s="288"/>
      <c r="J8" s="288"/>
      <c r="K8" s="288"/>
      <c r="L8" s="288"/>
      <c r="M8" s="288"/>
      <c r="N8" s="288"/>
      <c r="O8" s="288"/>
      <c r="P8" s="288"/>
      <c r="Q8" s="288"/>
      <c r="R8" s="288"/>
      <c r="S8" s="288"/>
      <c r="T8" s="125"/>
      <c r="U8" s="120"/>
      <c r="V8" s="125" t="s">
        <v>45</v>
      </c>
      <c r="W8" s="125"/>
      <c r="X8" s="125"/>
      <c r="Y8" s="125"/>
      <c r="Z8" s="125"/>
      <c r="AA8" s="125"/>
      <c r="AB8" s="125"/>
      <c r="AC8" s="303" t="s">
        <v>6</v>
      </c>
      <c r="AD8" s="641">
        <f>CARATULA!R25</f>
        <v>43799</v>
      </c>
      <c r="AE8" s="641"/>
      <c r="AF8" s="641"/>
      <c r="AG8" s="641"/>
      <c r="AH8" s="641"/>
      <c r="AI8" s="121"/>
      <c r="AJ8" s="648" t="s">
        <v>229</v>
      </c>
      <c r="AK8" s="648"/>
      <c r="AL8" s="648"/>
      <c r="AM8" s="648"/>
      <c r="AN8" s="648"/>
      <c r="AO8" s="648"/>
      <c r="AP8" s="648"/>
      <c r="AQ8" s="650">
        <f>COUNTIFS(AY19:AY63,"&gt;=1",AY19:AY63,"&lt;=50,499")</f>
        <v>0</v>
      </c>
      <c r="AR8" s="650"/>
      <c r="AS8" s="671"/>
      <c r="AT8" s="649"/>
      <c r="AU8" s="649"/>
      <c r="AV8" s="649"/>
      <c r="AW8" s="649"/>
      <c r="AX8" s="672"/>
      <c r="AY8" s="645">
        <f ca="1">AD8-AD10</f>
        <v>289</v>
      </c>
      <c r="AZ8" s="646"/>
      <c r="BA8" s="72"/>
      <c r="BB8" s="421"/>
      <c r="BC8" s="421"/>
      <c r="BD8" s="72"/>
      <c r="BE8" s="72"/>
    </row>
    <row r="9" spans="1:57" ht="12.95" customHeight="1" x14ac:dyDescent="0.25">
      <c r="A9" s="102"/>
      <c r="B9" s="117"/>
      <c r="C9" s="118" t="s">
        <v>382</v>
      </c>
      <c r="D9" s="119" t="s">
        <v>6</v>
      </c>
      <c r="E9" s="119"/>
      <c r="F9" s="495">
        <f>CARATULA!G22</f>
        <v>0</v>
      </c>
      <c r="G9" s="386"/>
      <c r="H9" s="288"/>
      <c r="I9" s="288"/>
      <c r="J9" s="288"/>
      <c r="K9" s="288"/>
      <c r="L9" s="288"/>
      <c r="M9" s="288"/>
      <c r="N9" s="288"/>
      <c r="O9" s="288"/>
      <c r="P9" s="288"/>
      <c r="Q9" s="288"/>
      <c r="R9" s="288"/>
      <c r="S9" s="288"/>
      <c r="T9" s="120"/>
      <c r="U9" s="120"/>
      <c r="V9" s="299"/>
      <c r="W9" s="299"/>
      <c r="X9" s="299"/>
      <c r="Y9" s="124"/>
      <c r="Z9" s="124"/>
      <c r="AA9" s="124"/>
      <c r="AB9" s="124"/>
      <c r="AC9" s="304"/>
      <c r="AD9" s="392"/>
      <c r="AE9" s="392"/>
      <c r="AF9" s="359"/>
      <c r="AG9" s="359"/>
      <c r="AH9" s="359"/>
      <c r="AI9" s="76"/>
      <c r="AJ9" s="76"/>
      <c r="AK9" s="76"/>
      <c r="AL9" s="76"/>
      <c r="AM9" s="76"/>
      <c r="AN9" s="76"/>
      <c r="AO9" s="76"/>
      <c r="AP9" s="76"/>
      <c r="AQ9" s="76"/>
      <c r="AR9" s="76"/>
      <c r="AS9" s="671"/>
      <c r="AT9" s="649"/>
      <c r="AU9" s="649"/>
      <c r="AV9" s="649"/>
      <c r="AW9" s="649"/>
      <c r="AX9" s="672"/>
      <c r="AY9" s="645"/>
      <c r="AZ9" s="646"/>
      <c r="BA9" s="72"/>
      <c r="BB9" s="421" t="s">
        <v>313</v>
      </c>
      <c r="BC9" s="421" t="s">
        <v>312</v>
      </c>
      <c r="BD9" s="72"/>
      <c r="BE9" s="72"/>
    </row>
    <row r="10" spans="1:57" ht="12.95" customHeight="1" x14ac:dyDescent="0.25">
      <c r="A10" s="102"/>
      <c r="B10" s="117"/>
      <c r="C10" s="118" t="s">
        <v>383</v>
      </c>
      <c r="D10" s="119" t="s">
        <v>6</v>
      </c>
      <c r="E10" s="119"/>
      <c r="F10" s="495">
        <f>CARATULA!G24</f>
        <v>0</v>
      </c>
      <c r="G10" s="386"/>
      <c r="H10" s="288"/>
      <c r="I10" s="288"/>
      <c r="J10" s="288"/>
      <c r="K10" s="288"/>
      <c r="L10" s="288"/>
      <c r="M10" s="288"/>
      <c r="N10" s="288"/>
      <c r="O10" s="288"/>
      <c r="P10" s="288"/>
      <c r="Q10" s="288"/>
      <c r="R10" s="288"/>
      <c r="S10" s="288"/>
      <c r="T10" s="120"/>
      <c r="U10" s="120"/>
      <c r="V10" s="120" t="s">
        <v>66</v>
      </c>
      <c r="W10" s="120"/>
      <c r="X10" s="120"/>
      <c r="Y10" s="120"/>
      <c r="Z10" s="120"/>
      <c r="AA10" s="120"/>
      <c r="AB10" s="120"/>
      <c r="AC10" s="304" t="s">
        <v>6</v>
      </c>
      <c r="AD10" s="641">
        <f ca="1">TODAY()</f>
        <v>43510</v>
      </c>
      <c r="AE10" s="660"/>
      <c r="AF10" s="660"/>
      <c r="AG10" s="660"/>
      <c r="AH10" s="660"/>
      <c r="AI10" s="76"/>
      <c r="AJ10" s="76"/>
      <c r="AK10" s="76"/>
      <c r="AL10" s="76"/>
      <c r="AM10" s="76"/>
      <c r="AN10" s="76"/>
      <c r="AO10" s="76"/>
      <c r="AP10" s="76"/>
      <c r="AQ10" s="76"/>
      <c r="AR10" s="76"/>
      <c r="AS10" s="671"/>
      <c r="AT10" s="649"/>
      <c r="AU10" s="649"/>
      <c r="AV10" s="649"/>
      <c r="AW10" s="649"/>
      <c r="AX10" s="672"/>
      <c r="AY10" s="645"/>
      <c r="AZ10" s="646"/>
      <c r="BA10" s="72"/>
      <c r="BB10" s="422">
        <v>1</v>
      </c>
      <c r="BC10" s="514" t="str">
        <f>VLOOKUP(BB10,'C. FILIACION'!B14:C58, 2,FALSE)</f>
        <v>SUAREZ EVELIN ISELA</v>
      </c>
      <c r="BD10" s="72"/>
      <c r="BE10" s="72"/>
    </row>
    <row r="11" spans="1:57" ht="12.95" customHeight="1" x14ac:dyDescent="0.25">
      <c r="A11" s="494">
        <f>COUNTIF(AY19:AY63,¨&gt;=50)</f>
        <v>0</v>
      </c>
      <c r="B11" s="117"/>
      <c r="C11" s="118" t="s">
        <v>3</v>
      </c>
      <c r="D11" s="119" t="s">
        <v>6</v>
      </c>
      <c r="E11" s="119"/>
      <c r="F11" s="495">
        <f>CARATULA!G30</f>
        <v>0</v>
      </c>
      <c r="G11" s="386"/>
      <c r="H11" s="288"/>
      <c r="I11" s="288"/>
      <c r="J11" s="288"/>
      <c r="K11" s="288"/>
      <c r="L11" s="288"/>
      <c r="M11" s="288"/>
      <c r="N11" s="288"/>
      <c r="O11" s="288"/>
      <c r="P11" s="288"/>
      <c r="Q11" s="288"/>
      <c r="R11" s="288"/>
      <c r="S11" s="288"/>
      <c r="T11" s="120"/>
      <c r="U11" s="120"/>
      <c r="V11" s="122"/>
      <c r="W11" s="122"/>
      <c r="X11" s="122"/>
      <c r="Y11" s="124"/>
      <c r="Z11" s="124"/>
      <c r="AA11" s="124"/>
      <c r="AB11" s="124"/>
      <c r="AC11" s="124"/>
      <c r="AD11" s="124"/>
      <c r="AE11" s="124"/>
      <c r="AF11" s="76"/>
      <c r="AG11" s="76"/>
      <c r="AH11" s="76"/>
      <c r="AI11" s="76"/>
      <c r="AJ11" s="76"/>
      <c r="AK11" s="76"/>
      <c r="AL11" s="76"/>
      <c r="AM11" s="76"/>
      <c r="AN11" s="76"/>
      <c r="AO11" s="76"/>
      <c r="AP11" s="76"/>
      <c r="AQ11" s="76"/>
      <c r="AR11" s="76"/>
      <c r="AS11" s="671"/>
      <c r="AT11" s="649"/>
      <c r="AU11" s="649"/>
      <c r="AV11" s="649"/>
      <c r="AW11" s="649"/>
      <c r="AX11" s="672"/>
      <c r="AY11" s="645"/>
      <c r="AZ11" s="646"/>
      <c r="BA11" s="72"/>
      <c r="BB11" s="72"/>
      <c r="BC11" s="72"/>
      <c r="BD11" s="72"/>
      <c r="BE11" s="72"/>
    </row>
    <row r="12" spans="1:57" ht="12.95" customHeight="1" x14ac:dyDescent="0.25">
      <c r="A12" s="102"/>
      <c r="B12" s="117"/>
      <c r="C12" s="118" t="s">
        <v>21</v>
      </c>
      <c r="D12" s="119" t="s">
        <v>6</v>
      </c>
      <c r="E12" s="119"/>
      <c r="F12" s="495">
        <f>CARATULA!G32</f>
        <v>0</v>
      </c>
      <c r="G12" s="386"/>
      <c r="H12" s="288"/>
      <c r="I12" s="288"/>
      <c r="J12" s="288"/>
      <c r="K12" s="288"/>
      <c r="L12" s="288"/>
      <c r="M12" s="288"/>
      <c r="N12" s="288"/>
      <c r="O12" s="288"/>
      <c r="P12" s="288"/>
      <c r="Q12" s="288"/>
      <c r="R12" s="288"/>
      <c r="S12" s="288"/>
      <c r="T12" s="122"/>
      <c r="U12" s="122"/>
      <c r="V12" s="122"/>
      <c r="W12" s="122"/>
      <c r="X12" s="122"/>
      <c r="Y12" s="124"/>
      <c r="Z12" s="124"/>
      <c r="AA12" s="124"/>
      <c r="AB12" s="124"/>
      <c r="AC12" s="124"/>
      <c r="AD12" s="124"/>
      <c r="AE12" s="124"/>
      <c r="AF12" s="76"/>
      <c r="AG12" s="76"/>
      <c r="AH12" s="76"/>
      <c r="AI12" s="76"/>
      <c r="AJ12" s="76"/>
      <c r="AK12" s="76"/>
      <c r="AL12" s="76"/>
      <c r="AM12" s="76"/>
      <c r="AN12" s="76"/>
      <c r="AO12" s="76"/>
      <c r="AP12" s="76"/>
      <c r="AQ12" s="76"/>
      <c r="AR12" s="76"/>
      <c r="AS12" s="673"/>
      <c r="AT12" s="674"/>
      <c r="AU12" s="674"/>
      <c r="AV12" s="674"/>
      <c r="AW12" s="674"/>
      <c r="AX12" s="675"/>
      <c r="AY12" s="645"/>
      <c r="AZ12" s="646"/>
      <c r="BA12" s="72"/>
      <c r="BB12" s="72"/>
      <c r="BC12" s="421" t="s">
        <v>314</v>
      </c>
      <c r="BD12" s="72"/>
      <c r="BE12" s="72"/>
    </row>
    <row r="13" spans="1:57" ht="2.25" customHeight="1" x14ac:dyDescent="0.25">
      <c r="A13" s="101"/>
      <c r="B13" s="103"/>
      <c r="C13" s="103"/>
      <c r="D13" s="104"/>
      <c r="E13" s="105"/>
      <c r="F13" s="106"/>
      <c r="G13" s="106"/>
      <c r="H13" s="106"/>
      <c r="I13" s="106"/>
      <c r="J13" s="106"/>
      <c r="K13" s="106"/>
      <c r="L13" s="106"/>
      <c r="M13" s="106"/>
      <c r="N13" s="106"/>
      <c r="O13" s="106"/>
      <c r="P13" s="107"/>
      <c r="Q13" s="107"/>
      <c r="R13" s="106"/>
      <c r="S13" s="106"/>
      <c r="T13" s="106"/>
      <c r="U13" s="106"/>
      <c r="V13" s="106"/>
      <c r="W13" s="106"/>
      <c r="X13" s="106"/>
      <c r="Y13" s="103"/>
      <c r="Z13" s="103"/>
      <c r="AA13" s="103"/>
      <c r="AB13" s="103"/>
      <c r="AC13" s="103"/>
      <c r="AD13" s="103"/>
      <c r="AE13" s="103"/>
      <c r="AF13" s="103"/>
      <c r="AG13" s="103"/>
      <c r="AH13" s="103"/>
      <c r="AI13" s="103"/>
      <c r="AJ13" s="103"/>
      <c r="AZ13" s="108"/>
    </row>
    <row r="14" spans="1:57" ht="24" customHeight="1" x14ac:dyDescent="0.25">
      <c r="A14" s="102"/>
      <c r="B14" s="623"/>
      <c r="C14" s="623"/>
      <c r="D14" s="661" t="s">
        <v>240</v>
      </c>
      <c r="E14" s="662"/>
      <c r="F14" s="662"/>
      <c r="G14" s="662"/>
      <c r="H14" s="662"/>
      <c r="I14" s="662"/>
      <c r="J14" s="662"/>
      <c r="K14" s="662"/>
      <c r="L14" s="662"/>
      <c r="M14" s="662"/>
      <c r="N14" s="662"/>
      <c r="O14" s="662"/>
      <c r="P14" s="662"/>
      <c r="Q14" s="662"/>
      <c r="R14" s="662"/>
      <c r="S14" s="662"/>
      <c r="T14" s="662"/>
      <c r="U14" s="662"/>
      <c r="V14" s="662"/>
      <c r="W14" s="662"/>
      <c r="X14" s="662"/>
      <c r="Y14" s="662"/>
      <c r="Z14" s="662"/>
      <c r="AA14" s="662"/>
      <c r="AB14" s="662"/>
      <c r="AC14" s="662"/>
      <c r="AD14" s="662"/>
      <c r="AE14" s="662"/>
      <c r="AF14" s="662"/>
      <c r="AG14" s="662"/>
      <c r="AH14" s="662"/>
      <c r="AI14" s="662"/>
      <c r="AJ14" s="662"/>
      <c r="AK14" s="662"/>
      <c r="AL14" s="662"/>
      <c r="AM14" s="662"/>
      <c r="AN14" s="662"/>
      <c r="AO14" s="662"/>
      <c r="AP14" s="662"/>
      <c r="AQ14" s="662"/>
      <c r="AR14" s="662"/>
      <c r="AS14" s="662"/>
      <c r="AT14" s="662"/>
      <c r="AU14" s="662"/>
      <c r="AV14" s="663"/>
      <c r="AW14" s="626" t="s">
        <v>238</v>
      </c>
      <c r="AX14" s="627"/>
      <c r="AY14" s="656" t="s">
        <v>206</v>
      </c>
      <c r="AZ14" s="653" t="s">
        <v>67</v>
      </c>
      <c r="BC14" s="506">
        <f ca="1">NOW()</f>
        <v>43510.382920717595</v>
      </c>
    </row>
    <row r="15" spans="1:57" ht="15" customHeight="1" x14ac:dyDescent="0.25">
      <c r="A15" s="72"/>
      <c r="B15" s="624"/>
      <c r="C15" s="624"/>
      <c r="D15" s="664" t="s">
        <v>55</v>
      </c>
      <c r="E15" s="665"/>
      <c r="F15" s="665"/>
      <c r="G15" s="665"/>
      <c r="H15" s="665"/>
      <c r="I15" s="665"/>
      <c r="J15" s="665"/>
      <c r="K15" s="665"/>
      <c r="L15" s="665"/>
      <c r="M15" s="665"/>
      <c r="N15" s="665"/>
      <c r="O15" s="665"/>
      <c r="P15" s="665"/>
      <c r="Q15" s="665"/>
      <c r="R15" s="665"/>
      <c r="S15" s="665"/>
      <c r="T15" s="665"/>
      <c r="U15" s="665"/>
      <c r="V15" s="665"/>
      <c r="W15" s="665"/>
      <c r="X15" s="665"/>
      <c r="Y15" s="665"/>
      <c r="Z15" s="665"/>
      <c r="AA15" s="665"/>
      <c r="AB15" s="665"/>
      <c r="AC15" s="665"/>
      <c r="AD15" s="665"/>
      <c r="AE15" s="665"/>
      <c r="AF15" s="665"/>
      <c r="AG15" s="665"/>
      <c r="AH15" s="665"/>
      <c r="AI15" s="665"/>
      <c r="AJ15" s="665"/>
      <c r="AK15" s="665"/>
      <c r="AL15" s="665"/>
      <c r="AM15" s="665"/>
      <c r="AN15" s="665"/>
      <c r="AO15" s="665"/>
      <c r="AP15" s="665"/>
      <c r="AQ15" s="665"/>
      <c r="AR15" s="665"/>
      <c r="AS15" s="665"/>
      <c r="AT15" s="665"/>
      <c r="AU15" s="665"/>
      <c r="AV15" s="666"/>
      <c r="AW15" s="628" t="s">
        <v>55</v>
      </c>
      <c r="AX15" s="629"/>
      <c r="AY15" s="657"/>
      <c r="AZ15" s="654"/>
    </row>
    <row r="16" spans="1:57" ht="15" customHeight="1" x14ac:dyDescent="0.25">
      <c r="A16" s="72"/>
      <c r="B16" s="624"/>
      <c r="C16" s="624"/>
      <c r="D16" s="667" t="s">
        <v>59</v>
      </c>
      <c r="E16" s="667"/>
      <c r="F16" s="667"/>
      <c r="G16" s="667"/>
      <c r="H16" s="667"/>
      <c r="I16" s="667"/>
      <c r="J16" s="667"/>
      <c r="K16" s="634" t="s">
        <v>58</v>
      </c>
      <c r="L16" s="634"/>
      <c r="M16" s="634"/>
      <c r="N16" s="634"/>
      <c r="O16" s="634"/>
      <c r="P16" s="634"/>
      <c r="Q16" s="634"/>
      <c r="R16" s="634"/>
      <c r="S16" s="634"/>
      <c r="T16" s="634"/>
      <c r="U16" s="634"/>
      <c r="V16" s="634"/>
      <c r="W16" s="634"/>
      <c r="X16" s="634"/>
      <c r="Y16" s="634"/>
      <c r="Z16" s="634"/>
      <c r="AA16" s="635" t="s">
        <v>61</v>
      </c>
      <c r="AB16" s="635"/>
      <c r="AC16" s="635"/>
      <c r="AD16" s="635"/>
      <c r="AE16" s="635"/>
      <c r="AF16" s="635"/>
      <c r="AG16" s="635"/>
      <c r="AH16" s="635"/>
      <c r="AI16" s="635"/>
      <c r="AJ16" s="635"/>
      <c r="AK16" s="635"/>
      <c r="AL16" s="635"/>
      <c r="AM16" s="635"/>
      <c r="AN16" s="635"/>
      <c r="AO16" s="635"/>
      <c r="AP16" s="635"/>
      <c r="AQ16" s="638" t="s">
        <v>60</v>
      </c>
      <c r="AR16" s="638"/>
      <c r="AS16" s="638"/>
      <c r="AT16" s="638"/>
      <c r="AU16" s="638"/>
      <c r="AV16" s="638"/>
      <c r="AW16" s="126" t="s">
        <v>62</v>
      </c>
      <c r="AX16" s="360" t="s">
        <v>63</v>
      </c>
      <c r="AY16" s="657"/>
      <c r="AZ16" s="654"/>
      <c r="BC16" s="421" t="s">
        <v>309</v>
      </c>
    </row>
    <row r="17" spans="1:55" ht="113.25" customHeight="1" x14ac:dyDescent="0.25">
      <c r="A17" s="72"/>
      <c r="B17" s="625"/>
      <c r="C17" s="625"/>
      <c r="D17" s="191" t="s">
        <v>217</v>
      </c>
      <c r="E17" s="725"/>
      <c r="F17" s="726"/>
      <c r="G17" s="726"/>
      <c r="H17" s="726"/>
      <c r="I17" s="727"/>
      <c r="J17" s="617" t="s">
        <v>56</v>
      </c>
      <c r="K17" s="615"/>
      <c r="L17" s="613"/>
      <c r="M17" s="613"/>
      <c r="N17" s="613"/>
      <c r="O17" s="616"/>
      <c r="P17" s="613"/>
      <c r="Q17" s="613"/>
      <c r="R17" s="613"/>
      <c r="S17" s="613"/>
      <c r="T17" s="616"/>
      <c r="U17" s="613"/>
      <c r="V17" s="613"/>
      <c r="W17" s="613"/>
      <c r="X17" s="613"/>
      <c r="Y17" s="614"/>
      <c r="Z17" s="619" t="s">
        <v>57</v>
      </c>
      <c r="AA17" s="615"/>
      <c r="AB17" s="613"/>
      <c r="AC17" s="613"/>
      <c r="AD17" s="613"/>
      <c r="AE17" s="616"/>
      <c r="AF17" s="613"/>
      <c r="AG17" s="613"/>
      <c r="AH17" s="613"/>
      <c r="AI17" s="613"/>
      <c r="AJ17" s="616"/>
      <c r="AK17" s="613"/>
      <c r="AL17" s="613"/>
      <c r="AM17" s="613"/>
      <c r="AN17" s="613"/>
      <c r="AO17" s="614"/>
      <c r="AP17" s="621" t="s">
        <v>57</v>
      </c>
      <c r="AQ17" s="728"/>
      <c r="AR17" s="726"/>
      <c r="AS17" s="726"/>
      <c r="AT17" s="726"/>
      <c r="AU17" s="727"/>
      <c r="AV17" s="636" t="s">
        <v>56</v>
      </c>
      <c r="AW17" s="721"/>
      <c r="AX17" s="723"/>
      <c r="AY17" s="657"/>
      <c r="AZ17" s="654"/>
      <c r="BC17" s="420"/>
    </row>
    <row r="18" spans="1:55" ht="123" customHeight="1" x14ac:dyDescent="0.25">
      <c r="A18" s="72"/>
      <c r="B18" s="128" t="s">
        <v>54</v>
      </c>
      <c r="C18" s="128" t="s">
        <v>65</v>
      </c>
      <c r="D18" s="127" t="s">
        <v>64</v>
      </c>
      <c r="E18" s="345"/>
      <c r="F18" s="343"/>
      <c r="G18" s="343"/>
      <c r="H18" s="343"/>
      <c r="I18" s="343"/>
      <c r="J18" s="618"/>
      <c r="K18" s="343"/>
      <c r="L18" s="343"/>
      <c r="M18" s="343"/>
      <c r="N18" s="343"/>
      <c r="O18" s="344"/>
      <c r="P18" s="345"/>
      <c r="Q18" s="343"/>
      <c r="R18" s="343"/>
      <c r="S18" s="343"/>
      <c r="T18" s="344"/>
      <c r="U18" s="345"/>
      <c r="V18" s="343"/>
      <c r="W18" s="343"/>
      <c r="X18" s="343"/>
      <c r="Y18" s="343"/>
      <c r="Z18" s="620"/>
      <c r="AA18" s="343"/>
      <c r="AB18" s="343"/>
      <c r="AC18" s="343"/>
      <c r="AD18" s="343"/>
      <c r="AE18" s="344"/>
      <c r="AF18" s="345"/>
      <c r="AG18" s="343"/>
      <c r="AH18" s="343"/>
      <c r="AI18" s="343"/>
      <c r="AJ18" s="344"/>
      <c r="AK18" s="345"/>
      <c r="AL18" s="343"/>
      <c r="AM18" s="343"/>
      <c r="AN18" s="343"/>
      <c r="AO18" s="343"/>
      <c r="AP18" s="622"/>
      <c r="AQ18" s="343"/>
      <c r="AR18" s="343"/>
      <c r="AS18" s="343"/>
      <c r="AT18" s="343"/>
      <c r="AU18" s="343"/>
      <c r="AV18" s="637"/>
      <c r="AW18" s="722"/>
      <c r="AX18" s="724"/>
      <c r="AY18" s="658"/>
      <c r="AZ18" s="655"/>
    </row>
    <row r="19" spans="1:55" x14ac:dyDescent="0.25">
      <c r="A19" s="72"/>
      <c r="B19" s="131">
        <v>1</v>
      </c>
      <c r="C19" s="687" t="str">
        <f>'C. FILIACION'!C14</f>
        <v>SUAREZ EVELIN ISELA</v>
      </c>
      <c r="D19" s="688"/>
      <c r="E19" s="248"/>
      <c r="F19" s="249"/>
      <c r="G19" s="249"/>
      <c r="H19" s="249"/>
      <c r="I19" s="249"/>
      <c r="J19" s="500" t="str">
        <f>IFERROR(AVERAGE(E19:I19),"")</f>
        <v/>
      </c>
      <c r="K19" s="249"/>
      <c r="L19" s="249"/>
      <c r="M19" s="249"/>
      <c r="N19" s="249"/>
      <c r="O19" s="250"/>
      <c r="P19" s="248"/>
      <c r="Q19" s="249"/>
      <c r="R19" s="249"/>
      <c r="S19" s="249"/>
      <c r="T19" s="250"/>
      <c r="U19" s="248"/>
      <c r="V19" s="249"/>
      <c r="W19" s="249"/>
      <c r="X19" s="249"/>
      <c r="Y19" s="249"/>
      <c r="Z19" s="501" t="str">
        <f>IFERROR(AVERAGE(K19:Y19),"")</f>
        <v/>
      </c>
      <c r="AA19" s="249"/>
      <c r="AB19" s="249"/>
      <c r="AC19" s="249"/>
      <c r="AD19" s="249"/>
      <c r="AE19" s="250"/>
      <c r="AF19" s="248"/>
      <c r="AG19" s="249"/>
      <c r="AH19" s="249"/>
      <c r="AI19" s="249"/>
      <c r="AJ19" s="250"/>
      <c r="AK19" s="248"/>
      <c r="AL19" s="249"/>
      <c r="AM19" s="249"/>
      <c r="AN19" s="249"/>
      <c r="AO19" s="249"/>
      <c r="AP19" s="502" t="str">
        <f>IFERROR(AVERAGE(AA19:AO19),"")</f>
        <v/>
      </c>
      <c r="AQ19" s="249"/>
      <c r="AR19" s="249"/>
      <c r="AS19" s="249"/>
      <c r="AT19" s="249"/>
      <c r="AU19" s="249"/>
      <c r="AV19" s="503" t="str">
        <f>IFERROR(AVERAGE(AQ19:AU19),"")</f>
        <v/>
      </c>
      <c r="AW19" s="251"/>
      <c r="AX19" s="251"/>
      <c r="AY19" s="507">
        <f>IFERROR((SUM(J19,Z19,AP19,AV19:AX19)),"")</f>
        <v>0</v>
      </c>
      <c r="AZ19" s="498" t="b">
        <f>IF(AY19="","",(IF(AND(AY19&gt;=1,AY19&lt;=50.499),"REPROBADO",IF(AND(AY19&gt;=50.5,AY19&lt;=100),"APROBADO"))))</f>
        <v>0</v>
      </c>
      <c r="BA19" s="149"/>
      <c r="BB19" s="72"/>
    </row>
    <row r="20" spans="1:55" x14ac:dyDescent="0.25">
      <c r="A20" s="72"/>
      <c r="B20" s="132">
        <v>2</v>
      </c>
      <c r="C20" s="687" t="str">
        <f>'C. FILIACION'!C15</f>
        <v>ALARCON  VARGAS JAIR ALEXIS</v>
      </c>
      <c r="D20" s="688"/>
      <c r="E20" s="252"/>
      <c r="F20" s="249"/>
      <c r="G20" s="249"/>
      <c r="H20" s="249"/>
      <c r="I20" s="247"/>
      <c r="J20" s="500" t="str">
        <f t="shared" ref="J20:J63" si="0">IFERROR(AVERAGE(E20:I20),"")</f>
        <v/>
      </c>
      <c r="K20" s="247"/>
      <c r="L20" s="247"/>
      <c r="M20" s="247"/>
      <c r="N20" s="247"/>
      <c r="O20" s="253"/>
      <c r="P20" s="252"/>
      <c r="Q20" s="249"/>
      <c r="R20" s="247"/>
      <c r="S20" s="249"/>
      <c r="T20" s="250"/>
      <c r="U20" s="248"/>
      <c r="V20" s="249"/>
      <c r="W20" s="247"/>
      <c r="X20" s="247"/>
      <c r="Y20" s="247"/>
      <c r="Z20" s="501" t="str">
        <f t="shared" ref="Z20:Z63" si="1">IFERROR(AVERAGE(K20:Y20),"")</f>
        <v/>
      </c>
      <c r="AA20" s="247"/>
      <c r="AB20" s="247"/>
      <c r="AC20" s="249"/>
      <c r="AD20" s="249"/>
      <c r="AE20" s="250"/>
      <c r="AF20" s="252"/>
      <c r="AG20" s="247"/>
      <c r="AH20" s="249"/>
      <c r="AI20" s="247"/>
      <c r="AJ20" s="253"/>
      <c r="AK20" s="252"/>
      <c r="AL20" s="247"/>
      <c r="AM20" s="247"/>
      <c r="AN20" s="247"/>
      <c r="AO20" s="247"/>
      <c r="AP20" s="502" t="str">
        <f t="shared" ref="AP20:AP63" si="2">IFERROR(AVERAGE(AA20:AO20),"")</f>
        <v/>
      </c>
      <c r="AQ20" s="247"/>
      <c r="AR20" s="249"/>
      <c r="AS20" s="249"/>
      <c r="AT20" s="247"/>
      <c r="AU20" s="247"/>
      <c r="AV20" s="503" t="str">
        <f t="shared" ref="AV20:AV63" si="3">IFERROR(AVERAGE(AQ20:AU20),"")</f>
        <v/>
      </c>
      <c r="AW20" s="251"/>
      <c r="AX20" s="251"/>
      <c r="AY20" s="507">
        <f t="shared" ref="AY20:AY62" si="4">IFERROR((SUM(J20,Z20,AP20,AV20:AX20)),"")</f>
        <v>0</v>
      </c>
      <c r="AZ20" s="498" t="b">
        <f t="shared" ref="AZ20:AZ63" si="5">IF(AY20="","",(IF(AND(AY20&gt;=1,AY20&lt;=50.499),"REPROBADO",IF(AND(AY20&gt;=50.5,AY20&lt;=100),"APROBADO"))))</f>
        <v>0</v>
      </c>
      <c r="BA20" s="149"/>
      <c r="BB20" s="72"/>
    </row>
    <row r="21" spans="1:55" x14ac:dyDescent="0.25">
      <c r="A21" s="72"/>
      <c r="B21" s="132">
        <v>3</v>
      </c>
      <c r="C21" s="687" t="str">
        <f>'C. FILIACION'!C16</f>
        <v>AÑAZGO  VARGAS NOELIA</v>
      </c>
      <c r="D21" s="688"/>
      <c r="E21" s="252"/>
      <c r="F21" s="249"/>
      <c r="G21" s="249"/>
      <c r="H21" s="249"/>
      <c r="I21" s="247"/>
      <c r="J21" s="500" t="str">
        <f t="shared" si="0"/>
        <v/>
      </c>
      <c r="K21" s="247"/>
      <c r="L21" s="247"/>
      <c r="M21" s="247"/>
      <c r="N21" s="247"/>
      <c r="O21" s="253"/>
      <c r="P21" s="252"/>
      <c r="Q21" s="249"/>
      <c r="R21" s="247"/>
      <c r="S21" s="249"/>
      <c r="T21" s="250"/>
      <c r="U21" s="248"/>
      <c r="V21" s="249"/>
      <c r="W21" s="247"/>
      <c r="X21" s="247"/>
      <c r="Y21" s="247"/>
      <c r="Z21" s="501" t="str">
        <f t="shared" si="1"/>
        <v/>
      </c>
      <c r="AA21" s="247"/>
      <c r="AB21" s="247"/>
      <c r="AC21" s="249"/>
      <c r="AD21" s="249"/>
      <c r="AE21" s="250"/>
      <c r="AF21" s="252"/>
      <c r="AG21" s="247"/>
      <c r="AH21" s="249"/>
      <c r="AI21" s="247"/>
      <c r="AJ21" s="253"/>
      <c r="AK21" s="252"/>
      <c r="AL21" s="247"/>
      <c r="AM21" s="247"/>
      <c r="AN21" s="247"/>
      <c r="AO21" s="247"/>
      <c r="AP21" s="502" t="str">
        <f t="shared" si="2"/>
        <v/>
      </c>
      <c r="AQ21" s="247"/>
      <c r="AR21" s="249"/>
      <c r="AS21" s="249"/>
      <c r="AT21" s="247"/>
      <c r="AU21" s="247"/>
      <c r="AV21" s="503" t="str">
        <f t="shared" si="3"/>
        <v/>
      </c>
      <c r="AW21" s="251"/>
      <c r="AX21" s="251"/>
      <c r="AY21" s="507">
        <f t="shared" si="4"/>
        <v>0</v>
      </c>
      <c r="AZ21" s="498" t="b">
        <f t="shared" si="5"/>
        <v>0</v>
      </c>
      <c r="BA21" s="149"/>
      <c r="BB21" s="72"/>
    </row>
    <row r="22" spans="1:55" x14ac:dyDescent="0.25">
      <c r="A22" s="72"/>
      <c r="B22" s="132">
        <v>4</v>
      </c>
      <c r="C22" s="687" t="str">
        <f>'C. FILIACION'!C17</f>
        <v>AQUISE HINOJOSA YHAMIR FABIO</v>
      </c>
      <c r="D22" s="688"/>
      <c r="E22" s="252"/>
      <c r="F22" s="249"/>
      <c r="G22" s="249"/>
      <c r="H22" s="249"/>
      <c r="I22" s="247"/>
      <c r="J22" s="500" t="str">
        <f t="shared" si="0"/>
        <v/>
      </c>
      <c r="K22" s="247"/>
      <c r="L22" s="247"/>
      <c r="M22" s="247"/>
      <c r="N22" s="247"/>
      <c r="O22" s="253"/>
      <c r="P22" s="252"/>
      <c r="Q22" s="249"/>
      <c r="R22" s="247"/>
      <c r="S22" s="249"/>
      <c r="T22" s="250"/>
      <c r="U22" s="248"/>
      <c r="V22" s="249"/>
      <c r="W22" s="247"/>
      <c r="X22" s="247"/>
      <c r="Y22" s="247"/>
      <c r="Z22" s="501" t="str">
        <f t="shared" si="1"/>
        <v/>
      </c>
      <c r="AA22" s="247"/>
      <c r="AB22" s="247"/>
      <c r="AC22" s="249"/>
      <c r="AD22" s="249"/>
      <c r="AE22" s="250"/>
      <c r="AF22" s="252"/>
      <c r="AG22" s="247"/>
      <c r="AH22" s="249"/>
      <c r="AI22" s="247"/>
      <c r="AJ22" s="253"/>
      <c r="AK22" s="252"/>
      <c r="AL22" s="247"/>
      <c r="AM22" s="247"/>
      <c r="AN22" s="247"/>
      <c r="AO22" s="247"/>
      <c r="AP22" s="502" t="str">
        <f t="shared" si="2"/>
        <v/>
      </c>
      <c r="AQ22" s="247"/>
      <c r="AR22" s="249"/>
      <c r="AS22" s="249"/>
      <c r="AT22" s="247"/>
      <c r="AU22" s="247"/>
      <c r="AV22" s="503" t="str">
        <f t="shared" si="3"/>
        <v/>
      </c>
      <c r="AW22" s="251"/>
      <c r="AX22" s="251"/>
      <c r="AY22" s="507">
        <f t="shared" si="4"/>
        <v>0</v>
      </c>
      <c r="AZ22" s="498" t="b">
        <f t="shared" si="5"/>
        <v>0</v>
      </c>
      <c r="BA22" s="149"/>
      <c r="BB22" s="72"/>
    </row>
    <row r="23" spans="1:55" x14ac:dyDescent="0.25">
      <c r="A23" s="72"/>
      <c r="B23" s="132">
        <v>5</v>
      </c>
      <c r="C23" s="687" t="str">
        <f>'C. FILIACION'!C18</f>
        <v>ARGANI  LAREDO MARIA JESUS</v>
      </c>
      <c r="D23" s="688"/>
      <c r="E23" s="252"/>
      <c r="F23" s="249"/>
      <c r="G23" s="249"/>
      <c r="H23" s="249"/>
      <c r="I23" s="247"/>
      <c r="J23" s="500" t="str">
        <f t="shared" si="0"/>
        <v/>
      </c>
      <c r="K23" s="247"/>
      <c r="L23" s="247"/>
      <c r="M23" s="247"/>
      <c r="N23" s="247"/>
      <c r="O23" s="253"/>
      <c r="P23" s="252"/>
      <c r="Q23" s="249"/>
      <c r="R23" s="247"/>
      <c r="S23" s="249"/>
      <c r="T23" s="250"/>
      <c r="U23" s="248"/>
      <c r="V23" s="249"/>
      <c r="W23" s="247"/>
      <c r="X23" s="247"/>
      <c r="Y23" s="247"/>
      <c r="Z23" s="501" t="str">
        <f t="shared" si="1"/>
        <v/>
      </c>
      <c r="AA23" s="247"/>
      <c r="AB23" s="247"/>
      <c r="AC23" s="249"/>
      <c r="AD23" s="249"/>
      <c r="AE23" s="250"/>
      <c r="AF23" s="252"/>
      <c r="AG23" s="247"/>
      <c r="AH23" s="249"/>
      <c r="AI23" s="247"/>
      <c r="AJ23" s="253"/>
      <c r="AK23" s="252"/>
      <c r="AL23" s="247"/>
      <c r="AM23" s="247"/>
      <c r="AN23" s="247"/>
      <c r="AO23" s="247"/>
      <c r="AP23" s="502" t="str">
        <f t="shared" si="2"/>
        <v/>
      </c>
      <c r="AQ23" s="247"/>
      <c r="AR23" s="249"/>
      <c r="AS23" s="249"/>
      <c r="AT23" s="247"/>
      <c r="AU23" s="247"/>
      <c r="AV23" s="503" t="str">
        <f t="shared" si="3"/>
        <v/>
      </c>
      <c r="AW23" s="251"/>
      <c r="AX23" s="251"/>
      <c r="AY23" s="507">
        <f t="shared" si="4"/>
        <v>0</v>
      </c>
      <c r="AZ23" s="498" t="b">
        <f t="shared" si="5"/>
        <v>0</v>
      </c>
      <c r="BA23" s="149"/>
      <c r="BB23" s="72"/>
    </row>
    <row r="24" spans="1:55" x14ac:dyDescent="0.25">
      <c r="A24" s="72"/>
      <c r="B24" s="132">
        <v>6</v>
      </c>
      <c r="C24" s="687" t="str">
        <f>'C. FILIACION'!C19</f>
        <v>AYLLON MOLLO RONNY BRUCE</v>
      </c>
      <c r="D24" s="688"/>
      <c r="E24" s="252"/>
      <c r="F24" s="249"/>
      <c r="G24" s="249"/>
      <c r="H24" s="249"/>
      <c r="I24" s="247"/>
      <c r="J24" s="500" t="str">
        <f t="shared" si="0"/>
        <v/>
      </c>
      <c r="K24" s="247"/>
      <c r="L24" s="247"/>
      <c r="M24" s="247"/>
      <c r="N24" s="247"/>
      <c r="O24" s="253"/>
      <c r="P24" s="252"/>
      <c r="Q24" s="249"/>
      <c r="R24" s="247"/>
      <c r="S24" s="249"/>
      <c r="T24" s="250"/>
      <c r="U24" s="248"/>
      <c r="V24" s="249"/>
      <c r="W24" s="247"/>
      <c r="X24" s="247"/>
      <c r="Y24" s="247"/>
      <c r="Z24" s="501" t="str">
        <f t="shared" si="1"/>
        <v/>
      </c>
      <c r="AA24" s="247"/>
      <c r="AB24" s="247"/>
      <c r="AC24" s="249"/>
      <c r="AD24" s="249"/>
      <c r="AE24" s="250"/>
      <c r="AF24" s="252"/>
      <c r="AG24" s="247"/>
      <c r="AH24" s="249"/>
      <c r="AI24" s="247"/>
      <c r="AJ24" s="253"/>
      <c r="AK24" s="252"/>
      <c r="AL24" s="247"/>
      <c r="AM24" s="247"/>
      <c r="AN24" s="247"/>
      <c r="AO24" s="247"/>
      <c r="AP24" s="502" t="str">
        <f t="shared" si="2"/>
        <v/>
      </c>
      <c r="AQ24" s="247"/>
      <c r="AR24" s="249"/>
      <c r="AS24" s="249"/>
      <c r="AT24" s="247"/>
      <c r="AU24" s="247"/>
      <c r="AV24" s="503" t="str">
        <f t="shared" si="3"/>
        <v/>
      </c>
      <c r="AW24" s="251"/>
      <c r="AX24" s="251"/>
      <c r="AY24" s="507">
        <f t="shared" si="4"/>
        <v>0</v>
      </c>
      <c r="AZ24" s="498" t="b">
        <f t="shared" si="5"/>
        <v>0</v>
      </c>
      <c r="BA24" s="149"/>
      <c r="BB24" s="72"/>
    </row>
    <row r="25" spans="1:55" x14ac:dyDescent="0.25">
      <c r="A25" s="72"/>
      <c r="B25" s="132">
        <v>7</v>
      </c>
      <c r="C25" s="687" t="str">
        <f>'C. FILIACION'!C20</f>
        <v>BALBOA  PAZ ANTHONY JR</v>
      </c>
      <c r="D25" s="688"/>
      <c r="E25" s="252"/>
      <c r="F25" s="249"/>
      <c r="G25" s="249"/>
      <c r="H25" s="249"/>
      <c r="I25" s="247"/>
      <c r="J25" s="500" t="str">
        <f t="shared" si="0"/>
        <v/>
      </c>
      <c r="K25" s="247"/>
      <c r="L25" s="247"/>
      <c r="M25" s="247"/>
      <c r="N25" s="247"/>
      <c r="O25" s="253"/>
      <c r="P25" s="252"/>
      <c r="Q25" s="249"/>
      <c r="R25" s="247"/>
      <c r="S25" s="249"/>
      <c r="T25" s="250"/>
      <c r="U25" s="248"/>
      <c r="V25" s="249"/>
      <c r="W25" s="247"/>
      <c r="X25" s="247"/>
      <c r="Y25" s="247"/>
      <c r="Z25" s="501" t="str">
        <f t="shared" si="1"/>
        <v/>
      </c>
      <c r="AA25" s="247"/>
      <c r="AB25" s="247"/>
      <c r="AC25" s="249"/>
      <c r="AD25" s="249"/>
      <c r="AE25" s="250"/>
      <c r="AF25" s="252"/>
      <c r="AG25" s="247"/>
      <c r="AH25" s="249"/>
      <c r="AI25" s="247"/>
      <c r="AJ25" s="253"/>
      <c r="AK25" s="252"/>
      <c r="AL25" s="247"/>
      <c r="AM25" s="247"/>
      <c r="AN25" s="247"/>
      <c r="AO25" s="247"/>
      <c r="AP25" s="502" t="str">
        <f t="shared" si="2"/>
        <v/>
      </c>
      <c r="AQ25" s="247"/>
      <c r="AR25" s="249"/>
      <c r="AS25" s="249"/>
      <c r="AT25" s="247"/>
      <c r="AU25" s="247"/>
      <c r="AV25" s="503" t="str">
        <f t="shared" si="3"/>
        <v/>
      </c>
      <c r="AW25" s="251"/>
      <c r="AX25" s="251"/>
      <c r="AY25" s="507">
        <f t="shared" si="4"/>
        <v>0</v>
      </c>
      <c r="AZ25" s="498" t="b">
        <f t="shared" si="5"/>
        <v>0</v>
      </c>
      <c r="BA25" s="149"/>
      <c r="BB25" s="72"/>
    </row>
    <row r="26" spans="1:55" x14ac:dyDescent="0.25">
      <c r="A26" s="72"/>
      <c r="B26" s="132">
        <v>8</v>
      </c>
      <c r="C26" s="687" t="str">
        <f>'C. FILIACION'!C21</f>
        <v>CAMACHO SALGADO LEONARDO</v>
      </c>
      <c r="D26" s="688"/>
      <c r="E26" s="252"/>
      <c r="F26" s="249"/>
      <c r="G26" s="249"/>
      <c r="H26" s="249"/>
      <c r="I26" s="247"/>
      <c r="J26" s="500" t="str">
        <f t="shared" si="0"/>
        <v/>
      </c>
      <c r="K26" s="247"/>
      <c r="L26" s="247"/>
      <c r="M26" s="247"/>
      <c r="N26" s="247"/>
      <c r="O26" s="253"/>
      <c r="P26" s="252"/>
      <c r="Q26" s="249"/>
      <c r="R26" s="247"/>
      <c r="S26" s="249"/>
      <c r="T26" s="250"/>
      <c r="U26" s="248"/>
      <c r="V26" s="249"/>
      <c r="W26" s="247"/>
      <c r="X26" s="247"/>
      <c r="Y26" s="247"/>
      <c r="Z26" s="501" t="str">
        <f t="shared" si="1"/>
        <v/>
      </c>
      <c r="AA26" s="247"/>
      <c r="AB26" s="247"/>
      <c r="AC26" s="249"/>
      <c r="AD26" s="249"/>
      <c r="AE26" s="250"/>
      <c r="AF26" s="252"/>
      <c r="AG26" s="247"/>
      <c r="AH26" s="249"/>
      <c r="AI26" s="247"/>
      <c r="AJ26" s="253"/>
      <c r="AK26" s="252"/>
      <c r="AL26" s="247"/>
      <c r="AM26" s="247"/>
      <c r="AN26" s="247"/>
      <c r="AO26" s="247"/>
      <c r="AP26" s="502" t="str">
        <f t="shared" si="2"/>
        <v/>
      </c>
      <c r="AQ26" s="247"/>
      <c r="AR26" s="249"/>
      <c r="AS26" s="249"/>
      <c r="AT26" s="247"/>
      <c r="AU26" s="247"/>
      <c r="AV26" s="503" t="str">
        <f t="shared" si="3"/>
        <v/>
      </c>
      <c r="AW26" s="251"/>
      <c r="AX26" s="251"/>
      <c r="AY26" s="507">
        <f t="shared" si="4"/>
        <v>0</v>
      </c>
      <c r="AZ26" s="498" t="b">
        <f t="shared" si="5"/>
        <v>0</v>
      </c>
      <c r="BA26" s="149"/>
      <c r="BB26" s="72"/>
    </row>
    <row r="27" spans="1:55" x14ac:dyDescent="0.25">
      <c r="A27" s="72"/>
      <c r="B27" s="132">
        <v>9</v>
      </c>
      <c r="C27" s="687" t="str">
        <f>'C. FILIACION'!C22</f>
        <v>CARRION MARGUAY FABIANA ALEXANDRA</v>
      </c>
      <c r="D27" s="688"/>
      <c r="E27" s="252"/>
      <c r="F27" s="249"/>
      <c r="G27" s="249"/>
      <c r="H27" s="249"/>
      <c r="I27" s="247"/>
      <c r="J27" s="500" t="str">
        <f t="shared" si="0"/>
        <v/>
      </c>
      <c r="K27" s="247"/>
      <c r="L27" s="247"/>
      <c r="M27" s="247"/>
      <c r="N27" s="247"/>
      <c r="O27" s="253"/>
      <c r="P27" s="252"/>
      <c r="Q27" s="249"/>
      <c r="R27" s="247"/>
      <c r="S27" s="249"/>
      <c r="T27" s="250"/>
      <c r="U27" s="248"/>
      <c r="V27" s="249"/>
      <c r="W27" s="247"/>
      <c r="X27" s="247"/>
      <c r="Y27" s="247"/>
      <c r="Z27" s="501" t="str">
        <f t="shared" si="1"/>
        <v/>
      </c>
      <c r="AA27" s="247"/>
      <c r="AB27" s="247"/>
      <c r="AC27" s="249"/>
      <c r="AD27" s="249"/>
      <c r="AE27" s="250"/>
      <c r="AF27" s="252"/>
      <c r="AG27" s="247"/>
      <c r="AH27" s="249"/>
      <c r="AI27" s="247"/>
      <c r="AJ27" s="253"/>
      <c r="AK27" s="252"/>
      <c r="AL27" s="247"/>
      <c r="AM27" s="247"/>
      <c r="AN27" s="247"/>
      <c r="AO27" s="247"/>
      <c r="AP27" s="502" t="str">
        <f t="shared" si="2"/>
        <v/>
      </c>
      <c r="AQ27" s="247"/>
      <c r="AR27" s="249"/>
      <c r="AS27" s="249"/>
      <c r="AT27" s="247"/>
      <c r="AU27" s="247"/>
      <c r="AV27" s="503" t="str">
        <f t="shared" si="3"/>
        <v/>
      </c>
      <c r="AW27" s="251"/>
      <c r="AX27" s="251"/>
      <c r="AY27" s="507">
        <f t="shared" si="4"/>
        <v>0</v>
      </c>
      <c r="AZ27" s="498" t="b">
        <f t="shared" si="5"/>
        <v>0</v>
      </c>
      <c r="BA27" s="149"/>
      <c r="BB27" s="72"/>
    </row>
    <row r="28" spans="1:55" x14ac:dyDescent="0.25">
      <c r="A28" s="72"/>
      <c r="B28" s="132">
        <v>10</v>
      </c>
      <c r="C28" s="687" t="str">
        <f>'C. FILIACION'!C23</f>
        <v>CAYO CALLE JUAN PABLO</v>
      </c>
      <c r="D28" s="688"/>
      <c r="E28" s="252"/>
      <c r="F28" s="249"/>
      <c r="G28" s="249"/>
      <c r="H28" s="249"/>
      <c r="I28" s="247"/>
      <c r="J28" s="500" t="str">
        <f t="shared" si="0"/>
        <v/>
      </c>
      <c r="K28" s="247"/>
      <c r="L28" s="247"/>
      <c r="M28" s="247"/>
      <c r="N28" s="247"/>
      <c r="O28" s="253"/>
      <c r="P28" s="252"/>
      <c r="Q28" s="249"/>
      <c r="R28" s="247"/>
      <c r="S28" s="249"/>
      <c r="T28" s="250"/>
      <c r="U28" s="248"/>
      <c r="V28" s="249"/>
      <c r="W28" s="247"/>
      <c r="X28" s="247"/>
      <c r="Y28" s="247"/>
      <c r="Z28" s="501" t="str">
        <f t="shared" si="1"/>
        <v/>
      </c>
      <c r="AA28" s="247"/>
      <c r="AB28" s="247"/>
      <c r="AC28" s="249"/>
      <c r="AD28" s="249"/>
      <c r="AE28" s="250"/>
      <c r="AF28" s="252"/>
      <c r="AG28" s="247"/>
      <c r="AH28" s="249"/>
      <c r="AI28" s="247"/>
      <c r="AJ28" s="253"/>
      <c r="AK28" s="252"/>
      <c r="AL28" s="247"/>
      <c r="AM28" s="247"/>
      <c r="AN28" s="247"/>
      <c r="AO28" s="247"/>
      <c r="AP28" s="502" t="str">
        <f t="shared" si="2"/>
        <v/>
      </c>
      <c r="AQ28" s="247"/>
      <c r="AR28" s="249"/>
      <c r="AS28" s="249"/>
      <c r="AT28" s="247"/>
      <c r="AU28" s="247"/>
      <c r="AV28" s="503" t="str">
        <f t="shared" si="3"/>
        <v/>
      </c>
      <c r="AW28" s="251"/>
      <c r="AX28" s="251"/>
      <c r="AY28" s="507">
        <f t="shared" si="4"/>
        <v>0</v>
      </c>
      <c r="AZ28" s="498" t="b">
        <f t="shared" si="5"/>
        <v>0</v>
      </c>
      <c r="BA28" s="149"/>
      <c r="BB28" s="72"/>
    </row>
    <row r="29" spans="1:55" x14ac:dyDescent="0.25">
      <c r="A29" s="72"/>
      <c r="B29" s="132">
        <v>11</v>
      </c>
      <c r="C29" s="687" t="str">
        <f>'C. FILIACION'!C24</f>
        <v>CONDE ZARATE ASHLY OTHANY</v>
      </c>
      <c r="D29" s="688"/>
      <c r="E29" s="252"/>
      <c r="F29" s="249"/>
      <c r="G29" s="249"/>
      <c r="H29" s="249"/>
      <c r="I29" s="247"/>
      <c r="J29" s="500" t="str">
        <f t="shared" si="0"/>
        <v/>
      </c>
      <c r="K29" s="247"/>
      <c r="L29" s="247"/>
      <c r="M29" s="247"/>
      <c r="N29" s="247"/>
      <c r="O29" s="253"/>
      <c r="P29" s="252"/>
      <c r="Q29" s="249"/>
      <c r="R29" s="247"/>
      <c r="S29" s="249"/>
      <c r="T29" s="250"/>
      <c r="U29" s="248"/>
      <c r="V29" s="249"/>
      <c r="W29" s="247"/>
      <c r="X29" s="247"/>
      <c r="Y29" s="247"/>
      <c r="Z29" s="501" t="str">
        <f t="shared" si="1"/>
        <v/>
      </c>
      <c r="AA29" s="247"/>
      <c r="AB29" s="247"/>
      <c r="AC29" s="249"/>
      <c r="AD29" s="249"/>
      <c r="AE29" s="250"/>
      <c r="AF29" s="252"/>
      <c r="AG29" s="247"/>
      <c r="AH29" s="249"/>
      <c r="AI29" s="247"/>
      <c r="AJ29" s="253"/>
      <c r="AK29" s="252"/>
      <c r="AL29" s="247"/>
      <c r="AM29" s="247"/>
      <c r="AN29" s="247"/>
      <c r="AO29" s="247"/>
      <c r="AP29" s="502" t="str">
        <f t="shared" si="2"/>
        <v/>
      </c>
      <c r="AQ29" s="247"/>
      <c r="AR29" s="249"/>
      <c r="AS29" s="249"/>
      <c r="AT29" s="247"/>
      <c r="AU29" s="247"/>
      <c r="AV29" s="503" t="str">
        <f t="shared" si="3"/>
        <v/>
      </c>
      <c r="AW29" s="251"/>
      <c r="AX29" s="251"/>
      <c r="AY29" s="507">
        <f t="shared" si="4"/>
        <v>0</v>
      </c>
      <c r="AZ29" s="498" t="b">
        <f t="shared" si="5"/>
        <v>0</v>
      </c>
      <c r="BA29" s="149"/>
      <c r="BB29" s="72"/>
    </row>
    <row r="30" spans="1:55" x14ac:dyDescent="0.25">
      <c r="A30" s="72"/>
      <c r="B30" s="132">
        <v>12</v>
      </c>
      <c r="C30" s="687" t="str">
        <f>'C. FILIACION'!C25</f>
        <v>CORTEZ RODRIGUEZ  GONZALO AXCELL</v>
      </c>
      <c r="D30" s="688"/>
      <c r="E30" s="252"/>
      <c r="F30" s="249"/>
      <c r="G30" s="249"/>
      <c r="H30" s="249"/>
      <c r="I30" s="247"/>
      <c r="J30" s="500" t="str">
        <f t="shared" si="0"/>
        <v/>
      </c>
      <c r="K30" s="247"/>
      <c r="L30" s="247"/>
      <c r="M30" s="247"/>
      <c r="N30" s="247"/>
      <c r="O30" s="253"/>
      <c r="P30" s="252"/>
      <c r="Q30" s="249"/>
      <c r="R30" s="247"/>
      <c r="S30" s="249"/>
      <c r="T30" s="250"/>
      <c r="U30" s="248"/>
      <c r="V30" s="249"/>
      <c r="W30" s="247"/>
      <c r="X30" s="247"/>
      <c r="Y30" s="247"/>
      <c r="Z30" s="501" t="str">
        <f t="shared" si="1"/>
        <v/>
      </c>
      <c r="AA30" s="247"/>
      <c r="AB30" s="247"/>
      <c r="AC30" s="249"/>
      <c r="AD30" s="249"/>
      <c r="AE30" s="250"/>
      <c r="AF30" s="252"/>
      <c r="AG30" s="247"/>
      <c r="AH30" s="249"/>
      <c r="AI30" s="247"/>
      <c r="AJ30" s="253"/>
      <c r="AK30" s="252"/>
      <c r="AL30" s="247"/>
      <c r="AM30" s="247"/>
      <c r="AN30" s="247"/>
      <c r="AO30" s="247"/>
      <c r="AP30" s="502" t="str">
        <f t="shared" si="2"/>
        <v/>
      </c>
      <c r="AQ30" s="247"/>
      <c r="AR30" s="249"/>
      <c r="AS30" s="249"/>
      <c r="AT30" s="247"/>
      <c r="AU30" s="247"/>
      <c r="AV30" s="503" t="str">
        <f t="shared" si="3"/>
        <v/>
      </c>
      <c r="AW30" s="251"/>
      <c r="AX30" s="251"/>
      <c r="AY30" s="507">
        <f t="shared" si="4"/>
        <v>0</v>
      </c>
      <c r="AZ30" s="498" t="b">
        <f t="shared" si="5"/>
        <v>0</v>
      </c>
      <c r="BA30" s="149"/>
      <c r="BB30" s="72"/>
    </row>
    <row r="31" spans="1:55" x14ac:dyDescent="0.25">
      <c r="A31" s="72"/>
      <c r="B31" s="132">
        <v>13</v>
      </c>
      <c r="C31" s="687" t="str">
        <f>'C. FILIACION'!C26</f>
        <v>HILAYA  TORREZ CARLA JHULIANA</v>
      </c>
      <c r="D31" s="688"/>
      <c r="E31" s="252"/>
      <c r="F31" s="249"/>
      <c r="G31" s="249"/>
      <c r="H31" s="249"/>
      <c r="I31" s="247"/>
      <c r="J31" s="500" t="str">
        <f t="shared" si="0"/>
        <v/>
      </c>
      <c r="K31" s="247"/>
      <c r="L31" s="247"/>
      <c r="M31" s="247"/>
      <c r="N31" s="247"/>
      <c r="O31" s="253"/>
      <c r="P31" s="252"/>
      <c r="Q31" s="249"/>
      <c r="R31" s="247"/>
      <c r="S31" s="249"/>
      <c r="T31" s="250"/>
      <c r="U31" s="248"/>
      <c r="V31" s="249"/>
      <c r="W31" s="247"/>
      <c r="X31" s="247"/>
      <c r="Y31" s="247"/>
      <c r="Z31" s="501" t="str">
        <f t="shared" si="1"/>
        <v/>
      </c>
      <c r="AA31" s="247"/>
      <c r="AB31" s="247"/>
      <c r="AC31" s="249"/>
      <c r="AD31" s="249"/>
      <c r="AE31" s="250"/>
      <c r="AF31" s="252"/>
      <c r="AG31" s="247"/>
      <c r="AH31" s="249"/>
      <c r="AI31" s="247"/>
      <c r="AJ31" s="253"/>
      <c r="AK31" s="252"/>
      <c r="AL31" s="247"/>
      <c r="AM31" s="247"/>
      <c r="AN31" s="247"/>
      <c r="AO31" s="247"/>
      <c r="AP31" s="502" t="str">
        <f t="shared" si="2"/>
        <v/>
      </c>
      <c r="AQ31" s="247"/>
      <c r="AR31" s="249"/>
      <c r="AS31" s="249"/>
      <c r="AT31" s="247"/>
      <c r="AU31" s="247"/>
      <c r="AV31" s="503" t="str">
        <f t="shared" si="3"/>
        <v/>
      </c>
      <c r="AW31" s="251"/>
      <c r="AX31" s="251"/>
      <c r="AY31" s="507">
        <f t="shared" si="4"/>
        <v>0</v>
      </c>
      <c r="AZ31" s="498" t="b">
        <f t="shared" si="5"/>
        <v>0</v>
      </c>
      <c r="BA31" s="149"/>
      <c r="BB31" s="72"/>
    </row>
    <row r="32" spans="1:55" x14ac:dyDescent="0.25">
      <c r="A32" s="72"/>
      <c r="B32" s="132">
        <v>14</v>
      </c>
      <c r="C32" s="687" t="str">
        <f>'C. FILIACION'!C27</f>
        <v>HUANCA CALLISAYA  PATRICIA</v>
      </c>
      <c r="D32" s="688"/>
      <c r="E32" s="252"/>
      <c r="F32" s="249"/>
      <c r="G32" s="249"/>
      <c r="H32" s="249"/>
      <c r="I32" s="247"/>
      <c r="J32" s="500" t="str">
        <f t="shared" si="0"/>
        <v/>
      </c>
      <c r="K32" s="247"/>
      <c r="L32" s="247"/>
      <c r="M32" s="247"/>
      <c r="N32" s="247"/>
      <c r="O32" s="253"/>
      <c r="P32" s="252"/>
      <c r="Q32" s="249"/>
      <c r="R32" s="247"/>
      <c r="S32" s="249"/>
      <c r="T32" s="250"/>
      <c r="U32" s="248"/>
      <c r="V32" s="249"/>
      <c r="W32" s="247"/>
      <c r="X32" s="247"/>
      <c r="Y32" s="247"/>
      <c r="Z32" s="501" t="str">
        <f t="shared" si="1"/>
        <v/>
      </c>
      <c r="AA32" s="247"/>
      <c r="AB32" s="247"/>
      <c r="AC32" s="249"/>
      <c r="AD32" s="249"/>
      <c r="AE32" s="250"/>
      <c r="AF32" s="252"/>
      <c r="AG32" s="247"/>
      <c r="AH32" s="249"/>
      <c r="AI32" s="247"/>
      <c r="AJ32" s="253"/>
      <c r="AK32" s="252"/>
      <c r="AL32" s="247"/>
      <c r="AM32" s="247"/>
      <c r="AN32" s="247"/>
      <c r="AO32" s="247"/>
      <c r="AP32" s="502" t="str">
        <f t="shared" si="2"/>
        <v/>
      </c>
      <c r="AQ32" s="247"/>
      <c r="AR32" s="249"/>
      <c r="AS32" s="249"/>
      <c r="AT32" s="247"/>
      <c r="AU32" s="247"/>
      <c r="AV32" s="503" t="str">
        <f t="shared" si="3"/>
        <v/>
      </c>
      <c r="AW32" s="251"/>
      <c r="AX32" s="251"/>
      <c r="AY32" s="507">
        <f t="shared" si="4"/>
        <v>0</v>
      </c>
      <c r="AZ32" s="498" t="b">
        <f t="shared" si="5"/>
        <v>0</v>
      </c>
      <c r="BA32" s="149"/>
      <c r="BB32" s="72"/>
    </row>
    <row r="33" spans="1:54" x14ac:dyDescent="0.25">
      <c r="A33" s="72"/>
      <c r="B33" s="132">
        <v>15</v>
      </c>
      <c r="C33" s="687" t="str">
        <f>'C. FILIACION'!C28</f>
        <v>LIMACHI RADA GERMAN DOMINGO</v>
      </c>
      <c r="D33" s="688"/>
      <c r="E33" s="252"/>
      <c r="F33" s="249"/>
      <c r="G33" s="249"/>
      <c r="H33" s="249"/>
      <c r="I33" s="247"/>
      <c r="J33" s="500" t="str">
        <f t="shared" si="0"/>
        <v/>
      </c>
      <c r="K33" s="247"/>
      <c r="L33" s="247"/>
      <c r="M33" s="247"/>
      <c r="N33" s="247"/>
      <c r="O33" s="253"/>
      <c r="P33" s="252"/>
      <c r="Q33" s="249"/>
      <c r="R33" s="247"/>
      <c r="S33" s="249"/>
      <c r="T33" s="250"/>
      <c r="U33" s="248"/>
      <c r="V33" s="249"/>
      <c r="W33" s="247"/>
      <c r="X33" s="247"/>
      <c r="Y33" s="247"/>
      <c r="Z33" s="501" t="str">
        <f t="shared" si="1"/>
        <v/>
      </c>
      <c r="AA33" s="247"/>
      <c r="AB33" s="247"/>
      <c r="AC33" s="249"/>
      <c r="AD33" s="249"/>
      <c r="AE33" s="250"/>
      <c r="AF33" s="252"/>
      <c r="AG33" s="247"/>
      <c r="AH33" s="249"/>
      <c r="AI33" s="247"/>
      <c r="AJ33" s="253"/>
      <c r="AK33" s="252"/>
      <c r="AL33" s="247"/>
      <c r="AM33" s="247"/>
      <c r="AN33" s="247"/>
      <c r="AO33" s="247"/>
      <c r="AP33" s="502" t="str">
        <f t="shared" si="2"/>
        <v/>
      </c>
      <c r="AQ33" s="247"/>
      <c r="AR33" s="249"/>
      <c r="AS33" s="249"/>
      <c r="AT33" s="247"/>
      <c r="AU33" s="247"/>
      <c r="AV33" s="503" t="str">
        <f t="shared" si="3"/>
        <v/>
      </c>
      <c r="AW33" s="251"/>
      <c r="AX33" s="251"/>
      <c r="AY33" s="507">
        <f t="shared" si="4"/>
        <v>0</v>
      </c>
      <c r="AZ33" s="498" t="b">
        <f t="shared" si="5"/>
        <v>0</v>
      </c>
      <c r="BA33" s="149"/>
      <c r="BB33" s="72"/>
    </row>
    <row r="34" spans="1:54" x14ac:dyDescent="0.25">
      <c r="A34" s="72"/>
      <c r="B34" s="132">
        <v>16</v>
      </c>
      <c r="C34" s="687" t="str">
        <f>'C. FILIACION'!C29</f>
        <v>MANTILLA SANCHEZ CAROLINA VALERIA</v>
      </c>
      <c r="D34" s="688"/>
      <c r="E34" s="252"/>
      <c r="F34" s="249"/>
      <c r="G34" s="249"/>
      <c r="H34" s="249"/>
      <c r="I34" s="247"/>
      <c r="J34" s="500" t="str">
        <f t="shared" si="0"/>
        <v/>
      </c>
      <c r="K34" s="247"/>
      <c r="L34" s="247"/>
      <c r="M34" s="247"/>
      <c r="N34" s="247"/>
      <c r="O34" s="253"/>
      <c r="P34" s="252"/>
      <c r="Q34" s="249"/>
      <c r="R34" s="247"/>
      <c r="S34" s="249"/>
      <c r="T34" s="250"/>
      <c r="U34" s="248"/>
      <c r="V34" s="249"/>
      <c r="W34" s="247"/>
      <c r="X34" s="247"/>
      <c r="Y34" s="247"/>
      <c r="Z34" s="501" t="str">
        <f t="shared" si="1"/>
        <v/>
      </c>
      <c r="AA34" s="247"/>
      <c r="AB34" s="247"/>
      <c r="AC34" s="249"/>
      <c r="AD34" s="249"/>
      <c r="AE34" s="250"/>
      <c r="AF34" s="252"/>
      <c r="AG34" s="247"/>
      <c r="AH34" s="249"/>
      <c r="AI34" s="247"/>
      <c r="AJ34" s="253"/>
      <c r="AK34" s="252"/>
      <c r="AL34" s="247"/>
      <c r="AM34" s="247"/>
      <c r="AN34" s="247"/>
      <c r="AO34" s="247"/>
      <c r="AP34" s="502" t="str">
        <f t="shared" si="2"/>
        <v/>
      </c>
      <c r="AQ34" s="247"/>
      <c r="AR34" s="249"/>
      <c r="AS34" s="249"/>
      <c r="AT34" s="247"/>
      <c r="AU34" s="247"/>
      <c r="AV34" s="503" t="str">
        <f t="shared" si="3"/>
        <v/>
      </c>
      <c r="AW34" s="251"/>
      <c r="AX34" s="251"/>
      <c r="AY34" s="507">
        <f t="shared" si="4"/>
        <v>0</v>
      </c>
      <c r="AZ34" s="498" t="b">
        <f t="shared" si="5"/>
        <v>0</v>
      </c>
      <c r="BA34" s="149"/>
      <c r="BB34" s="72"/>
    </row>
    <row r="35" spans="1:54" x14ac:dyDescent="0.25">
      <c r="A35" s="72"/>
      <c r="B35" s="132">
        <v>17</v>
      </c>
      <c r="C35" s="687" t="str">
        <f>'C. FILIACION'!C30</f>
        <v>MULLER  ESCOBAR MARCIA BIBIANA</v>
      </c>
      <c r="D35" s="688"/>
      <c r="E35" s="252"/>
      <c r="F35" s="249"/>
      <c r="G35" s="249"/>
      <c r="H35" s="249"/>
      <c r="I35" s="247"/>
      <c r="J35" s="500" t="str">
        <f t="shared" si="0"/>
        <v/>
      </c>
      <c r="K35" s="247"/>
      <c r="L35" s="247"/>
      <c r="M35" s="247"/>
      <c r="N35" s="247"/>
      <c r="O35" s="253"/>
      <c r="P35" s="252"/>
      <c r="Q35" s="249"/>
      <c r="R35" s="247"/>
      <c r="S35" s="249"/>
      <c r="T35" s="250"/>
      <c r="U35" s="248"/>
      <c r="V35" s="249"/>
      <c r="W35" s="247"/>
      <c r="X35" s="247"/>
      <c r="Y35" s="247"/>
      <c r="Z35" s="501" t="str">
        <f t="shared" si="1"/>
        <v/>
      </c>
      <c r="AA35" s="247"/>
      <c r="AB35" s="247"/>
      <c r="AC35" s="249"/>
      <c r="AD35" s="249"/>
      <c r="AE35" s="250"/>
      <c r="AF35" s="252"/>
      <c r="AG35" s="247"/>
      <c r="AH35" s="249"/>
      <c r="AI35" s="247"/>
      <c r="AJ35" s="253"/>
      <c r="AK35" s="252"/>
      <c r="AL35" s="247"/>
      <c r="AM35" s="247"/>
      <c r="AN35" s="247"/>
      <c r="AO35" s="247"/>
      <c r="AP35" s="502" t="str">
        <f t="shared" si="2"/>
        <v/>
      </c>
      <c r="AQ35" s="247"/>
      <c r="AR35" s="249"/>
      <c r="AS35" s="249"/>
      <c r="AT35" s="247"/>
      <c r="AU35" s="247"/>
      <c r="AV35" s="503" t="str">
        <f t="shared" si="3"/>
        <v/>
      </c>
      <c r="AW35" s="251"/>
      <c r="AX35" s="251"/>
      <c r="AY35" s="507">
        <f t="shared" si="4"/>
        <v>0</v>
      </c>
      <c r="AZ35" s="498" t="b">
        <f t="shared" si="5"/>
        <v>0</v>
      </c>
      <c r="BA35" s="149"/>
      <c r="BB35" s="72"/>
    </row>
    <row r="36" spans="1:54" x14ac:dyDescent="0.25">
      <c r="A36" s="72"/>
      <c r="B36" s="132">
        <v>18</v>
      </c>
      <c r="C36" s="687" t="str">
        <f>'C. FILIACION'!C31</f>
        <v xml:space="preserve">POMA MAMANI ADRIAN </v>
      </c>
      <c r="D36" s="688"/>
      <c r="E36" s="252"/>
      <c r="F36" s="249"/>
      <c r="G36" s="249"/>
      <c r="H36" s="249"/>
      <c r="I36" s="247"/>
      <c r="J36" s="500" t="str">
        <f t="shared" si="0"/>
        <v/>
      </c>
      <c r="K36" s="247"/>
      <c r="L36" s="247"/>
      <c r="M36" s="247"/>
      <c r="N36" s="247"/>
      <c r="O36" s="253"/>
      <c r="P36" s="252"/>
      <c r="Q36" s="249"/>
      <c r="R36" s="247"/>
      <c r="S36" s="249"/>
      <c r="T36" s="250"/>
      <c r="U36" s="248"/>
      <c r="V36" s="249"/>
      <c r="W36" s="247"/>
      <c r="X36" s="247"/>
      <c r="Y36" s="247"/>
      <c r="Z36" s="501" t="str">
        <f t="shared" si="1"/>
        <v/>
      </c>
      <c r="AA36" s="247"/>
      <c r="AB36" s="247"/>
      <c r="AC36" s="249"/>
      <c r="AD36" s="249"/>
      <c r="AE36" s="250"/>
      <c r="AF36" s="252"/>
      <c r="AG36" s="247"/>
      <c r="AH36" s="249"/>
      <c r="AI36" s="247"/>
      <c r="AJ36" s="253"/>
      <c r="AK36" s="252"/>
      <c r="AL36" s="247"/>
      <c r="AM36" s="247"/>
      <c r="AN36" s="247"/>
      <c r="AO36" s="247"/>
      <c r="AP36" s="502" t="str">
        <f t="shared" si="2"/>
        <v/>
      </c>
      <c r="AQ36" s="247"/>
      <c r="AR36" s="249"/>
      <c r="AS36" s="249"/>
      <c r="AT36" s="247"/>
      <c r="AU36" s="247"/>
      <c r="AV36" s="503" t="str">
        <f t="shared" si="3"/>
        <v/>
      </c>
      <c r="AW36" s="251"/>
      <c r="AX36" s="251"/>
      <c r="AY36" s="507">
        <f t="shared" si="4"/>
        <v>0</v>
      </c>
      <c r="AZ36" s="498" t="b">
        <f t="shared" si="5"/>
        <v>0</v>
      </c>
      <c r="BA36" s="149"/>
      <c r="BB36" s="72"/>
    </row>
    <row r="37" spans="1:54" x14ac:dyDescent="0.25">
      <c r="A37" s="72"/>
      <c r="B37" s="132">
        <v>19</v>
      </c>
      <c r="C37" s="687" t="str">
        <f>'C. FILIACION'!C32</f>
        <v>PORTILLO  JALJA JHOSEP ERLAN</v>
      </c>
      <c r="D37" s="688"/>
      <c r="E37" s="252"/>
      <c r="F37" s="249"/>
      <c r="G37" s="249"/>
      <c r="H37" s="249"/>
      <c r="I37" s="247"/>
      <c r="J37" s="500" t="str">
        <f t="shared" si="0"/>
        <v/>
      </c>
      <c r="K37" s="247"/>
      <c r="L37" s="247"/>
      <c r="M37" s="247"/>
      <c r="N37" s="247"/>
      <c r="O37" s="253"/>
      <c r="P37" s="252"/>
      <c r="Q37" s="249"/>
      <c r="R37" s="247"/>
      <c r="S37" s="249"/>
      <c r="T37" s="250"/>
      <c r="U37" s="248"/>
      <c r="V37" s="249"/>
      <c r="W37" s="247"/>
      <c r="X37" s="247"/>
      <c r="Y37" s="247"/>
      <c r="Z37" s="501" t="str">
        <f t="shared" si="1"/>
        <v/>
      </c>
      <c r="AA37" s="247"/>
      <c r="AB37" s="247"/>
      <c r="AC37" s="249"/>
      <c r="AD37" s="249"/>
      <c r="AE37" s="250"/>
      <c r="AF37" s="252"/>
      <c r="AG37" s="247"/>
      <c r="AH37" s="249"/>
      <c r="AI37" s="247"/>
      <c r="AJ37" s="253"/>
      <c r="AK37" s="252"/>
      <c r="AL37" s="247"/>
      <c r="AM37" s="247"/>
      <c r="AN37" s="247"/>
      <c r="AO37" s="247"/>
      <c r="AP37" s="502" t="str">
        <f t="shared" si="2"/>
        <v/>
      </c>
      <c r="AQ37" s="247"/>
      <c r="AR37" s="249"/>
      <c r="AS37" s="249"/>
      <c r="AT37" s="247"/>
      <c r="AU37" s="247"/>
      <c r="AV37" s="503" t="str">
        <f t="shared" si="3"/>
        <v/>
      </c>
      <c r="AW37" s="251"/>
      <c r="AX37" s="251"/>
      <c r="AY37" s="507">
        <f t="shared" si="4"/>
        <v>0</v>
      </c>
      <c r="AZ37" s="498" t="b">
        <f t="shared" si="5"/>
        <v>0</v>
      </c>
      <c r="BA37" s="149"/>
      <c r="BB37" s="72"/>
    </row>
    <row r="38" spans="1:54" x14ac:dyDescent="0.25">
      <c r="A38" s="72"/>
      <c r="B38" s="132">
        <v>20</v>
      </c>
      <c r="C38" s="687" t="str">
        <f>'C. FILIACION'!C33</f>
        <v>PUJRO  CHAUCA DIANA MARIBEL</v>
      </c>
      <c r="D38" s="688"/>
      <c r="E38" s="252"/>
      <c r="F38" s="249"/>
      <c r="G38" s="249"/>
      <c r="H38" s="249"/>
      <c r="I38" s="247"/>
      <c r="J38" s="500" t="str">
        <f t="shared" si="0"/>
        <v/>
      </c>
      <c r="K38" s="247"/>
      <c r="L38" s="247"/>
      <c r="M38" s="247"/>
      <c r="N38" s="247"/>
      <c r="O38" s="253"/>
      <c r="P38" s="252"/>
      <c r="Q38" s="249"/>
      <c r="R38" s="247"/>
      <c r="S38" s="249"/>
      <c r="T38" s="250"/>
      <c r="U38" s="248"/>
      <c r="V38" s="249"/>
      <c r="W38" s="247"/>
      <c r="X38" s="247"/>
      <c r="Y38" s="247"/>
      <c r="Z38" s="501" t="str">
        <f t="shared" si="1"/>
        <v/>
      </c>
      <c r="AA38" s="247"/>
      <c r="AB38" s="247"/>
      <c r="AC38" s="249"/>
      <c r="AD38" s="249"/>
      <c r="AE38" s="250"/>
      <c r="AF38" s="252"/>
      <c r="AG38" s="247"/>
      <c r="AH38" s="249"/>
      <c r="AI38" s="247"/>
      <c r="AJ38" s="253"/>
      <c r="AK38" s="252"/>
      <c r="AL38" s="247"/>
      <c r="AM38" s="247"/>
      <c r="AN38" s="247"/>
      <c r="AO38" s="247"/>
      <c r="AP38" s="502" t="str">
        <f t="shared" si="2"/>
        <v/>
      </c>
      <c r="AQ38" s="247"/>
      <c r="AR38" s="249"/>
      <c r="AS38" s="249"/>
      <c r="AT38" s="247"/>
      <c r="AU38" s="247"/>
      <c r="AV38" s="503" t="str">
        <f t="shared" si="3"/>
        <v/>
      </c>
      <c r="AW38" s="251"/>
      <c r="AX38" s="251"/>
      <c r="AY38" s="507">
        <f t="shared" si="4"/>
        <v>0</v>
      </c>
      <c r="AZ38" s="498" t="b">
        <f t="shared" si="5"/>
        <v>0</v>
      </c>
      <c r="BA38" s="149"/>
      <c r="BB38" s="72"/>
    </row>
    <row r="39" spans="1:54" x14ac:dyDescent="0.25">
      <c r="A39" s="72"/>
      <c r="B39" s="132">
        <v>21</v>
      </c>
      <c r="C39" s="687" t="str">
        <f>'C. FILIACION'!C34</f>
        <v>SANCHEZ  MOLINA ALEXIS VHADIR</v>
      </c>
      <c r="D39" s="688"/>
      <c r="E39" s="252"/>
      <c r="F39" s="249"/>
      <c r="G39" s="249"/>
      <c r="H39" s="249"/>
      <c r="I39" s="247"/>
      <c r="J39" s="500" t="str">
        <f t="shared" si="0"/>
        <v/>
      </c>
      <c r="K39" s="247"/>
      <c r="L39" s="247"/>
      <c r="M39" s="247"/>
      <c r="N39" s="247"/>
      <c r="O39" s="253"/>
      <c r="P39" s="252"/>
      <c r="Q39" s="249"/>
      <c r="R39" s="247"/>
      <c r="S39" s="249"/>
      <c r="T39" s="250"/>
      <c r="U39" s="248"/>
      <c r="V39" s="249"/>
      <c r="W39" s="247"/>
      <c r="X39" s="247"/>
      <c r="Y39" s="247"/>
      <c r="Z39" s="501" t="str">
        <f t="shared" si="1"/>
        <v/>
      </c>
      <c r="AA39" s="247"/>
      <c r="AB39" s="247"/>
      <c r="AC39" s="249"/>
      <c r="AD39" s="249"/>
      <c r="AE39" s="250"/>
      <c r="AF39" s="252"/>
      <c r="AG39" s="247"/>
      <c r="AH39" s="249"/>
      <c r="AI39" s="247"/>
      <c r="AJ39" s="253"/>
      <c r="AK39" s="252"/>
      <c r="AL39" s="247"/>
      <c r="AM39" s="247"/>
      <c r="AN39" s="247"/>
      <c r="AO39" s="247"/>
      <c r="AP39" s="502" t="str">
        <f t="shared" si="2"/>
        <v/>
      </c>
      <c r="AQ39" s="247"/>
      <c r="AR39" s="249"/>
      <c r="AS39" s="249"/>
      <c r="AT39" s="247"/>
      <c r="AU39" s="247"/>
      <c r="AV39" s="503" t="str">
        <f t="shared" si="3"/>
        <v/>
      </c>
      <c r="AW39" s="251"/>
      <c r="AX39" s="251"/>
      <c r="AY39" s="507">
        <f t="shared" si="4"/>
        <v>0</v>
      </c>
      <c r="AZ39" s="498" t="b">
        <f t="shared" si="5"/>
        <v>0</v>
      </c>
      <c r="BA39" s="149"/>
      <c r="BB39" s="72"/>
    </row>
    <row r="40" spans="1:54" x14ac:dyDescent="0.25">
      <c r="A40" s="72"/>
      <c r="B40" s="132">
        <v>22</v>
      </c>
      <c r="C40" s="687" t="str">
        <f>'C. FILIACION'!C35</f>
        <v>SARAVIA SALVATIERRA JOSSE AMED</v>
      </c>
      <c r="D40" s="688"/>
      <c r="E40" s="252"/>
      <c r="F40" s="249"/>
      <c r="G40" s="249"/>
      <c r="H40" s="249"/>
      <c r="I40" s="247"/>
      <c r="J40" s="500" t="str">
        <f t="shared" si="0"/>
        <v/>
      </c>
      <c r="K40" s="247"/>
      <c r="L40" s="247"/>
      <c r="M40" s="247"/>
      <c r="N40" s="247"/>
      <c r="O40" s="253"/>
      <c r="P40" s="252"/>
      <c r="Q40" s="249"/>
      <c r="R40" s="247"/>
      <c r="S40" s="249"/>
      <c r="T40" s="250"/>
      <c r="U40" s="248"/>
      <c r="V40" s="249"/>
      <c r="W40" s="247"/>
      <c r="X40" s="247"/>
      <c r="Y40" s="247"/>
      <c r="Z40" s="501" t="str">
        <f t="shared" si="1"/>
        <v/>
      </c>
      <c r="AA40" s="247"/>
      <c r="AB40" s="247"/>
      <c r="AC40" s="249"/>
      <c r="AD40" s="249"/>
      <c r="AE40" s="250"/>
      <c r="AF40" s="252"/>
      <c r="AG40" s="247"/>
      <c r="AH40" s="249"/>
      <c r="AI40" s="247"/>
      <c r="AJ40" s="253"/>
      <c r="AK40" s="252"/>
      <c r="AL40" s="247"/>
      <c r="AM40" s="247"/>
      <c r="AN40" s="247"/>
      <c r="AO40" s="247"/>
      <c r="AP40" s="502" t="str">
        <f t="shared" si="2"/>
        <v/>
      </c>
      <c r="AQ40" s="247"/>
      <c r="AR40" s="249"/>
      <c r="AS40" s="249"/>
      <c r="AT40" s="247"/>
      <c r="AU40" s="247"/>
      <c r="AV40" s="503" t="str">
        <f t="shared" si="3"/>
        <v/>
      </c>
      <c r="AW40" s="251"/>
      <c r="AX40" s="251"/>
      <c r="AY40" s="507">
        <f t="shared" si="4"/>
        <v>0</v>
      </c>
      <c r="AZ40" s="498" t="b">
        <f t="shared" si="5"/>
        <v>0</v>
      </c>
      <c r="BA40" s="149"/>
      <c r="BB40" s="72"/>
    </row>
    <row r="41" spans="1:54" x14ac:dyDescent="0.25">
      <c r="A41" s="72"/>
      <c r="B41" s="132">
        <v>23</v>
      </c>
      <c r="C41" s="687" t="str">
        <f>'C. FILIACION'!C36</f>
        <v>SIERRA LUNA GABRIEL  GERMAN</v>
      </c>
      <c r="D41" s="688"/>
      <c r="E41" s="252"/>
      <c r="F41" s="249"/>
      <c r="G41" s="249"/>
      <c r="H41" s="249"/>
      <c r="I41" s="247"/>
      <c r="J41" s="500" t="str">
        <f t="shared" si="0"/>
        <v/>
      </c>
      <c r="K41" s="247"/>
      <c r="L41" s="247"/>
      <c r="M41" s="247"/>
      <c r="N41" s="247"/>
      <c r="O41" s="253"/>
      <c r="P41" s="252"/>
      <c r="Q41" s="249"/>
      <c r="R41" s="247"/>
      <c r="S41" s="249"/>
      <c r="T41" s="250"/>
      <c r="U41" s="248"/>
      <c r="V41" s="249"/>
      <c r="W41" s="247"/>
      <c r="X41" s="247"/>
      <c r="Y41" s="247"/>
      <c r="Z41" s="501" t="str">
        <f t="shared" si="1"/>
        <v/>
      </c>
      <c r="AA41" s="247"/>
      <c r="AB41" s="247"/>
      <c r="AC41" s="249"/>
      <c r="AD41" s="249"/>
      <c r="AE41" s="250"/>
      <c r="AF41" s="252"/>
      <c r="AG41" s="247"/>
      <c r="AH41" s="249"/>
      <c r="AI41" s="247"/>
      <c r="AJ41" s="253"/>
      <c r="AK41" s="252"/>
      <c r="AL41" s="247"/>
      <c r="AM41" s="247"/>
      <c r="AN41" s="247"/>
      <c r="AO41" s="247"/>
      <c r="AP41" s="502" t="str">
        <f t="shared" si="2"/>
        <v/>
      </c>
      <c r="AQ41" s="247"/>
      <c r="AR41" s="249"/>
      <c r="AS41" s="249"/>
      <c r="AT41" s="247"/>
      <c r="AU41" s="247"/>
      <c r="AV41" s="503" t="str">
        <f t="shared" si="3"/>
        <v/>
      </c>
      <c r="AW41" s="251"/>
      <c r="AX41" s="251"/>
      <c r="AY41" s="507">
        <f t="shared" si="4"/>
        <v>0</v>
      </c>
      <c r="AZ41" s="498" t="b">
        <f t="shared" si="5"/>
        <v>0</v>
      </c>
      <c r="BA41" s="149"/>
      <c r="BB41" s="72"/>
    </row>
    <row r="42" spans="1:54" x14ac:dyDescent="0.25">
      <c r="A42" s="72"/>
      <c r="B42" s="132">
        <v>24</v>
      </c>
      <c r="C42" s="687" t="str">
        <f>'C. FILIACION'!C37</f>
        <v>ZEWANE  MARTINEZ LINDA JHAMILETT</v>
      </c>
      <c r="D42" s="688"/>
      <c r="E42" s="252"/>
      <c r="F42" s="249"/>
      <c r="G42" s="249"/>
      <c r="H42" s="249"/>
      <c r="I42" s="247"/>
      <c r="J42" s="500" t="str">
        <f t="shared" si="0"/>
        <v/>
      </c>
      <c r="K42" s="247"/>
      <c r="L42" s="247"/>
      <c r="M42" s="247"/>
      <c r="N42" s="247"/>
      <c r="O42" s="253"/>
      <c r="P42" s="252"/>
      <c r="Q42" s="249"/>
      <c r="R42" s="247"/>
      <c r="S42" s="249"/>
      <c r="T42" s="250"/>
      <c r="U42" s="248"/>
      <c r="V42" s="249"/>
      <c r="W42" s="247"/>
      <c r="X42" s="247"/>
      <c r="Y42" s="247"/>
      <c r="Z42" s="501" t="str">
        <f t="shared" si="1"/>
        <v/>
      </c>
      <c r="AA42" s="247"/>
      <c r="AB42" s="247"/>
      <c r="AC42" s="249"/>
      <c r="AD42" s="249"/>
      <c r="AE42" s="250"/>
      <c r="AF42" s="252"/>
      <c r="AG42" s="247"/>
      <c r="AH42" s="249"/>
      <c r="AI42" s="247"/>
      <c r="AJ42" s="253"/>
      <c r="AK42" s="252"/>
      <c r="AL42" s="247"/>
      <c r="AM42" s="247"/>
      <c r="AN42" s="247"/>
      <c r="AO42" s="247"/>
      <c r="AP42" s="502" t="str">
        <f t="shared" si="2"/>
        <v/>
      </c>
      <c r="AQ42" s="247"/>
      <c r="AR42" s="249"/>
      <c r="AS42" s="249"/>
      <c r="AT42" s="247"/>
      <c r="AU42" s="247"/>
      <c r="AV42" s="503" t="str">
        <f t="shared" si="3"/>
        <v/>
      </c>
      <c r="AW42" s="251"/>
      <c r="AX42" s="251"/>
      <c r="AY42" s="507">
        <f t="shared" si="4"/>
        <v>0</v>
      </c>
      <c r="AZ42" s="498" t="b">
        <f t="shared" si="5"/>
        <v>0</v>
      </c>
      <c r="BA42" s="149"/>
      <c r="BB42" s="72"/>
    </row>
    <row r="43" spans="1:54" x14ac:dyDescent="0.25">
      <c r="A43" s="72"/>
      <c r="B43" s="132">
        <v>25</v>
      </c>
      <c r="C43" s="687">
        <f>'C. FILIACION'!C38</f>
        <v>0</v>
      </c>
      <c r="D43" s="688"/>
      <c r="E43" s="252"/>
      <c r="F43" s="249"/>
      <c r="G43" s="249"/>
      <c r="H43" s="249"/>
      <c r="I43" s="247"/>
      <c r="J43" s="500" t="str">
        <f t="shared" si="0"/>
        <v/>
      </c>
      <c r="K43" s="247"/>
      <c r="L43" s="247"/>
      <c r="M43" s="247"/>
      <c r="N43" s="247"/>
      <c r="O43" s="253"/>
      <c r="P43" s="252"/>
      <c r="Q43" s="249"/>
      <c r="R43" s="247"/>
      <c r="S43" s="249"/>
      <c r="T43" s="250"/>
      <c r="U43" s="248"/>
      <c r="V43" s="249"/>
      <c r="W43" s="247"/>
      <c r="X43" s="247"/>
      <c r="Y43" s="247"/>
      <c r="Z43" s="501" t="str">
        <f t="shared" si="1"/>
        <v/>
      </c>
      <c r="AA43" s="247"/>
      <c r="AB43" s="247"/>
      <c r="AC43" s="249"/>
      <c r="AD43" s="249"/>
      <c r="AE43" s="250"/>
      <c r="AF43" s="252"/>
      <c r="AG43" s="247"/>
      <c r="AH43" s="249"/>
      <c r="AI43" s="247"/>
      <c r="AJ43" s="253"/>
      <c r="AK43" s="252"/>
      <c r="AL43" s="247"/>
      <c r="AM43" s="247"/>
      <c r="AN43" s="247"/>
      <c r="AO43" s="247"/>
      <c r="AP43" s="502" t="str">
        <f t="shared" si="2"/>
        <v/>
      </c>
      <c r="AQ43" s="247"/>
      <c r="AR43" s="249"/>
      <c r="AS43" s="249"/>
      <c r="AT43" s="247"/>
      <c r="AU43" s="247"/>
      <c r="AV43" s="503" t="str">
        <f t="shared" si="3"/>
        <v/>
      </c>
      <c r="AW43" s="251"/>
      <c r="AX43" s="251"/>
      <c r="AY43" s="507">
        <f t="shared" si="4"/>
        <v>0</v>
      </c>
      <c r="AZ43" s="498" t="b">
        <f t="shared" si="5"/>
        <v>0</v>
      </c>
      <c r="BA43" s="149"/>
      <c r="BB43" s="72"/>
    </row>
    <row r="44" spans="1:54" x14ac:dyDescent="0.25">
      <c r="A44" s="72"/>
      <c r="B44" s="132">
        <v>26</v>
      </c>
      <c r="C44" s="687">
        <f>'C. FILIACION'!C39</f>
        <v>0</v>
      </c>
      <c r="D44" s="688"/>
      <c r="E44" s="252"/>
      <c r="F44" s="249"/>
      <c r="G44" s="249"/>
      <c r="H44" s="249"/>
      <c r="I44" s="247"/>
      <c r="J44" s="500" t="str">
        <f t="shared" si="0"/>
        <v/>
      </c>
      <c r="K44" s="247"/>
      <c r="L44" s="247"/>
      <c r="M44" s="247"/>
      <c r="N44" s="247"/>
      <c r="O44" s="253"/>
      <c r="P44" s="252"/>
      <c r="Q44" s="249"/>
      <c r="R44" s="247"/>
      <c r="S44" s="249"/>
      <c r="T44" s="250"/>
      <c r="U44" s="248"/>
      <c r="V44" s="249"/>
      <c r="W44" s="247"/>
      <c r="X44" s="247"/>
      <c r="Y44" s="247"/>
      <c r="Z44" s="501" t="str">
        <f t="shared" si="1"/>
        <v/>
      </c>
      <c r="AA44" s="247"/>
      <c r="AB44" s="247"/>
      <c r="AC44" s="249"/>
      <c r="AD44" s="249"/>
      <c r="AE44" s="250"/>
      <c r="AF44" s="252"/>
      <c r="AG44" s="247"/>
      <c r="AH44" s="249"/>
      <c r="AI44" s="247"/>
      <c r="AJ44" s="253"/>
      <c r="AK44" s="252"/>
      <c r="AL44" s="247"/>
      <c r="AM44" s="247"/>
      <c r="AN44" s="247"/>
      <c r="AO44" s="247"/>
      <c r="AP44" s="502" t="str">
        <f t="shared" si="2"/>
        <v/>
      </c>
      <c r="AQ44" s="247"/>
      <c r="AR44" s="249"/>
      <c r="AS44" s="249"/>
      <c r="AT44" s="247"/>
      <c r="AU44" s="247"/>
      <c r="AV44" s="503" t="str">
        <f t="shared" si="3"/>
        <v/>
      </c>
      <c r="AW44" s="251"/>
      <c r="AX44" s="251"/>
      <c r="AY44" s="507">
        <f t="shared" si="4"/>
        <v>0</v>
      </c>
      <c r="AZ44" s="498" t="b">
        <f t="shared" si="5"/>
        <v>0</v>
      </c>
      <c r="BA44" s="149"/>
      <c r="BB44" s="72"/>
    </row>
    <row r="45" spans="1:54" x14ac:dyDescent="0.25">
      <c r="A45" s="72"/>
      <c r="B45" s="132">
        <v>27</v>
      </c>
      <c r="C45" s="687">
        <f>'C. FILIACION'!C40</f>
        <v>0</v>
      </c>
      <c r="D45" s="688"/>
      <c r="E45" s="252"/>
      <c r="F45" s="249"/>
      <c r="G45" s="249"/>
      <c r="H45" s="249"/>
      <c r="I45" s="247"/>
      <c r="J45" s="500" t="str">
        <f t="shared" si="0"/>
        <v/>
      </c>
      <c r="K45" s="247"/>
      <c r="L45" s="247"/>
      <c r="M45" s="247"/>
      <c r="N45" s="247"/>
      <c r="O45" s="253"/>
      <c r="P45" s="252"/>
      <c r="Q45" s="249"/>
      <c r="R45" s="247"/>
      <c r="S45" s="249"/>
      <c r="T45" s="250"/>
      <c r="U45" s="248"/>
      <c r="V45" s="249"/>
      <c r="W45" s="247"/>
      <c r="X45" s="247"/>
      <c r="Y45" s="247"/>
      <c r="Z45" s="501" t="str">
        <f t="shared" si="1"/>
        <v/>
      </c>
      <c r="AA45" s="247"/>
      <c r="AB45" s="247"/>
      <c r="AC45" s="249"/>
      <c r="AD45" s="249"/>
      <c r="AE45" s="250"/>
      <c r="AF45" s="252"/>
      <c r="AG45" s="247"/>
      <c r="AH45" s="249"/>
      <c r="AI45" s="247"/>
      <c r="AJ45" s="253"/>
      <c r="AK45" s="252"/>
      <c r="AL45" s="247"/>
      <c r="AM45" s="247"/>
      <c r="AN45" s="247"/>
      <c r="AO45" s="247"/>
      <c r="AP45" s="502" t="str">
        <f t="shared" si="2"/>
        <v/>
      </c>
      <c r="AQ45" s="247"/>
      <c r="AR45" s="249"/>
      <c r="AS45" s="249"/>
      <c r="AT45" s="247"/>
      <c r="AU45" s="247"/>
      <c r="AV45" s="503" t="str">
        <f t="shared" si="3"/>
        <v/>
      </c>
      <c r="AW45" s="251"/>
      <c r="AX45" s="251"/>
      <c r="AY45" s="507">
        <f t="shared" si="4"/>
        <v>0</v>
      </c>
      <c r="AZ45" s="498" t="b">
        <f t="shared" si="5"/>
        <v>0</v>
      </c>
      <c r="BA45" s="149"/>
      <c r="BB45" s="72"/>
    </row>
    <row r="46" spans="1:54" x14ac:dyDescent="0.25">
      <c r="A46" s="72"/>
      <c r="B46" s="132">
        <v>28</v>
      </c>
      <c r="C46" s="687">
        <f>'C. FILIACION'!C41</f>
        <v>0</v>
      </c>
      <c r="D46" s="688"/>
      <c r="E46" s="252"/>
      <c r="F46" s="249"/>
      <c r="G46" s="249"/>
      <c r="H46" s="249"/>
      <c r="I46" s="247"/>
      <c r="J46" s="500" t="str">
        <f t="shared" si="0"/>
        <v/>
      </c>
      <c r="K46" s="247"/>
      <c r="L46" s="247"/>
      <c r="M46" s="247"/>
      <c r="N46" s="247"/>
      <c r="O46" s="253"/>
      <c r="P46" s="252"/>
      <c r="Q46" s="249"/>
      <c r="R46" s="247"/>
      <c r="S46" s="249"/>
      <c r="T46" s="250"/>
      <c r="U46" s="248"/>
      <c r="V46" s="249"/>
      <c r="W46" s="247"/>
      <c r="X46" s="247"/>
      <c r="Y46" s="247"/>
      <c r="Z46" s="501" t="str">
        <f t="shared" si="1"/>
        <v/>
      </c>
      <c r="AA46" s="247"/>
      <c r="AB46" s="247"/>
      <c r="AC46" s="249"/>
      <c r="AD46" s="249"/>
      <c r="AE46" s="250"/>
      <c r="AF46" s="252"/>
      <c r="AG46" s="247"/>
      <c r="AH46" s="249"/>
      <c r="AI46" s="247"/>
      <c r="AJ46" s="253"/>
      <c r="AK46" s="252"/>
      <c r="AL46" s="247"/>
      <c r="AM46" s="247"/>
      <c r="AN46" s="247"/>
      <c r="AO46" s="247"/>
      <c r="AP46" s="502" t="str">
        <f t="shared" si="2"/>
        <v/>
      </c>
      <c r="AQ46" s="247"/>
      <c r="AR46" s="249"/>
      <c r="AS46" s="249"/>
      <c r="AT46" s="247"/>
      <c r="AU46" s="247"/>
      <c r="AV46" s="503" t="str">
        <f t="shared" si="3"/>
        <v/>
      </c>
      <c r="AW46" s="251"/>
      <c r="AX46" s="251"/>
      <c r="AY46" s="507">
        <f t="shared" si="4"/>
        <v>0</v>
      </c>
      <c r="AZ46" s="498" t="b">
        <f t="shared" si="5"/>
        <v>0</v>
      </c>
      <c r="BA46" s="149"/>
      <c r="BB46" s="72"/>
    </row>
    <row r="47" spans="1:54" x14ac:dyDescent="0.25">
      <c r="A47" s="72"/>
      <c r="B47" s="132">
        <v>29</v>
      </c>
      <c r="C47" s="687">
        <f>'C. FILIACION'!C42</f>
        <v>0</v>
      </c>
      <c r="D47" s="688"/>
      <c r="E47" s="252"/>
      <c r="F47" s="249"/>
      <c r="G47" s="249"/>
      <c r="H47" s="249"/>
      <c r="I47" s="247"/>
      <c r="J47" s="500" t="str">
        <f t="shared" si="0"/>
        <v/>
      </c>
      <c r="K47" s="247"/>
      <c r="L47" s="247"/>
      <c r="M47" s="247"/>
      <c r="N47" s="247"/>
      <c r="O47" s="253"/>
      <c r="P47" s="252"/>
      <c r="Q47" s="249"/>
      <c r="R47" s="247"/>
      <c r="S47" s="249"/>
      <c r="T47" s="250"/>
      <c r="U47" s="248"/>
      <c r="V47" s="249"/>
      <c r="W47" s="247"/>
      <c r="X47" s="247"/>
      <c r="Y47" s="247"/>
      <c r="Z47" s="501" t="str">
        <f t="shared" si="1"/>
        <v/>
      </c>
      <c r="AA47" s="247"/>
      <c r="AB47" s="247"/>
      <c r="AC47" s="249"/>
      <c r="AD47" s="249"/>
      <c r="AE47" s="250"/>
      <c r="AF47" s="252"/>
      <c r="AG47" s="247"/>
      <c r="AH47" s="249"/>
      <c r="AI47" s="247"/>
      <c r="AJ47" s="253"/>
      <c r="AK47" s="252"/>
      <c r="AL47" s="247"/>
      <c r="AM47" s="247"/>
      <c r="AN47" s="247"/>
      <c r="AO47" s="247"/>
      <c r="AP47" s="502" t="str">
        <f t="shared" si="2"/>
        <v/>
      </c>
      <c r="AQ47" s="247"/>
      <c r="AR47" s="249"/>
      <c r="AS47" s="249"/>
      <c r="AT47" s="247"/>
      <c r="AU47" s="247"/>
      <c r="AV47" s="503" t="str">
        <f t="shared" si="3"/>
        <v/>
      </c>
      <c r="AW47" s="251"/>
      <c r="AX47" s="251"/>
      <c r="AY47" s="507">
        <f t="shared" si="4"/>
        <v>0</v>
      </c>
      <c r="AZ47" s="498" t="b">
        <f t="shared" si="5"/>
        <v>0</v>
      </c>
      <c r="BA47" s="149"/>
      <c r="BB47" s="72"/>
    </row>
    <row r="48" spans="1:54" x14ac:dyDescent="0.25">
      <c r="A48" s="72"/>
      <c r="B48" s="132">
        <v>30</v>
      </c>
      <c r="C48" s="687">
        <f>'C. FILIACION'!C43</f>
        <v>0</v>
      </c>
      <c r="D48" s="688"/>
      <c r="E48" s="252"/>
      <c r="F48" s="249"/>
      <c r="G48" s="249"/>
      <c r="H48" s="249"/>
      <c r="I48" s="247"/>
      <c r="J48" s="500" t="str">
        <f t="shared" si="0"/>
        <v/>
      </c>
      <c r="K48" s="247"/>
      <c r="L48" s="247"/>
      <c r="M48" s="247"/>
      <c r="N48" s="247"/>
      <c r="O48" s="253"/>
      <c r="P48" s="252"/>
      <c r="Q48" s="249"/>
      <c r="R48" s="247"/>
      <c r="S48" s="249"/>
      <c r="T48" s="250"/>
      <c r="U48" s="248"/>
      <c r="V48" s="249"/>
      <c r="W48" s="247"/>
      <c r="X48" s="247"/>
      <c r="Y48" s="247"/>
      <c r="Z48" s="501" t="str">
        <f t="shared" si="1"/>
        <v/>
      </c>
      <c r="AA48" s="247"/>
      <c r="AB48" s="247"/>
      <c r="AC48" s="249"/>
      <c r="AD48" s="249"/>
      <c r="AE48" s="250"/>
      <c r="AF48" s="252"/>
      <c r="AG48" s="247"/>
      <c r="AH48" s="249"/>
      <c r="AI48" s="247"/>
      <c r="AJ48" s="253"/>
      <c r="AK48" s="252"/>
      <c r="AL48" s="247"/>
      <c r="AM48" s="247"/>
      <c r="AN48" s="247"/>
      <c r="AO48" s="247"/>
      <c r="AP48" s="502" t="str">
        <f t="shared" si="2"/>
        <v/>
      </c>
      <c r="AQ48" s="247"/>
      <c r="AR48" s="249"/>
      <c r="AS48" s="249"/>
      <c r="AT48" s="247"/>
      <c r="AU48" s="247"/>
      <c r="AV48" s="503" t="str">
        <f t="shared" si="3"/>
        <v/>
      </c>
      <c r="AW48" s="251"/>
      <c r="AX48" s="251"/>
      <c r="AY48" s="507">
        <f t="shared" si="4"/>
        <v>0</v>
      </c>
      <c r="AZ48" s="498" t="b">
        <f t="shared" si="5"/>
        <v>0</v>
      </c>
      <c r="BA48" s="149"/>
      <c r="BB48" s="72"/>
    </row>
    <row r="49" spans="1:54" x14ac:dyDescent="0.25">
      <c r="A49" s="72"/>
      <c r="B49" s="132">
        <v>31</v>
      </c>
      <c r="C49" s="687">
        <f>'C. FILIACION'!C44</f>
        <v>0</v>
      </c>
      <c r="D49" s="688"/>
      <c r="E49" s="252"/>
      <c r="F49" s="249"/>
      <c r="G49" s="249"/>
      <c r="H49" s="249"/>
      <c r="I49" s="247"/>
      <c r="J49" s="500" t="str">
        <f t="shared" si="0"/>
        <v/>
      </c>
      <c r="K49" s="247"/>
      <c r="L49" s="247"/>
      <c r="M49" s="247"/>
      <c r="N49" s="247"/>
      <c r="O49" s="253"/>
      <c r="P49" s="252"/>
      <c r="Q49" s="249"/>
      <c r="R49" s="247"/>
      <c r="S49" s="249"/>
      <c r="T49" s="250"/>
      <c r="U49" s="248"/>
      <c r="V49" s="249"/>
      <c r="W49" s="247"/>
      <c r="X49" s="247"/>
      <c r="Y49" s="247"/>
      <c r="Z49" s="501" t="str">
        <f t="shared" si="1"/>
        <v/>
      </c>
      <c r="AA49" s="247"/>
      <c r="AB49" s="247"/>
      <c r="AC49" s="249"/>
      <c r="AD49" s="249"/>
      <c r="AE49" s="250"/>
      <c r="AF49" s="252"/>
      <c r="AG49" s="247"/>
      <c r="AH49" s="249"/>
      <c r="AI49" s="247"/>
      <c r="AJ49" s="253"/>
      <c r="AK49" s="252"/>
      <c r="AL49" s="247"/>
      <c r="AM49" s="247"/>
      <c r="AN49" s="247"/>
      <c r="AO49" s="247"/>
      <c r="AP49" s="502" t="str">
        <f t="shared" si="2"/>
        <v/>
      </c>
      <c r="AQ49" s="247"/>
      <c r="AR49" s="249"/>
      <c r="AS49" s="249"/>
      <c r="AT49" s="247"/>
      <c r="AU49" s="247"/>
      <c r="AV49" s="503" t="str">
        <f t="shared" si="3"/>
        <v/>
      </c>
      <c r="AW49" s="251"/>
      <c r="AX49" s="251"/>
      <c r="AY49" s="507">
        <f t="shared" si="4"/>
        <v>0</v>
      </c>
      <c r="AZ49" s="498" t="b">
        <f t="shared" si="5"/>
        <v>0</v>
      </c>
      <c r="BA49" s="149"/>
      <c r="BB49" s="72"/>
    </row>
    <row r="50" spans="1:54" x14ac:dyDescent="0.25">
      <c r="A50" s="72"/>
      <c r="B50" s="132">
        <v>32</v>
      </c>
      <c r="C50" s="687">
        <f>'C. FILIACION'!C45</f>
        <v>0</v>
      </c>
      <c r="D50" s="688"/>
      <c r="E50" s="252"/>
      <c r="F50" s="249"/>
      <c r="G50" s="249"/>
      <c r="H50" s="249"/>
      <c r="I50" s="247"/>
      <c r="J50" s="500" t="str">
        <f t="shared" si="0"/>
        <v/>
      </c>
      <c r="K50" s="247"/>
      <c r="L50" s="247"/>
      <c r="M50" s="247"/>
      <c r="N50" s="247"/>
      <c r="O50" s="253"/>
      <c r="P50" s="252"/>
      <c r="Q50" s="249"/>
      <c r="R50" s="247"/>
      <c r="S50" s="249"/>
      <c r="T50" s="250"/>
      <c r="U50" s="248"/>
      <c r="V50" s="249"/>
      <c r="W50" s="247"/>
      <c r="X50" s="247"/>
      <c r="Y50" s="247"/>
      <c r="Z50" s="501" t="str">
        <f t="shared" si="1"/>
        <v/>
      </c>
      <c r="AA50" s="247"/>
      <c r="AB50" s="247"/>
      <c r="AC50" s="249"/>
      <c r="AD50" s="249"/>
      <c r="AE50" s="250"/>
      <c r="AF50" s="252"/>
      <c r="AG50" s="247"/>
      <c r="AH50" s="249"/>
      <c r="AI50" s="247"/>
      <c r="AJ50" s="253"/>
      <c r="AK50" s="252"/>
      <c r="AL50" s="247"/>
      <c r="AM50" s="247"/>
      <c r="AN50" s="247"/>
      <c r="AO50" s="247"/>
      <c r="AP50" s="502" t="str">
        <f t="shared" si="2"/>
        <v/>
      </c>
      <c r="AQ50" s="247"/>
      <c r="AR50" s="249"/>
      <c r="AS50" s="249"/>
      <c r="AT50" s="247"/>
      <c r="AU50" s="247"/>
      <c r="AV50" s="503" t="str">
        <f t="shared" si="3"/>
        <v/>
      </c>
      <c r="AW50" s="251"/>
      <c r="AX50" s="251"/>
      <c r="AY50" s="507">
        <f t="shared" si="4"/>
        <v>0</v>
      </c>
      <c r="AZ50" s="498" t="b">
        <f t="shared" si="5"/>
        <v>0</v>
      </c>
      <c r="BA50" s="149"/>
      <c r="BB50" s="72"/>
    </row>
    <row r="51" spans="1:54" x14ac:dyDescent="0.25">
      <c r="A51" s="72"/>
      <c r="B51" s="132">
        <v>33</v>
      </c>
      <c r="C51" s="687">
        <f>'C. FILIACION'!C46</f>
        <v>0</v>
      </c>
      <c r="D51" s="688"/>
      <c r="E51" s="252"/>
      <c r="F51" s="249"/>
      <c r="G51" s="249"/>
      <c r="H51" s="249"/>
      <c r="I51" s="247"/>
      <c r="J51" s="500" t="str">
        <f t="shared" si="0"/>
        <v/>
      </c>
      <c r="K51" s="247"/>
      <c r="L51" s="247"/>
      <c r="M51" s="247"/>
      <c r="N51" s="247"/>
      <c r="O51" s="253"/>
      <c r="P51" s="252"/>
      <c r="Q51" s="249"/>
      <c r="R51" s="247"/>
      <c r="S51" s="249"/>
      <c r="T51" s="250"/>
      <c r="U51" s="248"/>
      <c r="V51" s="249"/>
      <c r="W51" s="247"/>
      <c r="X51" s="247"/>
      <c r="Y51" s="247"/>
      <c r="Z51" s="501" t="str">
        <f t="shared" si="1"/>
        <v/>
      </c>
      <c r="AA51" s="247"/>
      <c r="AB51" s="247"/>
      <c r="AC51" s="249"/>
      <c r="AD51" s="249"/>
      <c r="AE51" s="250"/>
      <c r="AF51" s="252"/>
      <c r="AG51" s="247"/>
      <c r="AH51" s="249"/>
      <c r="AI51" s="247"/>
      <c r="AJ51" s="253"/>
      <c r="AK51" s="252"/>
      <c r="AL51" s="247"/>
      <c r="AM51" s="247"/>
      <c r="AN51" s="247"/>
      <c r="AO51" s="247"/>
      <c r="AP51" s="502" t="str">
        <f t="shared" si="2"/>
        <v/>
      </c>
      <c r="AQ51" s="247"/>
      <c r="AR51" s="249"/>
      <c r="AS51" s="249"/>
      <c r="AT51" s="247"/>
      <c r="AU51" s="247"/>
      <c r="AV51" s="503" t="str">
        <f t="shared" si="3"/>
        <v/>
      </c>
      <c r="AW51" s="251"/>
      <c r="AX51" s="251"/>
      <c r="AY51" s="507">
        <f t="shared" si="4"/>
        <v>0</v>
      </c>
      <c r="AZ51" s="498" t="b">
        <f t="shared" si="5"/>
        <v>0</v>
      </c>
      <c r="BA51" s="149"/>
      <c r="BB51" s="72"/>
    </row>
    <row r="52" spans="1:54" x14ac:dyDescent="0.25">
      <c r="A52" s="72"/>
      <c r="B52" s="132">
        <v>34</v>
      </c>
      <c r="C52" s="687">
        <f>'C. FILIACION'!C47</f>
        <v>0</v>
      </c>
      <c r="D52" s="688"/>
      <c r="E52" s="252"/>
      <c r="F52" s="249"/>
      <c r="G52" s="249"/>
      <c r="H52" s="249"/>
      <c r="I52" s="247"/>
      <c r="J52" s="500" t="str">
        <f t="shared" si="0"/>
        <v/>
      </c>
      <c r="K52" s="247"/>
      <c r="L52" s="247"/>
      <c r="M52" s="247"/>
      <c r="N52" s="247"/>
      <c r="O52" s="253"/>
      <c r="P52" s="252"/>
      <c r="Q52" s="249"/>
      <c r="R52" s="247"/>
      <c r="S52" s="249"/>
      <c r="T52" s="250"/>
      <c r="U52" s="248"/>
      <c r="V52" s="249"/>
      <c r="W52" s="247"/>
      <c r="X52" s="247"/>
      <c r="Y52" s="247"/>
      <c r="Z52" s="501" t="str">
        <f t="shared" si="1"/>
        <v/>
      </c>
      <c r="AA52" s="247"/>
      <c r="AB52" s="247"/>
      <c r="AC52" s="249"/>
      <c r="AD52" s="249"/>
      <c r="AE52" s="250"/>
      <c r="AF52" s="252"/>
      <c r="AG52" s="247"/>
      <c r="AH52" s="249"/>
      <c r="AI52" s="247"/>
      <c r="AJ52" s="253"/>
      <c r="AK52" s="252"/>
      <c r="AL52" s="247"/>
      <c r="AM52" s="247"/>
      <c r="AN52" s="247"/>
      <c r="AO52" s="247"/>
      <c r="AP52" s="502" t="str">
        <f t="shared" si="2"/>
        <v/>
      </c>
      <c r="AQ52" s="247"/>
      <c r="AR52" s="249"/>
      <c r="AS52" s="249"/>
      <c r="AT52" s="247"/>
      <c r="AU52" s="247"/>
      <c r="AV52" s="503" t="str">
        <f t="shared" si="3"/>
        <v/>
      </c>
      <c r="AW52" s="251"/>
      <c r="AX52" s="251"/>
      <c r="AY52" s="507">
        <f t="shared" si="4"/>
        <v>0</v>
      </c>
      <c r="AZ52" s="498" t="b">
        <f t="shared" si="5"/>
        <v>0</v>
      </c>
      <c r="BA52" s="149"/>
      <c r="BB52" s="72"/>
    </row>
    <row r="53" spans="1:54" x14ac:dyDescent="0.25">
      <c r="A53" s="72"/>
      <c r="B53" s="132">
        <v>35</v>
      </c>
      <c r="C53" s="687">
        <f>'C. FILIACION'!C48</f>
        <v>0</v>
      </c>
      <c r="D53" s="688"/>
      <c r="E53" s="252"/>
      <c r="F53" s="249"/>
      <c r="G53" s="249"/>
      <c r="H53" s="249"/>
      <c r="I53" s="247"/>
      <c r="J53" s="500" t="str">
        <f t="shared" si="0"/>
        <v/>
      </c>
      <c r="K53" s="247"/>
      <c r="L53" s="247"/>
      <c r="M53" s="247"/>
      <c r="N53" s="247"/>
      <c r="O53" s="253"/>
      <c r="P53" s="252"/>
      <c r="Q53" s="249"/>
      <c r="R53" s="247"/>
      <c r="S53" s="249"/>
      <c r="T53" s="250"/>
      <c r="U53" s="248"/>
      <c r="V53" s="249"/>
      <c r="W53" s="247"/>
      <c r="X53" s="247"/>
      <c r="Y53" s="247"/>
      <c r="Z53" s="501" t="str">
        <f t="shared" si="1"/>
        <v/>
      </c>
      <c r="AA53" s="247"/>
      <c r="AB53" s="247"/>
      <c r="AC53" s="249"/>
      <c r="AD53" s="249"/>
      <c r="AE53" s="250"/>
      <c r="AF53" s="252"/>
      <c r="AG53" s="247"/>
      <c r="AH53" s="249"/>
      <c r="AI53" s="247"/>
      <c r="AJ53" s="253"/>
      <c r="AK53" s="252"/>
      <c r="AL53" s="247"/>
      <c r="AM53" s="247"/>
      <c r="AN53" s="247"/>
      <c r="AO53" s="247"/>
      <c r="AP53" s="502" t="str">
        <f t="shared" si="2"/>
        <v/>
      </c>
      <c r="AQ53" s="247"/>
      <c r="AR53" s="249"/>
      <c r="AS53" s="249"/>
      <c r="AT53" s="247"/>
      <c r="AU53" s="247"/>
      <c r="AV53" s="503" t="str">
        <f t="shared" si="3"/>
        <v/>
      </c>
      <c r="AW53" s="251"/>
      <c r="AX53" s="251"/>
      <c r="AY53" s="507">
        <f t="shared" si="4"/>
        <v>0</v>
      </c>
      <c r="AZ53" s="498" t="b">
        <f t="shared" si="5"/>
        <v>0</v>
      </c>
      <c r="BA53" s="149"/>
      <c r="BB53" s="72"/>
    </row>
    <row r="54" spans="1:54" x14ac:dyDescent="0.25">
      <c r="A54" s="72"/>
      <c r="B54" s="132">
        <v>36</v>
      </c>
      <c r="C54" s="687">
        <f>'C. FILIACION'!C49</f>
        <v>0</v>
      </c>
      <c r="D54" s="688"/>
      <c r="E54" s="252"/>
      <c r="F54" s="249"/>
      <c r="G54" s="249"/>
      <c r="H54" s="249"/>
      <c r="I54" s="247"/>
      <c r="J54" s="500" t="str">
        <f t="shared" si="0"/>
        <v/>
      </c>
      <c r="K54" s="247"/>
      <c r="L54" s="247"/>
      <c r="M54" s="247"/>
      <c r="N54" s="247"/>
      <c r="O54" s="253"/>
      <c r="P54" s="252"/>
      <c r="Q54" s="249"/>
      <c r="R54" s="247"/>
      <c r="S54" s="249"/>
      <c r="T54" s="250"/>
      <c r="U54" s="248"/>
      <c r="V54" s="249"/>
      <c r="W54" s="247"/>
      <c r="X54" s="247"/>
      <c r="Y54" s="247"/>
      <c r="Z54" s="501" t="str">
        <f t="shared" si="1"/>
        <v/>
      </c>
      <c r="AA54" s="247"/>
      <c r="AB54" s="247"/>
      <c r="AC54" s="249"/>
      <c r="AD54" s="249"/>
      <c r="AE54" s="250"/>
      <c r="AF54" s="252"/>
      <c r="AG54" s="247"/>
      <c r="AH54" s="249"/>
      <c r="AI54" s="247"/>
      <c r="AJ54" s="253"/>
      <c r="AK54" s="252"/>
      <c r="AL54" s="247"/>
      <c r="AM54" s="247"/>
      <c r="AN54" s="247"/>
      <c r="AO54" s="247"/>
      <c r="AP54" s="502" t="str">
        <f t="shared" si="2"/>
        <v/>
      </c>
      <c r="AQ54" s="247"/>
      <c r="AR54" s="249"/>
      <c r="AS54" s="249"/>
      <c r="AT54" s="247"/>
      <c r="AU54" s="247"/>
      <c r="AV54" s="503" t="str">
        <f t="shared" si="3"/>
        <v/>
      </c>
      <c r="AW54" s="251"/>
      <c r="AX54" s="251"/>
      <c r="AY54" s="507">
        <f t="shared" si="4"/>
        <v>0</v>
      </c>
      <c r="AZ54" s="498" t="b">
        <f t="shared" si="5"/>
        <v>0</v>
      </c>
      <c r="BA54" s="149"/>
      <c r="BB54" s="72"/>
    </row>
    <row r="55" spans="1:54" x14ac:dyDescent="0.25">
      <c r="A55" s="72"/>
      <c r="B55" s="132">
        <v>37</v>
      </c>
      <c r="C55" s="687">
        <f>'C. FILIACION'!C50</f>
        <v>0</v>
      </c>
      <c r="D55" s="688"/>
      <c r="E55" s="252"/>
      <c r="F55" s="249"/>
      <c r="G55" s="249"/>
      <c r="H55" s="249"/>
      <c r="I55" s="247"/>
      <c r="J55" s="500" t="str">
        <f t="shared" si="0"/>
        <v/>
      </c>
      <c r="K55" s="247"/>
      <c r="L55" s="247"/>
      <c r="M55" s="247"/>
      <c r="N55" s="247"/>
      <c r="O55" s="253"/>
      <c r="P55" s="252"/>
      <c r="Q55" s="249"/>
      <c r="R55" s="247"/>
      <c r="S55" s="249"/>
      <c r="T55" s="250"/>
      <c r="U55" s="248"/>
      <c r="V55" s="249"/>
      <c r="W55" s="247"/>
      <c r="X55" s="247"/>
      <c r="Y55" s="247"/>
      <c r="Z55" s="501" t="str">
        <f t="shared" si="1"/>
        <v/>
      </c>
      <c r="AA55" s="247"/>
      <c r="AB55" s="247"/>
      <c r="AC55" s="249"/>
      <c r="AD55" s="249"/>
      <c r="AE55" s="250"/>
      <c r="AF55" s="252"/>
      <c r="AG55" s="247"/>
      <c r="AH55" s="249"/>
      <c r="AI55" s="247"/>
      <c r="AJ55" s="253"/>
      <c r="AK55" s="252"/>
      <c r="AL55" s="247"/>
      <c r="AM55" s="247"/>
      <c r="AN55" s="247"/>
      <c r="AO55" s="247"/>
      <c r="AP55" s="502" t="str">
        <f t="shared" si="2"/>
        <v/>
      </c>
      <c r="AQ55" s="247"/>
      <c r="AR55" s="249"/>
      <c r="AS55" s="249"/>
      <c r="AT55" s="247"/>
      <c r="AU55" s="247"/>
      <c r="AV55" s="503" t="str">
        <f t="shared" si="3"/>
        <v/>
      </c>
      <c r="AW55" s="251"/>
      <c r="AX55" s="251"/>
      <c r="AY55" s="507">
        <f t="shared" si="4"/>
        <v>0</v>
      </c>
      <c r="AZ55" s="498" t="b">
        <f t="shared" si="5"/>
        <v>0</v>
      </c>
      <c r="BA55" s="149"/>
      <c r="BB55" s="72"/>
    </row>
    <row r="56" spans="1:54" x14ac:dyDescent="0.25">
      <c r="A56" s="72"/>
      <c r="B56" s="132">
        <v>38</v>
      </c>
      <c r="C56" s="687">
        <f>'C. FILIACION'!C51</f>
        <v>0</v>
      </c>
      <c r="D56" s="688"/>
      <c r="E56" s="252"/>
      <c r="F56" s="249"/>
      <c r="G56" s="249"/>
      <c r="H56" s="249"/>
      <c r="I56" s="247"/>
      <c r="J56" s="500" t="str">
        <f t="shared" si="0"/>
        <v/>
      </c>
      <c r="K56" s="247"/>
      <c r="L56" s="247"/>
      <c r="M56" s="247"/>
      <c r="N56" s="247"/>
      <c r="O56" s="253"/>
      <c r="P56" s="252"/>
      <c r="Q56" s="249"/>
      <c r="R56" s="247"/>
      <c r="S56" s="249"/>
      <c r="T56" s="250"/>
      <c r="U56" s="248"/>
      <c r="V56" s="249"/>
      <c r="W56" s="247"/>
      <c r="X56" s="247"/>
      <c r="Y56" s="247"/>
      <c r="Z56" s="501" t="str">
        <f t="shared" si="1"/>
        <v/>
      </c>
      <c r="AA56" s="247"/>
      <c r="AB56" s="247"/>
      <c r="AC56" s="249"/>
      <c r="AD56" s="249"/>
      <c r="AE56" s="250"/>
      <c r="AF56" s="252"/>
      <c r="AG56" s="247"/>
      <c r="AH56" s="249"/>
      <c r="AI56" s="247"/>
      <c r="AJ56" s="253"/>
      <c r="AK56" s="252"/>
      <c r="AL56" s="247"/>
      <c r="AM56" s="247"/>
      <c r="AN56" s="247"/>
      <c r="AO56" s="247"/>
      <c r="AP56" s="502" t="str">
        <f t="shared" si="2"/>
        <v/>
      </c>
      <c r="AQ56" s="247"/>
      <c r="AR56" s="249"/>
      <c r="AS56" s="249"/>
      <c r="AT56" s="247"/>
      <c r="AU56" s="247"/>
      <c r="AV56" s="503" t="str">
        <f t="shared" si="3"/>
        <v/>
      </c>
      <c r="AW56" s="251"/>
      <c r="AX56" s="251"/>
      <c r="AY56" s="507">
        <f t="shared" si="4"/>
        <v>0</v>
      </c>
      <c r="AZ56" s="498" t="b">
        <f t="shared" si="5"/>
        <v>0</v>
      </c>
      <c r="BA56" s="149"/>
      <c r="BB56" s="72"/>
    </row>
    <row r="57" spans="1:54" x14ac:dyDescent="0.25">
      <c r="A57" s="72"/>
      <c r="B57" s="132">
        <v>39</v>
      </c>
      <c r="C57" s="687">
        <f>'C. FILIACION'!C52</f>
        <v>0</v>
      </c>
      <c r="D57" s="688"/>
      <c r="E57" s="252"/>
      <c r="F57" s="249"/>
      <c r="G57" s="249"/>
      <c r="H57" s="249"/>
      <c r="I57" s="247"/>
      <c r="J57" s="500" t="str">
        <f t="shared" si="0"/>
        <v/>
      </c>
      <c r="K57" s="247"/>
      <c r="L57" s="247"/>
      <c r="M57" s="247"/>
      <c r="N57" s="247"/>
      <c r="O57" s="253"/>
      <c r="P57" s="252"/>
      <c r="Q57" s="249"/>
      <c r="R57" s="247"/>
      <c r="S57" s="249"/>
      <c r="T57" s="250"/>
      <c r="U57" s="248"/>
      <c r="V57" s="249"/>
      <c r="W57" s="247"/>
      <c r="X57" s="247"/>
      <c r="Y57" s="247"/>
      <c r="Z57" s="501" t="str">
        <f t="shared" si="1"/>
        <v/>
      </c>
      <c r="AA57" s="247"/>
      <c r="AB57" s="247"/>
      <c r="AC57" s="249"/>
      <c r="AD57" s="249"/>
      <c r="AE57" s="250"/>
      <c r="AF57" s="252"/>
      <c r="AG57" s="247"/>
      <c r="AH57" s="249"/>
      <c r="AI57" s="247"/>
      <c r="AJ57" s="253"/>
      <c r="AK57" s="252"/>
      <c r="AL57" s="247"/>
      <c r="AM57" s="247"/>
      <c r="AN57" s="247"/>
      <c r="AO57" s="247"/>
      <c r="AP57" s="502" t="str">
        <f t="shared" si="2"/>
        <v/>
      </c>
      <c r="AQ57" s="247"/>
      <c r="AR57" s="249"/>
      <c r="AS57" s="249"/>
      <c r="AT57" s="247"/>
      <c r="AU57" s="247"/>
      <c r="AV57" s="503" t="str">
        <f t="shared" si="3"/>
        <v/>
      </c>
      <c r="AW57" s="251"/>
      <c r="AX57" s="251"/>
      <c r="AY57" s="507">
        <f t="shared" si="4"/>
        <v>0</v>
      </c>
      <c r="AZ57" s="498" t="b">
        <f t="shared" si="5"/>
        <v>0</v>
      </c>
      <c r="BA57" s="149"/>
      <c r="BB57" s="72"/>
    </row>
    <row r="58" spans="1:54" x14ac:dyDescent="0.25">
      <c r="A58" s="72"/>
      <c r="B58" s="132">
        <v>40</v>
      </c>
      <c r="C58" s="687">
        <f>'C. FILIACION'!C53</f>
        <v>0</v>
      </c>
      <c r="D58" s="688"/>
      <c r="E58" s="252"/>
      <c r="F58" s="249"/>
      <c r="G58" s="249"/>
      <c r="H58" s="249"/>
      <c r="I58" s="247"/>
      <c r="J58" s="500" t="str">
        <f t="shared" si="0"/>
        <v/>
      </c>
      <c r="K58" s="247"/>
      <c r="L58" s="247"/>
      <c r="M58" s="247"/>
      <c r="N58" s="247"/>
      <c r="O58" s="253"/>
      <c r="P58" s="252"/>
      <c r="Q58" s="249"/>
      <c r="R58" s="247"/>
      <c r="S58" s="249"/>
      <c r="T58" s="250"/>
      <c r="U58" s="248"/>
      <c r="V58" s="249"/>
      <c r="W58" s="247"/>
      <c r="X58" s="247"/>
      <c r="Y58" s="247"/>
      <c r="Z58" s="501" t="str">
        <f t="shared" si="1"/>
        <v/>
      </c>
      <c r="AA58" s="247"/>
      <c r="AB58" s="247"/>
      <c r="AC58" s="249"/>
      <c r="AD58" s="249"/>
      <c r="AE58" s="250"/>
      <c r="AF58" s="252"/>
      <c r="AG58" s="247"/>
      <c r="AH58" s="249"/>
      <c r="AI58" s="247"/>
      <c r="AJ58" s="253"/>
      <c r="AK58" s="252"/>
      <c r="AL58" s="247"/>
      <c r="AM58" s="247"/>
      <c r="AN58" s="247"/>
      <c r="AO58" s="247"/>
      <c r="AP58" s="502" t="str">
        <f t="shared" si="2"/>
        <v/>
      </c>
      <c r="AQ58" s="247"/>
      <c r="AR58" s="249"/>
      <c r="AS58" s="249"/>
      <c r="AT58" s="247"/>
      <c r="AU58" s="247"/>
      <c r="AV58" s="503" t="str">
        <f t="shared" si="3"/>
        <v/>
      </c>
      <c r="AW58" s="251"/>
      <c r="AX58" s="251"/>
      <c r="AY58" s="507">
        <f t="shared" si="4"/>
        <v>0</v>
      </c>
      <c r="AZ58" s="498" t="b">
        <f t="shared" si="5"/>
        <v>0</v>
      </c>
      <c r="BA58" s="149"/>
      <c r="BB58" s="72"/>
    </row>
    <row r="59" spans="1:54" x14ac:dyDescent="0.25">
      <c r="A59" s="72"/>
      <c r="B59" s="132">
        <v>41</v>
      </c>
      <c r="C59" s="687">
        <f>'C. FILIACION'!C54</f>
        <v>0</v>
      </c>
      <c r="D59" s="688"/>
      <c r="E59" s="252"/>
      <c r="F59" s="249"/>
      <c r="G59" s="249"/>
      <c r="H59" s="249"/>
      <c r="I59" s="247"/>
      <c r="J59" s="500" t="str">
        <f t="shared" si="0"/>
        <v/>
      </c>
      <c r="K59" s="247"/>
      <c r="L59" s="247"/>
      <c r="M59" s="247"/>
      <c r="N59" s="247"/>
      <c r="O59" s="253"/>
      <c r="P59" s="252"/>
      <c r="Q59" s="249"/>
      <c r="R59" s="247"/>
      <c r="S59" s="249"/>
      <c r="T59" s="250"/>
      <c r="U59" s="248"/>
      <c r="V59" s="249"/>
      <c r="W59" s="247"/>
      <c r="X59" s="247"/>
      <c r="Y59" s="247"/>
      <c r="Z59" s="501" t="str">
        <f t="shared" si="1"/>
        <v/>
      </c>
      <c r="AA59" s="247"/>
      <c r="AB59" s="247"/>
      <c r="AC59" s="249"/>
      <c r="AD59" s="249"/>
      <c r="AE59" s="250"/>
      <c r="AF59" s="252"/>
      <c r="AG59" s="247"/>
      <c r="AH59" s="249"/>
      <c r="AI59" s="247"/>
      <c r="AJ59" s="253"/>
      <c r="AK59" s="252"/>
      <c r="AL59" s="247"/>
      <c r="AM59" s="247"/>
      <c r="AN59" s="247"/>
      <c r="AO59" s="247"/>
      <c r="AP59" s="502" t="str">
        <f t="shared" si="2"/>
        <v/>
      </c>
      <c r="AQ59" s="247"/>
      <c r="AR59" s="249"/>
      <c r="AS59" s="249"/>
      <c r="AT59" s="247"/>
      <c r="AU59" s="247"/>
      <c r="AV59" s="503" t="str">
        <f t="shared" si="3"/>
        <v/>
      </c>
      <c r="AW59" s="251"/>
      <c r="AX59" s="251"/>
      <c r="AY59" s="507">
        <f t="shared" si="4"/>
        <v>0</v>
      </c>
      <c r="AZ59" s="498" t="b">
        <f t="shared" si="5"/>
        <v>0</v>
      </c>
      <c r="BA59" s="149"/>
      <c r="BB59" s="72"/>
    </row>
    <row r="60" spans="1:54" x14ac:dyDescent="0.25">
      <c r="A60" s="72"/>
      <c r="B60" s="132">
        <v>42</v>
      </c>
      <c r="C60" s="687">
        <f>'C. FILIACION'!C55</f>
        <v>0</v>
      </c>
      <c r="D60" s="688"/>
      <c r="E60" s="252"/>
      <c r="F60" s="249"/>
      <c r="G60" s="249"/>
      <c r="H60" s="249"/>
      <c r="I60" s="247"/>
      <c r="J60" s="500" t="str">
        <f t="shared" si="0"/>
        <v/>
      </c>
      <c r="K60" s="247"/>
      <c r="L60" s="247"/>
      <c r="M60" s="247"/>
      <c r="N60" s="247"/>
      <c r="O60" s="253"/>
      <c r="P60" s="252"/>
      <c r="Q60" s="249"/>
      <c r="R60" s="247"/>
      <c r="S60" s="249"/>
      <c r="T60" s="250"/>
      <c r="U60" s="248"/>
      <c r="V60" s="249"/>
      <c r="W60" s="247"/>
      <c r="X60" s="247"/>
      <c r="Y60" s="247"/>
      <c r="Z60" s="501" t="str">
        <f t="shared" si="1"/>
        <v/>
      </c>
      <c r="AA60" s="247"/>
      <c r="AB60" s="247"/>
      <c r="AC60" s="249"/>
      <c r="AD60" s="249"/>
      <c r="AE60" s="250"/>
      <c r="AF60" s="252"/>
      <c r="AG60" s="247"/>
      <c r="AH60" s="249"/>
      <c r="AI60" s="247"/>
      <c r="AJ60" s="253"/>
      <c r="AK60" s="252"/>
      <c r="AL60" s="247"/>
      <c r="AM60" s="247"/>
      <c r="AN60" s="247"/>
      <c r="AO60" s="247"/>
      <c r="AP60" s="502" t="str">
        <f t="shared" si="2"/>
        <v/>
      </c>
      <c r="AQ60" s="247"/>
      <c r="AR60" s="249"/>
      <c r="AS60" s="249"/>
      <c r="AT60" s="247"/>
      <c r="AU60" s="247"/>
      <c r="AV60" s="503" t="str">
        <f t="shared" si="3"/>
        <v/>
      </c>
      <c r="AW60" s="251"/>
      <c r="AX60" s="251"/>
      <c r="AY60" s="507">
        <f t="shared" si="4"/>
        <v>0</v>
      </c>
      <c r="AZ60" s="498" t="b">
        <f t="shared" si="5"/>
        <v>0</v>
      </c>
      <c r="BA60" s="149"/>
      <c r="BB60" s="72"/>
    </row>
    <row r="61" spans="1:54" x14ac:dyDescent="0.25">
      <c r="A61" s="72"/>
      <c r="B61" s="132">
        <v>43</v>
      </c>
      <c r="C61" s="687">
        <f>'C. FILIACION'!C56</f>
        <v>0</v>
      </c>
      <c r="D61" s="688"/>
      <c r="E61" s="252"/>
      <c r="F61" s="249"/>
      <c r="G61" s="249"/>
      <c r="H61" s="249"/>
      <c r="I61" s="247"/>
      <c r="J61" s="500" t="str">
        <f t="shared" si="0"/>
        <v/>
      </c>
      <c r="K61" s="247"/>
      <c r="L61" s="247"/>
      <c r="M61" s="247"/>
      <c r="N61" s="247"/>
      <c r="O61" s="253"/>
      <c r="P61" s="252"/>
      <c r="Q61" s="249"/>
      <c r="R61" s="247"/>
      <c r="S61" s="249"/>
      <c r="T61" s="250"/>
      <c r="U61" s="248"/>
      <c r="V61" s="249"/>
      <c r="W61" s="247"/>
      <c r="X61" s="247"/>
      <c r="Y61" s="247"/>
      <c r="Z61" s="501" t="str">
        <f t="shared" si="1"/>
        <v/>
      </c>
      <c r="AA61" s="247"/>
      <c r="AB61" s="247"/>
      <c r="AC61" s="249"/>
      <c r="AD61" s="249"/>
      <c r="AE61" s="250"/>
      <c r="AF61" s="252"/>
      <c r="AG61" s="247"/>
      <c r="AH61" s="249"/>
      <c r="AI61" s="247"/>
      <c r="AJ61" s="253"/>
      <c r="AK61" s="252"/>
      <c r="AL61" s="247"/>
      <c r="AM61" s="247"/>
      <c r="AN61" s="247"/>
      <c r="AO61" s="247"/>
      <c r="AP61" s="502" t="str">
        <f t="shared" si="2"/>
        <v/>
      </c>
      <c r="AQ61" s="247"/>
      <c r="AR61" s="249"/>
      <c r="AS61" s="249"/>
      <c r="AT61" s="247"/>
      <c r="AU61" s="247"/>
      <c r="AV61" s="503" t="str">
        <f t="shared" si="3"/>
        <v/>
      </c>
      <c r="AW61" s="251"/>
      <c r="AX61" s="251"/>
      <c r="AY61" s="507">
        <f t="shared" si="4"/>
        <v>0</v>
      </c>
      <c r="AZ61" s="498" t="b">
        <f t="shared" si="5"/>
        <v>0</v>
      </c>
      <c r="BA61" s="149"/>
      <c r="BB61" s="72"/>
    </row>
    <row r="62" spans="1:54" x14ac:dyDescent="0.25">
      <c r="A62" s="72"/>
      <c r="B62" s="132">
        <v>44</v>
      </c>
      <c r="C62" s="687">
        <f>'C. FILIACION'!C57</f>
        <v>0</v>
      </c>
      <c r="D62" s="688"/>
      <c r="E62" s="252"/>
      <c r="F62" s="249"/>
      <c r="G62" s="249"/>
      <c r="H62" s="249"/>
      <c r="I62" s="247"/>
      <c r="J62" s="500" t="str">
        <f t="shared" si="0"/>
        <v/>
      </c>
      <c r="K62" s="247"/>
      <c r="L62" s="247"/>
      <c r="M62" s="247"/>
      <c r="N62" s="247"/>
      <c r="O62" s="253"/>
      <c r="P62" s="252"/>
      <c r="Q62" s="249"/>
      <c r="R62" s="247"/>
      <c r="S62" s="249"/>
      <c r="T62" s="250"/>
      <c r="U62" s="248"/>
      <c r="V62" s="249"/>
      <c r="W62" s="247"/>
      <c r="X62" s="247"/>
      <c r="Y62" s="247"/>
      <c r="Z62" s="501" t="str">
        <f t="shared" si="1"/>
        <v/>
      </c>
      <c r="AA62" s="247"/>
      <c r="AB62" s="247"/>
      <c r="AC62" s="249"/>
      <c r="AD62" s="249"/>
      <c r="AE62" s="250"/>
      <c r="AF62" s="252"/>
      <c r="AG62" s="247"/>
      <c r="AH62" s="249"/>
      <c r="AI62" s="247"/>
      <c r="AJ62" s="253"/>
      <c r="AK62" s="252"/>
      <c r="AL62" s="247"/>
      <c r="AM62" s="247"/>
      <c r="AN62" s="247"/>
      <c r="AO62" s="247"/>
      <c r="AP62" s="502" t="str">
        <f t="shared" si="2"/>
        <v/>
      </c>
      <c r="AQ62" s="247"/>
      <c r="AR62" s="249"/>
      <c r="AS62" s="249"/>
      <c r="AT62" s="247"/>
      <c r="AU62" s="247"/>
      <c r="AV62" s="503" t="str">
        <f t="shared" si="3"/>
        <v/>
      </c>
      <c r="AW62" s="251"/>
      <c r="AX62" s="251"/>
      <c r="AY62" s="507">
        <f t="shared" si="4"/>
        <v>0</v>
      </c>
      <c r="AZ62" s="498" t="b">
        <f t="shared" si="5"/>
        <v>0</v>
      </c>
      <c r="BA62" s="149"/>
      <c r="BB62" s="72"/>
    </row>
    <row r="63" spans="1:54" x14ac:dyDescent="0.25">
      <c r="A63" s="72"/>
      <c r="B63" s="132">
        <v>45</v>
      </c>
      <c r="C63" s="687">
        <f>'C. FILIACION'!C58</f>
        <v>0</v>
      </c>
      <c r="D63" s="688"/>
      <c r="E63" s="252"/>
      <c r="F63" s="249"/>
      <c r="G63" s="249"/>
      <c r="H63" s="249"/>
      <c r="I63" s="247"/>
      <c r="J63" s="500" t="str">
        <f t="shared" si="0"/>
        <v/>
      </c>
      <c r="K63" s="247"/>
      <c r="L63" s="247"/>
      <c r="M63" s="247"/>
      <c r="N63" s="247"/>
      <c r="O63" s="253"/>
      <c r="P63" s="252"/>
      <c r="Q63" s="249"/>
      <c r="R63" s="247"/>
      <c r="S63" s="249"/>
      <c r="T63" s="250"/>
      <c r="U63" s="248"/>
      <c r="V63" s="249"/>
      <c r="W63" s="247"/>
      <c r="X63" s="247"/>
      <c r="Y63" s="247"/>
      <c r="Z63" s="501" t="str">
        <f t="shared" si="1"/>
        <v/>
      </c>
      <c r="AA63" s="247"/>
      <c r="AB63" s="247"/>
      <c r="AC63" s="249"/>
      <c r="AD63" s="249"/>
      <c r="AE63" s="250"/>
      <c r="AF63" s="252"/>
      <c r="AG63" s="247"/>
      <c r="AH63" s="249"/>
      <c r="AI63" s="247"/>
      <c r="AJ63" s="253"/>
      <c r="AK63" s="252"/>
      <c r="AL63" s="247"/>
      <c r="AM63" s="247"/>
      <c r="AN63" s="247"/>
      <c r="AO63" s="247"/>
      <c r="AP63" s="502" t="str">
        <f t="shared" si="2"/>
        <v/>
      </c>
      <c r="AQ63" s="247"/>
      <c r="AR63" s="249"/>
      <c r="AS63" s="249"/>
      <c r="AT63" s="247"/>
      <c r="AU63" s="247"/>
      <c r="AV63" s="503" t="str">
        <f t="shared" si="3"/>
        <v/>
      </c>
      <c r="AW63" s="251"/>
      <c r="AX63" s="251"/>
      <c r="AY63" s="507">
        <f>IFERROR((SUM(J63,Z63,AP63,AV63:AX63)),"")</f>
        <v>0</v>
      </c>
      <c r="AZ63" s="498" t="b">
        <f t="shared" si="5"/>
        <v>0</v>
      </c>
      <c r="BA63" s="149"/>
      <c r="BB63" s="72"/>
    </row>
    <row r="64" spans="1:54" ht="9" customHeight="1" x14ac:dyDescent="0.25">
      <c r="A64" s="72"/>
      <c r="B64" s="129"/>
      <c r="C64" s="129"/>
      <c r="D64" s="129"/>
      <c r="E64" s="70"/>
      <c r="F64" s="70"/>
      <c r="G64" s="70"/>
      <c r="H64" s="70"/>
      <c r="I64" s="70"/>
      <c r="J64" s="129"/>
      <c r="K64" s="70"/>
      <c r="L64" s="70"/>
      <c r="M64" s="70"/>
      <c r="N64" s="70"/>
      <c r="O64" s="70"/>
      <c r="P64" s="70"/>
      <c r="Q64" s="70"/>
      <c r="R64" s="70"/>
      <c r="S64" s="70"/>
      <c r="T64" s="70"/>
      <c r="U64" s="70"/>
      <c r="V64" s="70"/>
      <c r="W64" s="70"/>
      <c r="X64" s="70"/>
      <c r="Y64" s="70"/>
      <c r="Z64" s="129"/>
      <c r="AA64" s="70"/>
      <c r="AB64" s="70"/>
      <c r="AC64" s="70"/>
      <c r="AD64" s="70"/>
      <c r="AE64" s="70"/>
      <c r="AF64" s="70"/>
      <c r="AG64" s="70"/>
      <c r="AH64" s="70"/>
      <c r="AI64" s="70"/>
      <c r="AJ64" s="70"/>
      <c r="AK64" s="70"/>
      <c r="AL64" s="70"/>
      <c r="AM64" s="70"/>
      <c r="AN64" s="70"/>
      <c r="AO64" s="70"/>
      <c r="AP64" s="129"/>
      <c r="AQ64" s="70"/>
      <c r="AR64" s="70"/>
      <c r="AS64" s="70"/>
      <c r="AT64" s="70"/>
      <c r="AU64" s="70"/>
      <c r="AV64" s="129"/>
      <c r="AW64" s="70"/>
      <c r="AX64" s="70"/>
      <c r="AY64" s="129"/>
      <c r="AZ64" s="129"/>
      <c r="BA64" s="72"/>
      <c r="BB64" s="72"/>
    </row>
    <row r="65" spans="1:57" x14ac:dyDescent="0.25">
      <c r="A65" s="72"/>
      <c r="B65" s="129"/>
      <c r="C65" s="129"/>
      <c r="D65" s="129"/>
      <c r="E65" s="70"/>
      <c r="F65" s="70"/>
      <c r="G65" s="70"/>
      <c r="H65" s="70"/>
      <c r="I65" s="70"/>
      <c r="J65" s="70"/>
      <c r="K65" s="70"/>
      <c r="L65" s="70"/>
      <c r="M65" s="70"/>
      <c r="N65" s="70"/>
      <c r="O65" s="70"/>
      <c r="P65" s="70"/>
      <c r="Q65" s="70"/>
      <c r="R65" s="70"/>
      <c r="S65" s="70"/>
      <c r="T65" s="70"/>
      <c r="U65" s="70"/>
      <c r="V65" s="70"/>
      <c r="W65" s="70"/>
      <c r="X65" s="70"/>
      <c r="Y65" s="70"/>
      <c r="Z65" s="70"/>
      <c r="AA65" s="70"/>
      <c r="AB65" s="70"/>
      <c r="AC65" s="70"/>
      <c r="AD65" s="70"/>
      <c r="AE65" s="70"/>
      <c r="AF65" s="70"/>
      <c r="AG65" s="70"/>
      <c r="AH65" s="70"/>
      <c r="AI65" s="70"/>
      <c r="AJ65" s="70"/>
      <c r="AK65" s="70"/>
      <c r="AL65" s="70"/>
      <c r="AM65" s="70"/>
      <c r="AN65" s="70"/>
      <c r="AO65" s="70"/>
      <c r="AP65" s="70"/>
      <c r="AQ65" s="70"/>
      <c r="AR65" s="70"/>
      <c r="AS65" s="70"/>
      <c r="AT65" s="70"/>
      <c r="AU65" s="70"/>
      <c r="AV65" s="112"/>
      <c r="AW65" s="684"/>
      <c r="AX65" s="684"/>
      <c r="AY65" s="130"/>
      <c r="AZ65" s="129"/>
      <c r="BA65" s="72"/>
      <c r="BB65" s="72"/>
    </row>
    <row r="66" spans="1:57" x14ac:dyDescent="0.25">
      <c r="A66" s="72"/>
      <c r="B66" s="129"/>
      <c r="C66" s="129"/>
      <c r="D66" s="129"/>
      <c r="E66" s="70"/>
      <c r="F66" s="70"/>
      <c r="G66" s="70"/>
      <c r="H66" s="70"/>
      <c r="I66" s="70"/>
      <c r="J66" s="70"/>
      <c r="K66" s="70"/>
      <c r="L66" s="70"/>
      <c r="M66" s="70"/>
      <c r="N66" s="70"/>
      <c r="O66" s="70"/>
      <c r="P66" s="70"/>
      <c r="Q66" s="70"/>
      <c r="R66" s="70"/>
      <c r="S66" s="70"/>
      <c r="T66" s="70"/>
      <c r="U66" s="70"/>
      <c r="V66" s="70"/>
      <c r="W66" s="70"/>
      <c r="X66" s="70"/>
      <c r="Y66" s="70"/>
      <c r="Z66" s="70"/>
      <c r="AA66" s="70"/>
      <c r="AB66" s="70"/>
      <c r="AC66" s="70"/>
      <c r="AD66" s="70"/>
      <c r="AE66" s="70"/>
      <c r="AF66" s="70"/>
      <c r="AG66" s="70"/>
      <c r="AH66" s="70"/>
      <c r="AI66" s="70"/>
      <c r="AJ66" s="70"/>
      <c r="AK66" s="70"/>
      <c r="AL66" s="70"/>
      <c r="AM66" s="70"/>
      <c r="AN66" s="70"/>
      <c r="AO66" s="70"/>
      <c r="AP66" s="70"/>
      <c r="AQ66" s="70"/>
      <c r="AR66" s="70"/>
      <c r="AS66" s="70"/>
      <c r="AT66" s="70"/>
      <c r="AU66" s="70"/>
      <c r="AV66" s="112"/>
      <c r="AW66" s="684"/>
      <c r="AX66" s="684"/>
      <c r="AY66" s="130"/>
      <c r="AZ66" s="129"/>
      <c r="BA66" s="72"/>
      <c r="BB66" s="72"/>
    </row>
    <row r="67" spans="1:57" ht="15.75" thickBot="1" x14ac:dyDescent="0.3">
      <c r="A67" s="72"/>
      <c r="B67" s="129"/>
      <c r="C67" s="129"/>
      <c r="D67" s="129"/>
      <c r="E67" s="70"/>
      <c r="F67" s="70"/>
      <c r="G67" s="70"/>
      <c r="H67" s="70"/>
      <c r="I67" s="717"/>
      <c r="J67" s="717"/>
      <c r="K67" s="717"/>
      <c r="L67" s="717"/>
      <c r="M67" s="717"/>
      <c r="N67" s="717"/>
      <c r="O67" s="717"/>
      <c r="P67" s="717"/>
      <c r="Q67" s="717"/>
      <c r="R67" s="717"/>
      <c r="S67" s="717"/>
      <c r="T67" s="717"/>
      <c r="U67" s="70"/>
      <c r="V67" s="70"/>
      <c r="W67" s="70"/>
      <c r="X67" s="70"/>
      <c r="Y67" s="70"/>
      <c r="Z67" s="70"/>
      <c r="AA67" s="70"/>
      <c r="AB67" s="70"/>
      <c r="AC67" s="70"/>
      <c r="AD67" s="70"/>
      <c r="AE67" s="717"/>
      <c r="AF67" s="717"/>
      <c r="AG67" s="717"/>
      <c r="AH67" s="717"/>
      <c r="AI67" s="717"/>
      <c r="AJ67" s="717"/>
      <c r="AK67" s="717"/>
      <c r="AL67" s="717"/>
      <c r="AM67" s="717"/>
      <c r="AN67" s="717"/>
      <c r="AO67" s="717"/>
      <c r="AP67" s="717"/>
      <c r="AQ67" s="717"/>
      <c r="AR67" s="70"/>
      <c r="AS67" s="70"/>
      <c r="AT67" s="70"/>
      <c r="AU67" s="70"/>
      <c r="AV67" s="70"/>
      <c r="AW67" s="70"/>
      <c r="AX67" s="70"/>
      <c r="AY67" s="129"/>
      <c r="AZ67" s="129"/>
      <c r="BA67" s="72"/>
      <c r="BB67" s="72"/>
    </row>
    <row r="68" spans="1:57" x14ac:dyDescent="0.25">
      <c r="A68" s="72"/>
      <c r="B68" s="129"/>
      <c r="C68" s="129"/>
      <c r="D68" s="129"/>
      <c r="E68" s="70"/>
      <c r="F68" s="70"/>
      <c r="G68" s="70"/>
      <c r="H68" s="70"/>
      <c r="I68" s="718">
        <f>CARATULA!G22</f>
        <v>0</v>
      </c>
      <c r="J68" s="718"/>
      <c r="K68" s="718"/>
      <c r="L68" s="718"/>
      <c r="M68" s="718"/>
      <c r="N68" s="718"/>
      <c r="O68" s="718"/>
      <c r="P68" s="718"/>
      <c r="Q68" s="718"/>
      <c r="R68" s="718"/>
      <c r="S68" s="718"/>
      <c r="T68" s="718"/>
      <c r="U68" s="70"/>
      <c r="V68" s="70"/>
      <c r="W68" s="70"/>
      <c r="X68" s="70"/>
      <c r="Y68" s="70"/>
      <c r="Z68" s="70"/>
      <c r="AA68" s="70"/>
      <c r="AB68" s="70"/>
      <c r="AC68" s="70"/>
      <c r="AD68" s="70"/>
      <c r="AE68" s="718">
        <f>CARATULA!G24</f>
        <v>0</v>
      </c>
      <c r="AF68" s="718"/>
      <c r="AG68" s="718"/>
      <c r="AH68" s="718"/>
      <c r="AI68" s="718"/>
      <c r="AJ68" s="718"/>
      <c r="AK68" s="718"/>
      <c r="AL68" s="718"/>
      <c r="AM68" s="718"/>
      <c r="AN68" s="718"/>
      <c r="AO68" s="718"/>
      <c r="AP68" s="718"/>
      <c r="AQ68" s="718"/>
      <c r="AR68" s="70"/>
      <c r="AS68" s="70"/>
      <c r="AT68" s="70"/>
      <c r="AU68" s="70"/>
      <c r="AV68" s="70"/>
      <c r="AW68" s="70"/>
      <c r="AX68" s="70"/>
      <c r="AY68" s="129"/>
      <c r="AZ68" s="129"/>
      <c r="BA68" s="72"/>
      <c r="BB68" s="72"/>
    </row>
    <row r="69" spans="1:57" x14ac:dyDescent="0.25">
      <c r="A69" s="72"/>
      <c r="B69" s="129"/>
      <c r="C69" s="129"/>
      <c r="D69" s="129"/>
      <c r="E69" s="113"/>
      <c r="F69" s="113"/>
      <c r="G69" s="113"/>
      <c r="H69" s="113"/>
      <c r="I69" s="113"/>
      <c r="J69" s="113"/>
      <c r="K69" s="113"/>
      <c r="L69" s="113"/>
      <c r="M69" s="113"/>
      <c r="N69" s="114"/>
      <c r="O69" s="114"/>
      <c r="P69" s="114"/>
      <c r="Q69" s="114"/>
      <c r="R69" s="113"/>
      <c r="S69" s="113"/>
      <c r="T69" s="113"/>
      <c r="U69" s="113"/>
      <c r="V69" s="113"/>
      <c r="W69" s="113"/>
      <c r="X69" s="113"/>
      <c r="Y69" s="113"/>
      <c r="Z69" s="113"/>
      <c r="AA69" s="70"/>
      <c r="AB69" s="70"/>
      <c r="AC69" s="70"/>
      <c r="AD69" s="70"/>
      <c r="AE69" s="70"/>
      <c r="AF69" s="70"/>
      <c r="AG69" s="70"/>
      <c r="AH69" s="70"/>
      <c r="AI69" s="70"/>
      <c r="AJ69" s="70"/>
      <c r="AK69" s="70"/>
      <c r="AL69" s="70"/>
      <c r="AM69" s="70"/>
      <c r="AN69" s="70"/>
      <c r="AO69" s="70"/>
      <c r="AP69" s="70"/>
      <c r="AQ69" s="70"/>
      <c r="AR69" s="70"/>
      <c r="AS69" s="70"/>
      <c r="AT69" s="70"/>
      <c r="AU69" s="70"/>
      <c r="AV69" s="70"/>
      <c r="AW69" s="70"/>
      <c r="AX69" s="70"/>
      <c r="AY69" s="129"/>
      <c r="AZ69" s="129"/>
      <c r="BA69" s="72"/>
      <c r="BB69" s="72"/>
    </row>
    <row r="70" spans="1:57" x14ac:dyDescent="0.25">
      <c r="A70" s="72"/>
      <c r="B70" s="72"/>
      <c r="C70" s="72"/>
      <c r="D70" s="72"/>
      <c r="AY70" s="72"/>
      <c r="AZ70" s="72"/>
      <c r="BA70" s="72"/>
      <c r="BB70" s="72"/>
    </row>
    <row r="71" spans="1:57" x14ac:dyDescent="0.25">
      <c r="A71" s="72"/>
      <c r="B71" s="72"/>
      <c r="C71" s="72"/>
      <c r="D71" s="72"/>
      <c r="AY71" s="72"/>
      <c r="AZ71" s="72"/>
      <c r="BA71" s="72"/>
      <c r="BB71" s="72"/>
    </row>
    <row r="72" spans="1:57" x14ac:dyDescent="0.25">
      <c r="A72" s="102"/>
      <c r="B72" s="102"/>
      <c r="C72" s="102"/>
      <c r="D72" s="102"/>
      <c r="E72" s="101"/>
      <c r="F72" s="101"/>
      <c r="G72" s="101"/>
      <c r="H72" s="101"/>
      <c r="I72" s="101"/>
      <c r="J72" s="101"/>
      <c r="K72" s="101"/>
      <c r="L72" s="101"/>
      <c r="M72" s="101"/>
      <c r="N72" s="101"/>
      <c r="O72" s="101"/>
      <c r="P72" s="101"/>
      <c r="Q72" s="101"/>
      <c r="R72" s="101"/>
      <c r="S72" s="101"/>
      <c r="AY72" s="72"/>
      <c r="AZ72" s="72"/>
      <c r="BA72" s="72"/>
      <c r="BB72" s="72"/>
    </row>
    <row r="73" spans="1:57" x14ac:dyDescent="0.25">
      <c r="A73" s="102"/>
      <c r="B73" s="102"/>
      <c r="C73" s="102"/>
      <c r="D73" s="102"/>
      <c r="E73" s="102"/>
      <c r="F73" s="102"/>
      <c r="G73" s="102"/>
      <c r="H73" s="102"/>
      <c r="I73" s="102"/>
      <c r="J73" s="102"/>
      <c r="K73" s="102"/>
      <c r="L73" s="102"/>
      <c r="M73" s="102"/>
      <c r="N73" s="102"/>
      <c r="O73" s="102"/>
      <c r="P73" s="102"/>
      <c r="Q73" s="102"/>
      <c r="R73" s="102"/>
      <c r="S73" s="102"/>
      <c r="T73" s="72"/>
      <c r="U73" s="72"/>
      <c r="V73" s="72"/>
      <c r="W73" s="72"/>
      <c r="X73" s="72"/>
      <c r="Y73" s="72"/>
      <c r="Z73" s="72"/>
      <c r="AA73" s="72"/>
      <c r="AB73" s="72"/>
      <c r="AC73" s="72"/>
      <c r="AD73" s="72"/>
      <c r="AE73" s="72"/>
      <c r="AF73" s="72"/>
      <c r="AG73" s="72"/>
      <c r="AH73" s="72"/>
      <c r="AI73" s="72"/>
      <c r="AJ73" s="72"/>
      <c r="AK73" s="72"/>
      <c r="AL73" s="72"/>
      <c r="AM73" s="72"/>
      <c r="AN73" s="72"/>
      <c r="AO73" s="72"/>
      <c r="AP73" s="72"/>
      <c r="AQ73" s="72"/>
      <c r="AR73" s="72"/>
      <c r="AS73" s="72"/>
      <c r="AT73" s="72"/>
      <c r="AU73" s="72"/>
      <c r="AV73" s="72"/>
      <c r="AW73" s="72"/>
      <c r="AX73" s="72"/>
      <c r="AY73" s="72"/>
      <c r="AZ73" s="72"/>
      <c r="BA73" s="72"/>
      <c r="BB73" s="72"/>
      <c r="BC73" s="72"/>
      <c r="BD73" s="72"/>
      <c r="BE73" s="72"/>
    </row>
    <row r="74" spans="1:57" x14ac:dyDescent="0.25">
      <c r="A74" s="102"/>
      <c r="B74" s="102"/>
      <c r="C74" s="102"/>
      <c r="D74" s="102"/>
      <c r="E74" s="102"/>
      <c r="F74" s="102"/>
      <c r="G74" s="102"/>
      <c r="H74" s="102"/>
      <c r="I74" s="102"/>
      <c r="J74" s="102"/>
      <c r="K74" s="102"/>
      <c r="L74" s="102"/>
      <c r="M74" s="102"/>
      <c r="N74" s="102"/>
      <c r="O74" s="102"/>
      <c r="P74" s="102"/>
      <c r="Q74" s="102"/>
      <c r="R74" s="102"/>
      <c r="S74" s="102"/>
      <c r="T74" s="72"/>
      <c r="U74" s="72"/>
      <c r="V74" s="72"/>
      <c r="W74" s="72"/>
      <c r="X74" s="72"/>
      <c r="Y74" s="72"/>
      <c r="Z74" s="72"/>
      <c r="AA74" s="72"/>
      <c r="AB74" s="72"/>
      <c r="AC74" s="72"/>
      <c r="AD74" s="72"/>
      <c r="AE74" s="72"/>
      <c r="AF74" s="72"/>
      <c r="AG74" s="72"/>
      <c r="AH74" s="72"/>
      <c r="AI74" s="72"/>
      <c r="AJ74" s="72"/>
      <c r="AK74" s="72"/>
      <c r="AL74" s="72"/>
      <c r="AM74" s="72"/>
      <c r="AN74" s="72"/>
      <c r="AO74" s="72"/>
      <c r="AP74" s="72"/>
      <c r="AQ74" s="72"/>
      <c r="AR74" s="72"/>
      <c r="AS74" s="72"/>
      <c r="AT74" s="72"/>
      <c r="AU74" s="72"/>
      <c r="AV74" s="72"/>
      <c r="AW74" s="72"/>
      <c r="AX74" s="72"/>
      <c r="AY74" s="72"/>
      <c r="AZ74" s="72"/>
      <c r="BA74" s="72"/>
      <c r="BB74" s="72"/>
      <c r="BC74" s="72"/>
      <c r="BD74" s="72"/>
      <c r="BE74" s="72"/>
    </row>
    <row r="75" spans="1:57" x14ac:dyDescent="0.25">
      <c r="A75" s="102"/>
      <c r="B75" s="102"/>
      <c r="C75" s="102"/>
      <c r="D75" s="102"/>
      <c r="E75" s="102"/>
      <c r="F75" s="102"/>
      <c r="G75" s="102"/>
      <c r="H75" s="102"/>
      <c r="I75" s="102"/>
      <c r="J75" s="102"/>
      <c r="K75" s="102"/>
      <c r="L75" s="102"/>
      <c r="M75" s="102"/>
      <c r="N75" s="102"/>
      <c r="O75" s="102"/>
      <c r="P75" s="102"/>
      <c r="Q75" s="102"/>
      <c r="R75" s="102"/>
      <c r="S75" s="102"/>
      <c r="T75" s="72"/>
      <c r="U75" s="72"/>
      <c r="V75" s="72"/>
      <c r="W75" s="72"/>
      <c r="X75" s="72"/>
      <c r="Y75" s="72"/>
      <c r="Z75" s="72"/>
      <c r="AA75" s="72"/>
      <c r="AB75" s="72"/>
      <c r="AC75" s="72"/>
      <c r="AD75" s="72"/>
      <c r="AE75" s="72"/>
      <c r="AF75" s="72"/>
      <c r="AG75" s="72"/>
      <c r="AH75" s="72"/>
      <c r="AI75" s="72"/>
      <c r="AJ75" s="72"/>
      <c r="AK75" s="72"/>
      <c r="AL75" s="72"/>
      <c r="AM75" s="72"/>
      <c r="AN75" s="72"/>
      <c r="AO75" s="72"/>
      <c r="AP75" s="72"/>
      <c r="AQ75" s="72"/>
      <c r="AR75" s="72"/>
      <c r="AS75" s="72"/>
      <c r="AT75" s="72"/>
      <c r="AU75" s="72"/>
      <c r="AV75" s="72"/>
      <c r="AW75" s="72"/>
      <c r="AX75" s="72"/>
      <c r="AY75" s="72"/>
      <c r="AZ75" s="72"/>
      <c r="BA75" s="72"/>
      <c r="BB75" s="72"/>
      <c r="BC75" s="72"/>
      <c r="BD75" s="72"/>
      <c r="BE75" s="72"/>
    </row>
    <row r="76" spans="1:57" x14ac:dyDescent="0.25">
      <c r="A76" s="102"/>
      <c r="B76" s="102"/>
      <c r="C76" s="102"/>
      <c r="D76" s="102"/>
      <c r="E76" s="102"/>
      <c r="F76" s="102"/>
      <c r="G76" s="102"/>
      <c r="H76" s="102"/>
      <c r="I76" s="102"/>
      <c r="J76" s="102"/>
      <c r="K76" s="102"/>
      <c r="L76" s="102"/>
      <c r="M76" s="102"/>
      <c r="N76" s="102"/>
      <c r="O76" s="102"/>
      <c r="P76" s="102"/>
      <c r="Q76" s="102"/>
      <c r="R76" s="102"/>
      <c r="S76" s="102"/>
      <c r="T76" s="72"/>
      <c r="U76" s="72"/>
      <c r="V76" s="72"/>
      <c r="W76" s="72"/>
      <c r="X76" s="72"/>
      <c r="Y76" s="72"/>
      <c r="Z76" s="72"/>
      <c r="AA76" s="72"/>
      <c r="AB76" s="72"/>
      <c r="AC76" s="72"/>
      <c r="AD76" s="72"/>
      <c r="AE76" s="72"/>
      <c r="AF76" s="72"/>
      <c r="AG76" s="72"/>
      <c r="AH76" s="72"/>
      <c r="AI76" s="72"/>
      <c r="AJ76" s="72"/>
      <c r="AK76" s="72"/>
      <c r="AL76" s="72"/>
      <c r="AM76" s="72"/>
      <c r="AN76" s="72"/>
      <c r="AO76" s="72"/>
      <c r="AP76" s="72"/>
      <c r="AQ76" s="72"/>
      <c r="AR76" s="72"/>
      <c r="AS76" s="72"/>
      <c r="AT76" s="72"/>
      <c r="AU76" s="72"/>
      <c r="AV76" s="72"/>
      <c r="AW76" s="72"/>
      <c r="AX76" s="72"/>
      <c r="AY76" s="72"/>
      <c r="AZ76" s="72"/>
      <c r="BA76" s="72"/>
      <c r="BB76" s="72"/>
      <c r="BC76" s="72"/>
      <c r="BD76" s="72"/>
      <c r="BE76" s="72"/>
    </row>
    <row r="77" spans="1:57" x14ac:dyDescent="0.25">
      <c r="A77" s="102"/>
      <c r="B77" s="102"/>
      <c r="C77" s="102"/>
      <c r="D77" s="102"/>
      <c r="E77" s="102"/>
      <c r="F77" s="102"/>
      <c r="G77" s="102"/>
      <c r="H77" s="102"/>
      <c r="I77" s="102"/>
      <c r="J77" s="102"/>
      <c r="K77" s="102"/>
      <c r="L77" s="102"/>
      <c r="M77" s="102"/>
      <c r="N77" s="102"/>
      <c r="O77" s="102"/>
      <c r="P77" s="102"/>
      <c r="Q77" s="102"/>
      <c r="R77" s="102"/>
      <c r="S77" s="102"/>
      <c r="T77" s="72"/>
      <c r="U77" s="72"/>
      <c r="V77" s="72"/>
      <c r="W77" s="72"/>
      <c r="X77" s="72"/>
      <c r="Y77" s="72"/>
      <c r="Z77" s="72"/>
      <c r="AA77" s="72"/>
      <c r="AB77" s="72"/>
      <c r="AC77" s="72"/>
      <c r="AD77" s="72"/>
      <c r="AE77" s="72"/>
      <c r="AF77" s="72"/>
      <c r="AG77" s="72"/>
      <c r="AH77" s="72"/>
      <c r="AI77" s="72"/>
      <c r="AJ77" s="72"/>
      <c r="AK77" s="72"/>
      <c r="AL77" s="72"/>
      <c r="AM77" s="72"/>
      <c r="AN77" s="72"/>
      <c r="AO77" s="72"/>
      <c r="AP77" s="72"/>
      <c r="AQ77" s="72"/>
      <c r="AR77" s="72"/>
      <c r="AS77" s="72"/>
      <c r="AT77" s="72"/>
      <c r="AU77" s="72"/>
      <c r="AV77" s="72"/>
      <c r="AW77" s="72"/>
      <c r="AX77" s="72"/>
      <c r="AY77" s="72"/>
      <c r="AZ77" s="72"/>
      <c r="BA77" s="72"/>
      <c r="BB77" s="72"/>
      <c r="BC77" s="72"/>
      <c r="BD77" s="72"/>
      <c r="BE77" s="72"/>
    </row>
    <row r="78" spans="1:57" x14ac:dyDescent="0.25">
      <c r="A78" s="102"/>
      <c r="B78" s="102"/>
      <c r="C78" s="102"/>
      <c r="D78" s="102"/>
      <c r="E78" s="102"/>
      <c r="F78" s="102"/>
      <c r="G78" s="102"/>
      <c r="H78" s="102"/>
      <c r="I78" s="102"/>
      <c r="J78" s="102"/>
      <c r="K78" s="102"/>
      <c r="L78" s="102"/>
      <c r="M78" s="102"/>
      <c r="N78" s="102"/>
      <c r="O78" s="102"/>
      <c r="P78" s="102"/>
      <c r="Q78" s="102"/>
      <c r="R78" s="102"/>
      <c r="S78" s="102"/>
      <c r="T78" s="72"/>
      <c r="U78" s="72"/>
      <c r="V78" s="72"/>
      <c r="W78" s="72"/>
      <c r="X78" s="72"/>
      <c r="Y78" s="72"/>
      <c r="Z78" s="72"/>
      <c r="AA78" s="72"/>
      <c r="AB78" s="72"/>
      <c r="AC78" s="72"/>
      <c r="AD78" s="72"/>
      <c r="AE78" s="72"/>
      <c r="AF78" s="72"/>
      <c r="AG78" s="72"/>
      <c r="AH78" s="72"/>
      <c r="AI78" s="72"/>
      <c r="AJ78" s="72"/>
      <c r="AK78" s="72"/>
      <c r="AL78" s="72"/>
      <c r="AM78" s="72"/>
      <c r="AN78" s="72"/>
      <c r="AO78" s="72"/>
      <c r="AP78" s="72"/>
      <c r="AQ78" s="72"/>
      <c r="AR78" s="72"/>
      <c r="AS78" s="72"/>
      <c r="AT78" s="72"/>
      <c r="AU78" s="72"/>
      <c r="AV78" s="72"/>
      <c r="AW78" s="72"/>
      <c r="AX78" s="72"/>
      <c r="AY78" s="72"/>
      <c r="AZ78" s="72"/>
      <c r="BA78" s="72"/>
      <c r="BB78" s="72"/>
      <c r="BC78" s="72"/>
      <c r="BD78" s="72"/>
      <c r="BE78" s="72"/>
    </row>
    <row r="79" spans="1:57" x14ac:dyDescent="0.25">
      <c r="A79" s="102"/>
      <c r="B79" s="102"/>
      <c r="C79" s="102"/>
      <c r="D79" s="102"/>
      <c r="E79" s="102"/>
      <c r="F79" s="102"/>
      <c r="G79" s="102"/>
      <c r="H79" s="102"/>
      <c r="I79" s="102"/>
      <c r="J79" s="102"/>
      <c r="K79" s="102"/>
      <c r="L79" s="102"/>
      <c r="M79" s="102"/>
      <c r="N79" s="102"/>
      <c r="O79" s="102"/>
      <c r="P79" s="102"/>
      <c r="Q79" s="102"/>
      <c r="R79" s="102"/>
      <c r="S79" s="102"/>
      <c r="T79" s="72"/>
      <c r="U79" s="72"/>
      <c r="V79" s="72"/>
      <c r="W79" s="72"/>
      <c r="X79" s="72"/>
      <c r="Y79" s="72"/>
      <c r="Z79" s="72"/>
      <c r="AA79" s="72"/>
      <c r="AB79" s="72"/>
      <c r="AC79" s="72"/>
      <c r="AD79" s="72"/>
      <c r="AE79" s="72"/>
      <c r="AF79" s="72"/>
      <c r="AG79" s="72"/>
      <c r="AH79" s="72"/>
      <c r="AI79" s="72"/>
      <c r="AJ79" s="72"/>
      <c r="AK79" s="72"/>
      <c r="AL79" s="72"/>
      <c r="AM79" s="72"/>
      <c r="AN79" s="72"/>
      <c r="AO79" s="72"/>
      <c r="AP79" s="72"/>
      <c r="AQ79" s="72"/>
      <c r="AR79" s="72"/>
      <c r="AS79" s="72"/>
      <c r="AT79" s="72"/>
      <c r="AU79" s="72"/>
      <c r="AV79" s="72"/>
      <c r="AW79" s="72"/>
      <c r="AX79" s="72"/>
      <c r="AY79" s="72"/>
      <c r="AZ79" s="72"/>
      <c r="BA79" s="72"/>
      <c r="BB79" s="72"/>
      <c r="BC79" s="72"/>
      <c r="BD79" s="72"/>
      <c r="BE79" s="72"/>
    </row>
    <row r="80" spans="1:57" x14ac:dyDescent="0.25">
      <c r="A80" s="102"/>
      <c r="B80" s="102"/>
      <c r="C80" s="102"/>
      <c r="D80" s="102"/>
      <c r="E80" s="102"/>
      <c r="F80" s="102"/>
      <c r="G80" s="102"/>
      <c r="H80" s="102"/>
      <c r="I80" s="102"/>
      <c r="J80" s="102"/>
      <c r="K80" s="102"/>
      <c r="L80" s="102"/>
      <c r="M80" s="102"/>
      <c r="N80" s="102"/>
      <c r="O80" s="102"/>
      <c r="P80" s="102"/>
      <c r="Q80" s="102"/>
      <c r="R80" s="102"/>
      <c r="S80" s="102"/>
      <c r="T80" s="72"/>
      <c r="U80" s="72"/>
      <c r="V80" s="72"/>
      <c r="W80" s="72"/>
      <c r="X80" s="72"/>
      <c r="Y80" s="72"/>
      <c r="Z80" s="72"/>
      <c r="AA80" s="72"/>
      <c r="AB80" s="72"/>
      <c r="AC80" s="72"/>
      <c r="AD80" s="72"/>
      <c r="AE80" s="72"/>
      <c r="AF80" s="72"/>
      <c r="AG80" s="72"/>
      <c r="AH80" s="72"/>
      <c r="AI80" s="72"/>
      <c r="AJ80" s="72"/>
      <c r="AK80" s="72"/>
      <c r="AL80" s="72"/>
      <c r="AM80" s="72"/>
      <c r="AN80" s="72"/>
      <c r="AO80" s="72"/>
      <c r="AP80" s="72"/>
      <c r="AQ80" s="72"/>
      <c r="AR80" s="72"/>
      <c r="AS80" s="72"/>
      <c r="AT80" s="72"/>
      <c r="AU80" s="72"/>
      <c r="AV80" s="72"/>
      <c r="AW80" s="72"/>
      <c r="AX80" s="72"/>
      <c r="AY80" s="72"/>
      <c r="AZ80" s="72"/>
      <c r="BA80" s="72"/>
      <c r="BB80" s="72"/>
      <c r="BC80" s="72"/>
      <c r="BD80" s="72"/>
      <c r="BE80" s="72"/>
    </row>
    <row r="81" spans="1:57" x14ac:dyDescent="0.25">
      <c r="A81" s="102"/>
      <c r="B81" s="102"/>
      <c r="C81" s="102"/>
      <c r="D81" s="102"/>
      <c r="E81" s="102"/>
      <c r="F81" s="102"/>
      <c r="G81" s="102"/>
      <c r="H81" s="102"/>
      <c r="I81" s="102"/>
      <c r="J81" s="102"/>
      <c r="K81" s="102"/>
      <c r="L81" s="102"/>
      <c r="M81" s="102"/>
      <c r="N81" s="102"/>
      <c r="O81" s="102"/>
      <c r="P81" s="102"/>
      <c r="Q81" s="102"/>
      <c r="R81" s="102"/>
      <c r="S81" s="102"/>
      <c r="T81" s="72"/>
      <c r="U81" s="72"/>
      <c r="V81" s="72"/>
      <c r="W81" s="72"/>
      <c r="X81" s="72"/>
      <c r="Y81" s="72"/>
      <c r="Z81" s="72"/>
      <c r="AA81" s="72"/>
      <c r="AB81" s="72"/>
      <c r="AC81" s="72"/>
      <c r="AD81" s="72"/>
      <c r="AE81" s="72"/>
      <c r="AF81" s="72"/>
      <c r="AG81" s="72"/>
      <c r="AH81" s="72"/>
      <c r="AI81" s="72"/>
      <c r="AJ81" s="72"/>
      <c r="AK81" s="72"/>
      <c r="AL81" s="72"/>
      <c r="AM81" s="72"/>
      <c r="AN81" s="72"/>
      <c r="AO81" s="72"/>
      <c r="AP81" s="72"/>
      <c r="AQ81" s="72"/>
      <c r="AR81" s="72"/>
      <c r="AS81" s="72"/>
      <c r="AT81" s="72"/>
      <c r="AU81" s="72"/>
      <c r="AV81" s="72"/>
      <c r="AW81" s="72"/>
      <c r="AX81" s="72"/>
      <c r="AY81" s="72"/>
      <c r="AZ81" s="72"/>
      <c r="BA81" s="72"/>
      <c r="BB81" s="72"/>
      <c r="BC81" s="72"/>
      <c r="BD81" s="72"/>
      <c r="BE81" s="72"/>
    </row>
    <row r="82" spans="1:57" x14ac:dyDescent="0.25">
      <c r="A82" s="102"/>
      <c r="B82" s="102"/>
      <c r="C82" s="102"/>
      <c r="D82" s="102"/>
      <c r="E82" s="102"/>
      <c r="F82" s="102"/>
      <c r="G82" s="102"/>
      <c r="H82" s="102"/>
      <c r="I82" s="102"/>
      <c r="J82" s="102"/>
      <c r="K82" s="102"/>
      <c r="L82" s="102"/>
      <c r="M82" s="102"/>
      <c r="N82" s="102"/>
      <c r="O82" s="102"/>
      <c r="P82" s="102"/>
      <c r="Q82" s="102"/>
      <c r="R82" s="102"/>
      <c r="S82" s="102"/>
      <c r="T82" s="72"/>
      <c r="U82" s="72"/>
      <c r="V82" s="72"/>
      <c r="W82" s="72"/>
      <c r="X82" s="72"/>
      <c r="Y82" s="72"/>
      <c r="Z82" s="72"/>
      <c r="AA82" s="72"/>
      <c r="AB82" s="72"/>
      <c r="AC82" s="72"/>
      <c r="AD82" s="72"/>
      <c r="AE82" s="72"/>
      <c r="AF82" s="72"/>
      <c r="AG82" s="72"/>
      <c r="AH82" s="72"/>
      <c r="AI82" s="72"/>
      <c r="AJ82" s="72"/>
      <c r="AK82" s="72"/>
      <c r="AL82" s="72"/>
      <c r="AM82" s="72"/>
      <c r="AN82" s="72"/>
      <c r="AO82" s="72"/>
      <c r="AP82" s="72"/>
      <c r="AQ82" s="72"/>
      <c r="AR82" s="72"/>
      <c r="AS82" s="72"/>
      <c r="AT82" s="72"/>
      <c r="AU82" s="72"/>
      <c r="AV82" s="72"/>
      <c r="AW82" s="72"/>
      <c r="AX82" s="72"/>
      <c r="AY82" s="72"/>
      <c r="AZ82" s="72"/>
      <c r="BA82" s="72"/>
      <c r="BB82" s="72"/>
      <c r="BC82" s="72"/>
      <c r="BD82" s="72"/>
      <c r="BE82" s="72"/>
    </row>
    <row r="83" spans="1:57" x14ac:dyDescent="0.25">
      <c r="A83" s="102"/>
      <c r="B83" s="102"/>
      <c r="C83" s="102"/>
      <c r="D83" s="102"/>
      <c r="E83" s="102"/>
      <c r="F83" s="102"/>
      <c r="G83" s="102"/>
      <c r="H83" s="102"/>
      <c r="I83" s="102"/>
      <c r="J83" s="102"/>
      <c r="K83" s="102"/>
      <c r="L83" s="102"/>
      <c r="M83" s="102"/>
      <c r="N83" s="102"/>
      <c r="O83" s="102"/>
      <c r="P83" s="102"/>
      <c r="Q83" s="102"/>
      <c r="R83" s="102"/>
      <c r="S83" s="102"/>
      <c r="T83" s="72"/>
      <c r="U83" s="72"/>
      <c r="V83" s="72"/>
      <c r="W83" s="72"/>
      <c r="X83" s="72"/>
      <c r="Y83" s="72"/>
      <c r="Z83" s="72"/>
      <c r="AA83" s="72"/>
      <c r="AB83" s="72"/>
      <c r="AC83" s="72"/>
      <c r="AD83" s="72"/>
      <c r="AE83" s="72"/>
      <c r="AF83" s="72"/>
      <c r="AG83" s="72"/>
      <c r="AH83" s="72"/>
      <c r="AI83" s="72"/>
      <c r="AJ83" s="72"/>
      <c r="AK83" s="72"/>
      <c r="AL83" s="72"/>
      <c r="AM83" s="72"/>
      <c r="AN83" s="72"/>
      <c r="AO83" s="72"/>
      <c r="AP83" s="72"/>
      <c r="AQ83" s="72"/>
      <c r="AR83" s="72"/>
      <c r="AS83" s="72"/>
      <c r="AT83" s="72"/>
      <c r="AU83" s="72"/>
      <c r="AV83" s="72"/>
      <c r="AW83" s="72"/>
      <c r="AX83" s="72"/>
      <c r="AY83" s="72"/>
      <c r="AZ83" s="72"/>
      <c r="BA83" s="72"/>
      <c r="BB83" s="72"/>
      <c r="BC83" s="72"/>
      <c r="BD83" s="72"/>
      <c r="BE83" s="72"/>
    </row>
  </sheetData>
  <sheetProtection password="D989" sheet="1" objects="1" scenarios="1"/>
  <mergeCells count="89">
    <mergeCell ref="AW66:AX66"/>
    <mergeCell ref="I67:T67"/>
    <mergeCell ref="AE67:AQ67"/>
    <mergeCell ref="I68:T68"/>
    <mergeCell ref="AE68:AQ68"/>
    <mergeCell ref="AW65:AX65"/>
    <mergeCell ref="C53:D53"/>
    <mergeCell ref="C54:D54"/>
    <mergeCell ref="C55:D55"/>
    <mergeCell ref="C56:D56"/>
    <mergeCell ref="C57:D57"/>
    <mergeCell ref="C58:D58"/>
    <mergeCell ref="C59:D59"/>
    <mergeCell ref="C60:D60"/>
    <mergeCell ref="C61:D61"/>
    <mergeCell ref="C62:D62"/>
    <mergeCell ref="C63:D63"/>
    <mergeCell ref="C52:D52"/>
    <mergeCell ref="C41:D41"/>
    <mergeCell ref="C42:D42"/>
    <mergeCell ref="C43:D43"/>
    <mergeCell ref="C44:D44"/>
    <mergeCell ref="C45:D45"/>
    <mergeCell ref="C46:D46"/>
    <mergeCell ref="C47:D47"/>
    <mergeCell ref="C48:D48"/>
    <mergeCell ref="C49:D49"/>
    <mergeCell ref="C50:D50"/>
    <mergeCell ref="C51:D51"/>
    <mergeCell ref="C27:D27"/>
    <mergeCell ref="C40:D40"/>
    <mergeCell ref="C29:D29"/>
    <mergeCell ref="C30:D30"/>
    <mergeCell ref="C31:D31"/>
    <mergeCell ref="C32:D32"/>
    <mergeCell ref="C33:D33"/>
    <mergeCell ref="C34:D34"/>
    <mergeCell ref="C35:D35"/>
    <mergeCell ref="C36:D36"/>
    <mergeCell ref="C37:D37"/>
    <mergeCell ref="C38:D38"/>
    <mergeCell ref="C39:D39"/>
    <mergeCell ref="C28:D28"/>
    <mergeCell ref="C20:D20"/>
    <mergeCell ref="C21:D21"/>
    <mergeCell ref="AQ17:AU17"/>
    <mergeCell ref="AV17:AV18"/>
    <mergeCell ref="C26:D26"/>
    <mergeCell ref="C23:D23"/>
    <mergeCell ref="C24:D24"/>
    <mergeCell ref="C25:D25"/>
    <mergeCell ref="C22:D22"/>
    <mergeCell ref="C19:D19"/>
    <mergeCell ref="B14:C17"/>
    <mergeCell ref="Z17:Z18"/>
    <mergeCell ref="AF17:AJ17"/>
    <mergeCell ref="AK17:AO17"/>
    <mergeCell ref="AP17:AP18"/>
    <mergeCell ref="AZ14:AZ18"/>
    <mergeCell ref="D15:AV15"/>
    <mergeCell ref="AW15:AX15"/>
    <mergeCell ref="D16:J16"/>
    <mergeCell ref="K16:Z16"/>
    <mergeCell ref="AA16:AP16"/>
    <mergeCell ref="AQ16:AV16"/>
    <mergeCell ref="E17:I17"/>
    <mergeCell ref="J17:J18"/>
    <mergeCell ref="AY14:AY18"/>
    <mergeCell ref="AA17:AE17"/>
    <mergeCell ref="D14:AV14"/>
    <mergeCell ref="AW14:AX14"/>
    <mergeCell ref="K17:O17"/>
    <mergeCell ref="P17:T17"/>
    <mergeCell ref="U17:Y17"/>
    <mergeCell ref="AW17:AW18"/>
    <mergeCell ref="AX17:AX18"/>
    <mergeCell ref="AD8:AH8"/>
    <mergeCell ref="AJ8:AP8"/>
    <mergeCell ref="AQ8:AR8"/>
    <mergeCell ref="B3:AZ4"/>
    <mergeCell ref="AD6:AH6"/>
    <mergeCell ref="AJ6:AP6"/>
    <mergeCell ref="AQ6:AR6"/>
    <mergeCell ref="AS6:AX12"/>
    <mergeCell ref="AY6:AZ7"/>
    <mergeCell ref="AJ7:AP7"/>
    <mergeCell ref="AQ7:AR7"/>
    <mergeCell ref="AY8:AZ12"/>
    <mergeCell ref="AD10:AH10"/>
  </mergeCells>
  <conditionalFormatting sqref="AY19:AY63">
    <cfRule type="cellIs" dxfId="30" priority="17" operator="lessThanOrEqual">
      <formula>50.499</formula>
    </cfRule>
  </conditionalFormatting>
  <conditionalFormatting sqref="E19:I63">
    <cfRule type="cellIs" dxfId="29" priority="13" operator="greaterThan">
      <formula>10</formula>
    </cfRule>
    <cfRule type="cellIs" dxfId="28" priority="15" operator="greaterThan">
      <formula>10</formula>
    </cfRule>
  </conditionalFormatting>
  <conditionalFormatting sqref="E19">
    <cfRule type="cellIs" dxfId="27" priority="14" operator="greaterThan">
      <formula>10</formula>
    </cfRule>
  </conditionalFormatting>
  <conditionalFormatting sqref="K19:Y63">
    <cfRule type="cellIs" dxfId="26" priority="11" operator="greaterThan">
      <formula>35</formula>
    </cfRule>
    <cfRule type="cellIs" dxfId="25" priority="12" operator="greaterThan">
      <formula>35</formula>
    </cfRule>
  </conditionalFormatting>
  <conditionalFormatting sqref="AA19:AO63">
    <cfRule type="cellIs" dxfId="24" priority="9" operator="greaterThan">
      <formula>35</formula>
    </cfRule>
    <cfRule type="cellIs" dxfId="23" priority="10" operator="greaterThan">
      <formula>35</formula>
    </cfRule>
  </conditionalFormatting>
  <conditionalFormatting sqref="AQ19:AU63">
    <cfRule type="cellIs" dxfId="22" priority="7" operator="greaterThan">
      <formula>10</formula>
    </cfRule>
    <cfRule type="cellIs" dxfId="21" priority="8" operator="greaterThan">
      <formula>10</formula>
    </cfRule>
  </conditionalFormatting>
  <conditionalFormatting sqref="AW19:AX63">
    <cfRule type="cellIs" dxfId="20" priority="6" operator="greaterThan">
      <formula>5</formula>
    </cfRule>
  </conditionalFormatting>
  <conditionalFormatting sqref="AZ19:AZ63">
    <cfRule type="containsText" dxfId="19" priority="1" operator="containsText" text="FALSO">
      <formula>NOT(ISERROR(SEARCH("FALSO",AZ19)))</formula>
    </cfRule>
    <cfRule type="cellIs" dxfId="18" priority="3" operator="lessThan">
      <formula>51</formula>
    </cfRule>
  </conditionalFormatting>
  <conditionalFormatting sqref="AZ19:AZ63">
    <cfRule type="containsText" dxfId="17" priority="2" operator="containsText" text="REPROBADO">
      <formula>NOT(ISERROR(SEARCH("REPROBADO",AZ19)))</formula>
    </cfRule>
  </conditionalFormatting>
  <dataValidations count="3">
    <dataValidation type="whole" allowBlank="1" showInputMessage="1" showErrorMessage="1" errorTitle="ERROR" error="Solo puede introducir valores entre 1 y 10" sqref="E19:I64 AQ19:AU64">
      <formula1>1</formula1>
      <formula2>10</formula2>
    </dataValidation>
    <dataValidation type="whole" allowBlank="1" showInputMessage="1" showErrorMessage="1" errorTitle="ERROR" error="Solo puede introducir valores entre 1 y 35_x000a_" sqref="K19:Y63 AA19:AO63">
      <formula1>1</formula1>
      <formula2>35</formula2>
    </dataValidation>
    <dataValidation type="whole" allowBlank="1" showInputMessage="1" showErrorMessage="1" errorTitle="ERROR" error="Solo puede introducir valores entre 1 y 5" sqref="AW19:AX63">
      <formula1>1</formula1>
      <formula2>5</formula2>
    </dataValidation>
  </dataValidations>
  <pageMargins left="0.25" right="0.25" top="0.75" bottom="0.75" header="0.3" footer="0.3"/>
  <pageSetup scale="54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9" id="{AB1CEFDC-8D5D-4439-97DF-7E6ACF520346}">
            <xm:f>'ASIS. 1° B'!#REF!="NO INCORPORADO"</xm:f>
            <x14:dxf>
              <font>
                <b/>
                <i val="0"/>
                <strike/>
                <color rgb="FFFF0000"/>
              </font>
            </x14:dxf>
          </x14:cfRule>
          <xm:sqref>C19:D63</xm:sqref>
        </x14:conditionalFormatting>
        <x14:conditionalFormatting xmlns:xm="http://schemas.microsoft.com/office/excel/2006/main">
          <x14:cfRule type="expression" priority="30" id="{791A5250-D83F-4580-B0AD-8FEC789EB82A}">
            <xm:f>'ASIS. 1° B'!#REF!="RETIRO O ABANDONO"</xm:f>
            <x14:dxf>
              <font>
                <b/>
                <i val="0"/>
                <strike/>
                <color rgb="FFFF0000"/>
              </font>
            </x14:dxf>
          </x14:cfRule>
          <xm:sqref>C19:D63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'C. FILIACION'!$B$14:$B$58</xm:f>
          </x14:formula1>
          <xm:sqref>BB10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2">
    <pageSetUpPr fitToPage="1"/>
  </sheetPr>
  <dimension ref="B1:E5"/>
  <sheetViews>
    <sheetView workbookViewId="0">
      <selection activeCell="A2" sqref="A2"/>
    </sheetView>
  </sheetViews>
  <sheetFormatPr baseColWidth="10" defaultRowHeight="15" x14ac:dyDescent="0.25"/>
  <cols>
    <col min="1" max="1" width="1.85546875" customWidth="1"/>
    <col min="2" max="2" width="8.5703125" style="476" customWidth="1"/>
    <col min="3" max="3" width="31.42578125" style="476" customWidth="1"/>
    <col min="4" max="4" width="23.85546875" style="482" customWidth="1"/>
    <col min="5" max="5" width="68.28515625" style="479" customWidth="1"/>
  </cols>
  <sheetData>
    <row r="1" spans="2:5" ht="28.5" customHeight="1" x14ac:dyDescent="0.25">
      <c r="B1" s="707" t="s">
        <v>318</v>
      </c>
      <c r="C1" s="707"/>
      <c r="D1" s="707"/>
      <c r="E1" s="707"/>
    </row>
    <row r="3" spans="2:5" x14ac:dyDescent="0.25">
      <c r="B3" s="483" t="s">
        <v>310</v>
      </c>
      <c r="C3" s="483" t="s">
        <v>74</v>
      </c>
      <c r="D3" s="484" t="s">
        <v>308</v>
      </c>
      <c r="E3" s="485" t="s">
        <v>309</v>
      </c>
    </row>
    <row r="4" spans="2:5" x14ac:dyDescent="0.25">
      <c r="B4" s="483">
        <v>1</v>
      </c>
      <c r="C4" s="483">
        <v>0</v>
      </c>
      <c r="D4" s="484">
        <v>43495.436427777779</v>
      </c>
      <c r="E4" s="485" t="s">
        <v>378</v>
      </c>
    </row>
    <row r="5" spans="2:5" x14ac:dyDescent="0.25">
      <c r="B5" s="418"/>
      <c r="C5" s="418"/>
      <c r="D5" s="481"/>
      <c r="E5" s="419"/>
    </row>
  </sheetData>
  <sheetProtection sheet="1" objects="1" scenarios="1" autoFilter="0"/>
  <autoFilter ref="B3:E3"/>
  <mergeCells count="1">
    <mergeCell ref="B1:E1"/>
  </mergeCells>
  <pageMargins left="0.7" right="0.7" top="0.75" bottom="0.75" header="0.3" footer="0.3"/>
  <pageSetup scale="68" fitToHeight="0" orientation="portrait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5">
    <tabColor rgb="FFFF0000"/>
    <pageSetUpPr fitToPage="1"/>
  </sheetPr>
  <dimension ref="B2:AH63"/>
  <sheetViews>
    <sheetView showZeros="0" workbookViewId="0">
      <pane ySplit="14" topLeftCell="A42" activePane="bottomLeft" state="frozen"/>
      <selection pane="bottomLeft" activeCell="C9" sqref="C9"/>
    </sheetView>
  </sheetViews>
  <sheetFormatPr baseColWidth="10" defaultColWidth="11.42578125" defaultRowHeight="15" x14ac:dyDescent="0.25"/>
  <cols>
    <col min="1" max="1" width="5.7109375" style="2" customWidth="1"/>
    <col min="2" max="2" width="3.7109375" style="2" customWidth="1"/>
    <col min="3" max="3" width="27.85546875" style="2" customWidth="1"/>
    <col min="4" max="9" width="3.7109375" style="2" customWidth="1"/>
    <col min="10" max="10" width="6.7109375" style="2" customWidth="1"/>
    <col min="11" max="16" width="3.7109375" style="2" customWidth="1"/>
    <col min="17" max="17" width="6.7109375" style="2" customWidth="1"/>
    <col min="18" max="23" width="3.7109375" style="2" customWidth="1"/>
    <col min="24" max="24" width="6.7109375" style="2" customWidth="1"/>
    <col min="25" max="30" width="3.7109375" style="2" customWidth="1"/>
    <col min="31" max="31" width="6.7109375" style="2" customWidth="1"/>
    <col min="32" max="32" width="8.7109375" style="2" customWidth="1"/>
    <col min="33" max="33" width="11.28515625" style="2" customWidth="1"/>
    <col min="34" max="16384" width="11.42578125" style="2"/>
  </cols>
  <sheetData>
    <row r="2" spans="2:34" ht="26.25" customHeight="1" x14ac:dyDescent="0.25">
      <c r="B2" s="739" t="s">
        <v>193</v>
      </c>
      <c r="C2" s="740"/>
      <c r="D2" s="740"/>
      <c r="E2" s="740"/>
      <c r="F2" s="740"/>
      <c r="G2" s="740"/>
      <c r="H2" s="740"/>
      <c r="I2" s="740"/>
      <c r="J2" s="740"/>
      <c r="K2" s="740"/>
      <c r="L2" s="740"/>
      <c r="M2" s="740"/>
      <c r="N2" s="740"/>
      <c r="O2" s="740"/>
      <c r="P2" s="740"/>
      <c r="Q2" s="740"/>
      <c r="R2" s="740"/>
      <c r="S2" s="740"/>
      <c r="T2" s="740"/>
      <c r="U2" s="740"/>
      <c r="V2" s="740"/>
      <c r="W2" s="740"/>
      <c r="X2" s="740"/>
      <c r="Y2" s="740"/>
      <c r="Z2" s="740"/>
      <c r="AA2" s="740"/>
      <c r="AB2" s="741">
        <f ca="1">TODAY()</f>
        <v>43510</v>
      </c>
      <c r="AC2" s="742"/>
      <c r="AD2" s="742"/>
      <c r="AE2" s="742"/>
      <c r="AF2" s="742"/>
      <c r="AG2" s="743"/>
    </row>
    <row r="3" spans="2:34" ht="0.75" customHeight="1" thickBot="1" x14ac:dyDescent="0.3">
      <c r="B3" s="23"/>
      <c r="C3" s="24"/>
      <c r="D3" s="24"/>
      <c r="E3" s="24"/>
      <c r="F3" s="24"/>
      <c r="G3" s="24"/>
      <c r="H3" s="24"/>
      <c r="I3" s="24"/>
      <c r="J3" s="24"/>
      <c r="K3" s="24"/>
      <c r="L3" s="24"/>
      <c r="M3" s="24"/>
      <c r="N3" s="24"/>
      <c r="O3" s="24"/>
      <c r="P3" s="24"/>
      <c r="Q3" s="24"/>
      <c r="R3" s="24"/>
      <c r="S3" s="24"/>
      <c r="T3" s="24"/>
      <c r="U3" s="24"/>
      <c r="V3" s="24"/>
      <c r="W3" s="24"/>
      <c r="X3" s="24"/>
      <c r="Y3" s="24"/>
      <c r="Z3" s="24"/>
      <c r="AA3" s="24"/>
      <c r="AB3" s="24"/>
      <c r="AC3" s="24"/>
      <c r="AD3" s="24"/>
      <c r="AE3" s="24"/>
      <c r="AF3" s="24"/>
      <c r="AG3" s="25"/>
    </row>
    <row r="4" spans="2:34" ht="38.25" customHeight="1" x14ac:dyDescent="0.25">
      <c r="B4" s="12"/>
      <c r="C4" s="13" t="s">
        <v>1</v>
      </c>
      <c r="D4" s="295"/>
      <c r="E4" s="520">
        <f>CARATULA!G20</f>
        <v>0</v>
      </c>
      <c r="F4" s="295"/>
      <c r="G4" s="295"/>
      <c r="H4" s="295"/>
      <c r="I4" s="295"/>
      <c r="J4" s="295"/>
      <c r="K4" s="295"/>
      <c r="L4" s="295"/>
      <c r="M4" s="295"/>
      <c r="N4" s="295"/>
      <c r="O4" s="295"/>
      <c r="P4" s="295"/>
      <c r="Q4" s="295"/>
      <c r="R4" s="14"/>
      <c r="S4" s="16"/>
      <c r="T4" s="16"/>
      <c r="U4" s="16"/>
      <c r="V4" s="16"/>
      <c r="W4" s="16"/>
      <c r="X4" s="16"/>
      <c r="Y4" s="16"/>
      <c r="Z4" s="13"/>
      <c r="AA4" s="13"/>
      <c r="AB4" s="13"/>
      <c r="AC4" s="13"/>
      <c r="AD4" s="13"/>
      <c r="AE4" s="13"/>
      <c r="AF4" s="13"/>
      <c r="AG4" s="15"/>
    </row>
    <row r="5" spans="2:34" x14ac:dyDescent="0.25">
      <c r="B5" s="12"/>
      <c r="C5" s="13" t="s">
        <v>2</v>
      </c>
      <c r="D5" s="294"/>
      <c r="E5" s="521">
        <f>CARATULA!G26</f>
        <v>0</v>
      </c>
      <c r="F5" s="294"/>
      <c r="G5" s="294"/>
      <c r="H5" s="294"/>
      <c r="I5" s="294"/>
      <c r="J5" s="294"/>
      <c r="K5" s="294"/>
      <c r="L5" s="294"/>
      <c r="M5" s="294"/>
      <c r="N5" s="294"/>
      <c r="O5" s="294"/>
      <c r="P5" s="294"/>
      <c r="Q5" s="294"/>
      <c r="R5" s="16"/>
      <c r="S5" s="16"/>
      <c r="T5" s="16"/>
      <c r="U5" s="16"/>
      <c r="V5" s="16"/>
      <c r="W5" s="16"/>
      <c r="X5" s="16"/>
      <c r="Y5" s="16"/>
      <c r="Z5" s="13"/>
      <c r="AA5" s="13"/>
      <c r="AB5" s="13"/>
      <c r="AC5" s="13"/>
      <c r="AD5" s="13"/>
      <c r="AE5" s="13"/>
      <c r="AF5" s="13"/>
      <c r="AG5" s="15"/>
    </row>
    <row r="6" spans="2:34" x14ac:dyDescent="0.25">
      <c r="B6" s="12"/>
      <c r="C6" s="13" t="s">
        <v>99</v>
      </c>
      <c r="D6" s="294"/>
      <c r="E6" s="521" t="str">
        <f>CONCATENATE(CARATULA!G28," ",CARATULA!H28)</f>
        <v xml:space="preserve"> </v>
      </c>
      <c r="F6" s="294"/>
      <c r="G6" s="294"/>
      <c r="H6" s="294"/>
      <c r="I6" s="294"/>
      <c r="J6" s="294"/>
      <c r="K6" s="294"/>
      <c r="L6" s="294"/>
      <c r="M6" s="294"/>
      <c r="N6" s="16"/>
      <c r="O6" s="16"/>
      <c r="P6" s="16"/>
      <c r="Q6" s="16"/>
      <c r="R6" s="16"/>
      <c r="S6" s="16"/>
      <c r="T6" s="16"/>
      <c r="U6" s="16"/>
      <c r="V6" s="16"/>
      <c r="W6" s="16"/>
      <c r="X6" s="16"/>
      <c r="Y6" s="16"/>
      <c r="Z6" s="13"/>
      <c r="AA6" s="13"/>
      <c r="AB6" s="13"/>
      <c r="AC6" s="13"/>
      <c r="AD6" s="13"/>
      <c r="AE6" s="13"/>
      <c r="AF6" s="13"/>
      <c r="AG6" s="15"/>
    </row>
    <row r="7" spans="2:34" x14ac:dyDescent="0.25">
      <c r="B7" s="12"/>
      <c r="C7" s="13" t="s">
        <v>382</v>
      </c>
      <c r="D7" s="294"/>
      <c r="E7" s="521">
        <f>CARATULA!G22</f>
        <v>0</v>
      </c>
      <c r="F7" s="294"/>
      <c r="G7" s="294"/>
      <c r="H7" s="294"/>
      <c r="I7" s="294"/>
      <c r="J7" s="294"/>
      <c r="K7" s="294"/>
      <c r="L7" s="294"/>
      <c r="M7" s="294"/>
      <c r="N7" s="294"/>
      <c r="O7" s="294"/>
      <c r="P7" s="294"/>
      <c r="Q7" s="294"/>
      <c r="R7" s="14"/>
      <c r="S7" s="17"/>
      <c r="T7" s="17"/>
      <c r="U7" s="17"/>
      <c r="V7" s="17"/>
      <c r="W7" s="17"/>
      <c r="X7" s="17"/>
      <c r="Y7" s="17"/>
      <c r="Z7" s="13"/>
      <c r="AA7" s="13"/>
      <c r="AB7" s="13"/>
      <c r="AC7" s="13"/>
      <c r="AD7" s="13"/>
      <c r="AE7" s="13"/>
      <c r="AF7" s="13"/>
      <c r="AG7" s="15"/>
    </row>
    <row r="8" spans="2:34" x14ac:dyDescent="0.25">
      <c r="B8" s="12"/>
      <c r="C8" s="13" t="s">
        <v>383</v>
      </c>
      <c r="D8" s="294"/>
      <c r="E8" s="521">
        <f>CARATULA!G24</f>
        <v>0</v>
      </c>
      <c r="F8" s="294"/>
      <c r="G8" s="294"/>
      <c r="H8" s="294"/>
      <c r="I8" s="294"/>
      <c r="J8" s="294"/>
      <c r="K8" s="294"/>
      <c r="L8" s="294"/>
      <c r="M8" s="294"/>
      <c r="N8" s="294"/>
      <c r="O8" s="294"/>
      <c r="P8" s="294"/>
      <c r="Q8" s="294"/>
      <c r="R8" s="17"/>
      <c r="S8" s="17"/>
      <c r="T8" s="17"/>
      <c r="U8" s="17"/>
      <c r="V8" s="17"/>
      <c r="W8" s="17"/>
      <c r="X8" s="17"/>
      <c r="Y8" s="17"/>
      <c r="Z8" s="13"/>
      <c r="AA8" s="13"/>
      <c r="AB8" s="13"/>
      <c r="AC8" s="13"/>
      <c r="AD8" s="13"/>
      <c r="AE8" s="13"/>
      <c r="AF8" s="13"/>
      <c r="AG8" s="15"/>
    </row>
    <row r="9" spans="2:34" x14ac:dyDescent="0.25">
      <c r="B9" s="12"/>
      <c r="C9" s="13" t="s">
        <v>3</v>
      </c>
      <c r="D9" s="294"/>
      <c r="E9" s="521">
        <f>CARATULA!G30</f>
        <v>0</v>
      </c>
      <c r="F9" s="294"/>
      <c r="G9" s="294"/>
      <c r="H9" s="294"/>
      <c r="I9" s="294"/>
      <c r="J9" s="294"/>
      <c r="K9" s="294"/>
      <c r="L9" s="294"/>
      <c r="M9" s="294"/>
      <c r="N9" s="294"/>
      <c r="O9" s="294"/>
      <c r="P9" s="294"/>
      <c r="Q9" s="294"/>
      <c r="R9" s="17"/>
      <c r="S9" s="744">
        <f>COUNTIF(J15:J59,"&gt;=51")</f>
        <v>0</v>
      </c>
      <c r="T9" s="744"/>
      <c r="U9" s="744">
        <f>COUNTIF(Q15:Q59,"&gt;=51")</f>
        <v>0</v>
      </c>
      <c r="V9" s="744"/>
      <c r="W9" s="744">
        <f>COUNTIF(X15:X59,"&gt;=51")</f>
        <v>0</v>
      </c>
      <c r="X9" s="744"/>
      <c r="Y9" s="744">
        <f>COUNTIF(AE15:AE59,"&gt;=51")</f>
        <v>0</v>
      </c>
      <c r="Z9" s="744"/>
      <c r="AA9" s="13"/>
      <c r="AB9" s="733" t="s">
        <v>223</v>
      </c>
      <c r="AC9" s="733"/>
      <c r="AD9" s="733"/>
      <c r="AE9" s="733"/>
      <c r="AF9" s="734"/>
      <c r="AG9" s="522">
        <f>COUNTIF(AG15:AG59,"APROBADO")</f>
        <v>0</v>
      </c>
    </row>
    <row r="10" spans="2:34" x14ac:dyDescent="0.25">
      <c r="B10" s="12"/>
      <c r="C10" s="13" t="s">
        <v>21</v>
      </c>
      <c r="D10" s="294"/>
      <c r="E10" s="521">
        <f>CARATULA!G32</f>
        <v>0</v>
      </c>
      <c r="F10" s="294"/>
      <c r="G10" s="294"/>
      <c r="H10" s="294"/>
      <c r="I10" s="294"/>
      <c r="J10" s="294"/>
      <c r="K10" s="294"/>
      <c r="L10" s="294"/>
      <c r="M10" s="294"/>
      <c r="N10" s="294"/>
      <c r="O10" s="294"/>
      <c r="P10" s="294"/>
      <c r="Q10" s="294"/>
      <c r="R10" s="17"/>
      <c r="S10" s="732" t="s">
        <v>230</v>
      </c>
      <c r="T10" s="732"/>
      <c r="U10" s="732"/>
      <c r="V10" s="732"/>
      <c r="W10" s="732"/>
      <c r="X10" s="732"/>
      <c r="Y10" s="732"/>
      <c r="Z10" s="732"/>
      <c r="AA10" s="13"/>
      <c r="AB10" s="735" t="s">
        <v>224</v>
      </c>
      <c r="AC10" s="735"/>
      <c r="AD10" s="735"/>
      <c r="AE10" s="735"/>
      <c r="AF10" s="736"/>
      <c r="AG10" s="523">
        <f>COUNTIF(AG15:AG59,"REPROBADO")</f>
        <v>0</v>
      </c>
    </row>
    <row r="11" spans="2:34" ht="6.75" customHeight="1" thickBot="1" x14ac:dyDescent="0.3">
      <c r="B11" s="22"/>
      <c r="C11" s="18"/>
      <c r="D11" s="140"/>
      <c r="E11" s="140"/>
      <c r="F11" s="140"/>
      <c r="G11" s="140"/>
      <c r="H11" s="140"/>
      <c r="I11" s="140"/>
      <c r="J11" s="140"/>
      <c r="K11" s="140"/>
      <c r="L11" s="140"/>
      <c r="M11" s="140"/>
      <c r="N11" s="140"/>
      <c r="O11" s="140"/>
      <c r="P11" s="140"/>
      <c r="Q11" s="140"/>
      <c r="R11" s="17"/>
      <c r="S11" s="17"/>
      <c r="T11" s="17"/>
      <c r="U11" s="17"/>
      <c r="V11" s="17"/>
      <c r="W11" s="17"/>
      <c r="X11" s="17"/>
      <c r="Y11" s="17"/>
      <c r="Z11" s="13"/>
      <c r="AA11" s="13"/>
      <c r="AB11" s="13"/>
      <c r="AC11" s="13"/>
      <c r="AD11" s="13"/>
      <c r="AE11" s="13"/>
      <c r="AF11" s="13"/>
      <c r="AG11" s="15"/>
    </row>
    <row r="12" spans="2:34" ht="17.25" customHeight="1" thickBot="1" x14ac:dyDescent="0.3">
      <c r="B12" s="745" t="s">
        <v>41</v>
      </c>
      <c r="C12" s="748" t="s">
        <v>265</v>
      </c>
      <c r="D12" s="730" t="s">
        <v>85</v>
      </c>
      <c r="E12" s="730"/>
      <c r="F12" s="730"/>
      <c r="G12" s="730"/>
      <c r="H12" s="730"/>
      <c r="I12" s="730"/>
      <c r="J12" s="731"/>
      <c r="K12" s="751" t="s">
        <v>84</v>
      </c>
      <c r="L12" s="730"/>
      <c r="M12" s="730"/>
      <c r="N12" s="730"/>
      <c r="O12" s="730"/>
      <c r="P12" s="730"/>
      <c r="Q12" s="731"/>
      <c r="R12" s="751" t="s">
        <v>86</v>
      </c>
      <c r="S12" s="730"/>
      <c r="T12" s="730"/>
      <c r="U12" s="730"/>
      <c r="V12" s="730"/>
      <c r="W12" s="730"/>
      <c r="X12" s="731"/>
      <c r="Y12" s="730" t="s">
        <v>87</v>
      </c>
      <c r="Z12" s="730"/>
      <c r="AA12" s="730"/>
      <c r="AB12" s="730"/>
      <c r="AC12" s="730"/>
      <c r="AD12" s="730"/>
      <c r="AE12" s="731"/>
      <c r="AF12" s="737" t="s">
        <v>90</v>
      </c>
      <c r="AG12" s="755" t="s">
        <v>219</v>
      </c>
    </row>
    <row r="13" spans="2:34" ht="15.75" customHeight="1" thickBot="1" x14ac:dyDescent="0.3">
      <c r="B13" s="746"/>
      <c r="C13" s="749"/>
      <c r="D13" s="752" t="s">
        <v>297</v>
      </c>
      <c r="E13" s="753"/>
      <c r="F13" s="753"/>
      <c r="G13" s="754"/>
      <c r="H13" s="753" t="s">
        <v>201</v>
      </c>
      <c r="I13" s="753"/>
      <c r="J13" s="758" t="s">
        <v>88</v>
      </c>
      <c r="K13" s="752" t="s">
        <v>297</v>
      </c>
      <c r="L13" s="753"/>
      <c r="M13" s="753"/>
      <c r="N13" s="754"/>
      <c r="O13" s="753" t="s">
        <v>201</v>
      </c>
      <c r="P13" s="753"/>
      <c r="Q13" s="758" t="s">
        <v>89</v>
      </c>
      <c r="R13" s="752" t="s">
        <v>297</v>
      </c>
      <c r="S13" s="753"/>
      <c r="T13" s="753"/>
      <c r="U13" s="754"/>
      <c r="V13" s="753" t="s">
        <v>201</v>
      </c>
      <c r="W13" s="753"/>
      <c r="X13" s="758" t="s">
        <v>89</v>
      </c>
      <c r="Y13" s="752" t="s">
        <v>297</v>
      </c>
      <c r="Z13" s="753"/>
      <c r="AA13" s="753"/>
      <c r="AB13" s="754"/>
      <c r="AC13" s="753" t="s">
        <v>201</v>
      </c>
      <c r="AD13" s="753"/>
      <c r="AE13" s="758" t="s">
        <v>89</v>
      </c>
      <c r="AF13" s="738"/>
      <c r="AG13" s="756"/>
    </row>
    <row r="14" spans="2:34" ht="75" customHeight="1" thickBot="1" x14ac:dyDescent="0.3">
      <c r="B14" s="747"/>
      <c r="C14" s="750"/>
      <c r="D14" s="21" t="s">
        <v>75</v>
      </c>
      <c r="E14" s="20" t="s">
        <v>76</v>
      </c>
      <c r="F14" s="20" t="s">
        <v>78</v>
      </c>
      <c r="G14" s="141" t="s">
        <v>77</v>
      </c>
      <c r="H14" s="142" t="s">
        <v>75</v>
      </c>
      <c r="I14" s="143" t="s">
        <v>77</v>
      </c>
      <c r="J14" s="759"/>
      <c r="K14" s="19" t="s">
        <v>75</v>
      </c>
      <c r="L14" s="20" t="s">
        <v>76</v>
      </c>
      <c r="M14" s="20" t="s">
        <v>78</v>
      </c>
      <c r="N14" s="141" t="s">
        <v>77</v>
      </c>
      <c r="O14" s="142" t="s">
        <v>75</v>
      </c>
      <c r="P14" s="143" t="s">
        <v>77</v>
      </c>
      <c r="Q14" s="759"/>
      <c r="R14" s="19" t="s">
        <v>75</v>
      </c>
      <c r="S14" s="20" t="s">
        <v>76</v>
      </c>
      <c r="T14" s="20" t="s">
        <v>78</v>
      </c>
      <c r="U14" s="141" t="s">
        <v>77</v>
      </c>
      <c r="V14" s="145" t="s">
        <v>75</v>
      </c>
      <c r="W14" s="144" t="s">
        <v>77</v>
      </c>
      <c r="X14" s="759"/>
      <c r="Y14" s="21" t="s">
        <v>75</v>
      </c>
      <c r="Z14" s="20" t="s">
        <v>76</v>
      </c>
      <c r="AA14" s="20" t="s">
        <v>78</v>
      </c>
      <c r="AB14" s="141" t="s">
        <v>77</v>
      </c>
      <c r="AC14" s="142" t="s">
        <v>75</v>
      </c>
      <c r="AD14" s="143" t="s">
        <v>77</v>
      </c>
      <c r="AE14" s="760"/>
      <c r="AF14" s="738"/>
      <c r="AG14" s="757"/>
    </row>
    <row r="15" spans="2:34" ht="16.5" thickBot="1" x14ac:dyDescent="0.3">
      <c r="B15" s="9">
        <v>1</v>
      </c>
      <c r="C15" s="524" t="str">
        <f>'C. FILIACION'!C14:D14</f>
        <v>SUAREZ EVELIN ISELA</v>
      </c>
      <c r="D15" s="525" t="str">
        <f>'VAL. 1° B'!J19</f>
        <v/>
      </c>
      <c r="E15" s="526" t="str">
        <f>'VAL. 1° B'!Z19</f>
        <v/>
      </c>
      <c r="F15" s="526" t="str">
        <f>'VAL. 1° B'!AP19</f>
        <v/>
      </c>
      <c r="G15" s="526" t="str">
        <f>'VAL. 1° B'!AV19</f>
        <v/>
      </c>
      <c r="H15" s="527">
        <f>'VAL. 1° B'!AW19</f>
        <v>0</v>
      </c>
      <c r="I15" s="527">
        <f>'VAL. 1° B'!AX19</f>
        <v>0</v>
      </c>
      <c r="J15" s="528">
        <f>'VAL. 1° B'!AY19</f>
        <v>0</v>
      </c>
      <c r="K15" s="529" t="str">
        <f>'VAL. 2° B'!J19</f>
        <v/>
      </c>
      <c r="L15" s="526" t="str">
        <f>'VAL. 2° B'!Z19</f>
        <v/>
      </c>
      <c r="M15" s="526" t="str">
        <f>'VAL. 2° B'!AP19</f>
        <v/>
      </c>
      <c r="N15" s="526" t="str">
        <f>'VAL. 2° B'!AV19</f>
        <v/>
      </c>
      <c r="O15" s="527">
        <f>'VAL. 2° B'!AW19</f>
        <v>0</v>
      </c>
      <c r="P15" s="527">
        <f>'VAL. 2° B'!AX19</f>
        <v>0</v>
      </c>
      <c r="Q15" s="530">
        <f>'VAL. 2° B'!AY19</f>
        <v>0</v>
      </c>
      <c r="R15" s="529" t="str">
        <f>'VAL. 3° B'!J19</f>
        <v/>
      </c>
      <c r="S15" s="526" t="str">
        <f>'VAL. 3° B'!Z19</f>
        <v/>
      </c>
      <c r="T15" s="526" t="str">
        <f>'VAL. 3° B'!AP19</f>
        <v/>
      </c>
      <c r="U15" s="526" t="str">
        <f>'VAL. 3° B'!AV19</f>
        <v/>
      </c>
      <c r="V15" s="527">
        <f>'VAL. 3° B'!AW19</f>
        <v>0</v>
      </c>
      <c r="W15" s="527">
        <f>'VAL. 3° B'!AX19</f>
        <v>0</v>
      </c>
      <c r="X15" s="530">
        <f>'VAL. 3° B'!AY19</f>
        <v>0</v>
      </c>
      <c r="Y15" s="529" t="str">
        <f>'VAL. 4° B'!J19</f>
        <v/>
      </c>
      <c r="Z15" s="526" t="str">
        <f>'VAL. 4° B'!Z19</f>
        <v/>
      </c>
      <c r="AA15" s="526" t="str">
        <f>'VAL. 4° B'!AP19</f>
        <v/>
      </c>
      <c r="AB15" s="526" t="str">
        <f>'VAL. 4° B'!AV19</f>
        <v/>
      </c>
      <c r="AC15" s="527">
        <f>'VAL. 4° B'!AW19</f>
        <v>0</v>
      </c>
      <c r="AD15" s="527">
        <f>'VAL. 4° B'!AX19</f>
        <v>0</v>
      </c>
      <c r="AE15" s="531">
        <f>'VAL. 4° B'!AY19</f>
        <v>0</v>
      </c>
      <c r="AF15" s="532">
        <f>IFERROR(AVERAGE(J15,Q15,X15,AE15),"")</f>
        <v>0</v>
      </c>
      <c r="AG15" s="533" t="b">
        <f>IF(AF15="","",(IF(AND(AF15&gt;=1,AF15&lt;=50.499),"REPROBADO",IF(AND(AF15&gt;=50.5,AF15&lt;=100),"APROBADO"))))</f>
        <v>0</v>
      </c>
      <c r="AH15" s="403"/>
    </row>
    <row r="16" spans="2:34" ht="16.5" thickBot="1" x14ac:dyDescent="0.3">
      <c r="B16" s="10">
        <v>2</v>
      </c>
      <c r="C16" s="524" t="str">
        <f>'C. FILIACION'!C15:D15</f>
        <v>ALARCON  VARGAS JAIR ALEXIS</v>
      </c>
      <c r="D16" s="525" t="str">
        <f>'VAL. 1° B'!J20</f>
        <v/>
      </c>
      <c r="E16" s="526" t="str">
        <f>'VAL. 1° B'!Z20</f>
        <v/>
      </c>
      <c r="F16" s="526" t="str">
        <f>'VAL. 1° B'!AP20</f>
        <v/>
      </c>
      <c r="G16" s="526" t="str">
        <f>'VAL. 1° B'!AV20</f>
        <v/>
      </c>
      <c r="H16" s="527">
        <f>'VAL. 1° B'!AW20</f>
        <v>0</v>
      </c>
      <c r="I16" s="527">
        <f>'VAL. 1° B'!AX20</f>
        <v>0</v>
      </c>
      <c r="J16" s="528">
        <f>'VAL. 1° B'!AY20</f>
        <v>0</v>
      </c>
      <c r="K16" s="529" t="str">
        <f>'VAL. 2° B'!J20</f>
        <v/>
      </c>
      <c r="L16" s="526" t="str">
        <f>'VAL. 2° B'!Z20</f>
        <v/>
      </c>
      <c r="M16" s="526" t="str">
        <f>'VAL. 2° B'!AP20</f>
        <v/>
      </c>
      <c r="N16" s="526" t="str">
        <f>'VAL. 2° B'!AV20</f>
        <v/>
      </c>
      <c r="O16" s="527">
        <f>'VAL. 2° B'!AW20</f>
        <v>0</v>
      </c>
      <c r="P16" s="527">
        <f>'VAL. 2° B'!AX20</f>
        <v>0</v>
      </c>
      <c r="Q16" s="530">
        <f>'VAL. 2° B'!AY20</f>
        <v>0</v>
      </c>
      <c r="R16" s="529" t="str">
        <f>'VAL. 3° B'!J20</f>
        <v/>
      </c>
      <c r="S16" s="526" t="str">
        <f>'VAL. 3° B'!Z20</f>
        <v/>
      </c>
      <c r="T16" s="526" t="str">
        <f>'VAL. 3° B'!AP20</f>
        <v/>
      </c>
      <c r="U16" s="526" t="str">
        <f>'VAL. 3° B'!AV20</f>
        <v/>
      </c>
      <c r="V16" s="527">
        <f>'VAL. 3° B'!AW20</f>
        <v>0</v>
      </c>
      <c r="W16" s="527">
        <f>'VAL. 3° B'!AX20</f>
        <v>0</v>
      </c>
      <c r="X16" s="530">
        <f>'VAL. 3° B'!AY20</f>
        <v>0</v>
      </c>
      <c r="Y16" s="529" t="str">
        <f>'VAL. 4° B'!J20</f>
        <v/>
      </c>
      <c r="Z16" s="526" t="str">
        <f>'VAL. 4° B'!Z20</f>
        <v/>
      </c>
      <c r="AA16" s="526" t="str">
        <f>'VAL. 4° B'!AP20</f>
        <v/>
      </c>
      <c r="AB16" s="526" t="str">
        <f>'VAL. 4° B'!AV20</f>
        <v/>
      </c>
      <c r="AC16" s="527">
        <f>'VAL. 4° B'!AW20</f>
        <v>0</v>
      </c>
      <c r="AD16" s="527">
        <f>'VAL. 4° B'!AX20</f>
        <v>0</v>
      </c>
      <c r="AE16" s="531">
        <f>'VAL. 4° B'!AY20</f>
        <v>0</v>
      </c>
      <c r="AF16" s="532">
        <f t="shared" ref="AF16:AF59" si="0">IFERROR(AVERAGE(J16,Q16,X16,AE16),"")</f>
        <v>0</v>
      </c>
      <c r="AG16" s="533" t="b">
        <f t="shared" ref="AG16:AG59" si="1">IF(AF16="","",(IF(AND(AF16&gt;=1,AF16&lt;=50.499),"REPROBADO",IF(AND(AF16&gt;=50.5,AF16&lt;=100),"APROBADO"))))</f>
        <v>0</v>
      </c>
      <c r="AH16" s="403"/>
    </row>
    <row r="17" spans="2:34" ht="16.5" thickBot="1" x14ac:dyDescent="0.3">
      <c r="B17" s="10">
        <v>3</v>
      </c>
      <c r="C17" s="524" t="str">
        <f>'C. FILIACION'!C16:D16</f>
        <v>AÑAZGO  VARGAS NOELIA</v>
      </c>
      <c r="D17" s="525" t="str">
        <f>'VAL. 1° B'!J21</f>
        <v/>
      </c>
      <c r="E17" s="526" t="str">
        <f>'VAL. 1° B'!Z21</f>
        <v/>
      </c>
      <c r="F17" s="526" t="str">
        <f>'VAL. 1° B'!AP21</f>
        <v/>
      </c>
      <c r="G17" s="526" t="str">
        <f>'VAL. 1° B'!AV21</f>
        <v/>
      </c>
      <c r="H17" s="527">
        <f>'VAL. 1° B'!AW21</f>
        <v>0</v>
      </c>
      <c r="I17" s="527">
        <f>'VAL. 1° B'!AX21</f>
        <v>0</v>
      </c>
      <c r="J17" s="528">
        <f>'VAL. 1° B'!AY21</f>
        <v>0</v>
      </c>
      <c r="K17" s="529" t="str">
        <f>'VAL. 2° B'!J21</f>
        <v/>
      </c>
      <c r="L17" s="526" t="str">
        <f>'VAL. 2° B'!Z21</f>
        <v/>
      </c>
      <c r="M17" s="526" t="str">
        <f>'VAL. 2° B'!AP21</f>
        <v/>
      </c>
      <c r="N17" s="526" t="str">
        <f>'VAL. 2° B'!AV21</f>
        <v/>
      </c>
      <c r="O17" s="527">
        <f>'VAL. 2° B'!AW21</f>
        <v>0</v>
      </c>
      <c r="P17" s="527">
        <f>'VAL. 2° B'!AX21</f>
        <v>0</v>
      </c>
      <c r="Q17" s="530">
        <f>'VAL. 2° B'!AY21</f>
        <v>0</v>
      </c>
      <c r="R17" s="529" t="str">
        <f>'VAL. 3° B'!J21</f>
        <v/>
      </c>
      <c r="S17" s="526" t="str">
        <f>'VAL. 3° B'!Z21</f>
        <v/>
      </c>
      <c r="T17" s="526" t="str">
        <f>'VAL. 3° B'!AP21</f>
        <v/>
      </c>
      <c r="U17" s="526" t="str">
        <f>'VAL. 3° B'!AV21</f>
        <v/>
      </c>
      <c r="V17" s="527">
        <f>'VAL. 3° B'!AW21</f>
        <v>0</v>
      </c>
      <c r="W17" s="527">
        <f>'VAL. 3° B'!AX21</f>
        <v>0</v>
      </c>
      <c r="X17" s="530">
        <f>'VAL. 3° B'!AY21</f>
        <v>0</v>
      </c>
      <c r="Y17" s="529" t="str">
        <f>'VAL. 4° B'!J21</f>
        <v/>
      </c>
      <c r="Z17" s="526" t="str">
        <f>'VAL. 4° B'!Z21</f>
        <v/>
      </c>
      <c r="AA17" s="526" t="str">
        <f>'VAL. 4° B'!AP21</f>
        <v/>
      </c>
      <c r="AB17" s="526" t="str">
        <f>'VAL. 4° B'!AV21</f>
        <v/>
      </c>
      <c r="AC17" s="527">
        <f>'VAL. 4° B'!AW21</f>
        <v>0</v>
      </c>
      <c r="AD17" s="527">
        <f>'VAL. 4° B'!AX21</f>
        <v>0</v>
      </c>
      <c r="AE17" s="531">
        <f>'VAL. 4° B'!AY21</f>
        <v>0</v>
      </c>
      <c r="AF17" s="532">
        <f t="shared" si="0"/>
        <v>0</v>
      </c>
      <c r="AG17" s="533" t="b">
        <f t="shared" si="1"/>
        <v>0</v>
      </c>
      <c r="AH17" s="403"/>
    </row>
    <row r="18" spans="2:34" ht="16.5" thickBot="1" x14ac:dyDescent="0.3">
      <c r="B18" s="10">
        <v>4</v>
      </c>
      <c r="C18" s="524" t="str">
        <f>'C. FILIACION'!C17:D17</f>
        <v>AQUISE HINOJOSA YHAMIR FABIO</v>
      </c>
      <c r="D18" s="525" t="str">
        <f>'VAL. 1° B'!J22</f>
        <v/>
      </c>
      <c r="E18" s="526" t="str">
        <f>'VAL. 1° B'!Z22</f>
        <v/>
      </c>
      <c r="F18" s="526" t="str">
        <f>'VAL. 1° B'!AP22</f>
        <v/>
      </c>
      <c r="G18" s="526" t="str">
        <f>'VAL. 1° B'!AV22</f>
        <v/>
      </c>
      <c r="H18" s="527">
        <f>'VAL. 1° B'!AW22</f>
        <v>0</v>
      </c>
      <c r="I18" s="527">
        <f>'VAL. 1° B'!AX22</f>
        <v>0</v>
      </c>
      <c r="J18" s="528">
        <f>'VAL. 1° B'!AY22</f>
        <v>0</v>
      </c>
      <c r="K18" s="529" t="str">
        <f>'VAL. 2° B'!J22</f>
        <v/>
      </c>
      <c r="L18" s="526" t="str">
        <f>'VAL. 2° B'!Z22</f>
        <v/>
      </c>
      <c r="M18" s="526" t="str">
        <f>'VAL. 2° B'!AP22</f>
        <v/>
      </c>
      <c r="N18" s="526" t="str">
        <f>'VAL. 2° B'!AV22</f>
        <v/>
      </c>
      <c r="O18" s="527">
        <f>'VAL. 2° B'!AW22</f>
        <v>0</v>
      </c>
      <c r="P18" s="527">
        <f>'VAL. 2° B'!AX22</f>
        <v>0</v>
      </c>
      <c r="Q18" s="530">
        <f>'VAL. 2° B'!AY22</f>
        <v>0</v>
      </c>
      <c r="R18" s="529" t="str">
        <f>'VAL. 3° B'!J22</f>
        <v/>
      </c>
      <c r="S18" s="526" t="str">
        <f>'VAL. 3° B'!Z22</f>
        <v/>
      </c>
      <c r="T18" s="526" t="str">
        <f>'VAL. 3° B'!AP22</f>
        <v/>
      </c>
      <c r="U18" s="526" t="str">
        <f>'VAL. 3° B'!AV22</f>
        <v/>
      </c>
      <c r="V18" s="527">
        <f>'VAL. 3° B'!AW22</f>
        <v>0</v>
      </c>
      <c r="W18" s="527">
        <f>'VAL. 3° B'!AX22</f>
        <v>0</v>
      </c>
      <c r="X18" s="530">
        <f>'VAL. 3° B'!AY22</f>
        <v>0</v>
      </c>
      <c r="Y18" s="529" t="str">
        <f>'VAL. 4° B'!J22</f>
        <v/>
      </c>
      <c r="Z18" s="526" t="str">
        <f>'VAL. 4° B'!Z22</f>
        <v/>
      </c>
      <c r="AA18" s="526" t="str">
        <f>'VAL. 4° B'!AP22</f>
        <v/>
      </c>
      <c r="AB18" s="526" t="str">
        <f>'VAL. 4° B'!AV22</f>
        <v/>
      </c>
      <c r="AC18" s="527">
        <f>'VAL. 4° B'!AW22</f>
        <v>0</v>
      </c>
      <c r="AD18" s="527">
        <f>'VAL. 4° B'!AX22</f>
        <v>0</v>
      </c>
      <c r="AE18" s="531">
        <f>'VAL. 4° B'!AY22</f>
        <v>0</v>
      </c>
      <c r="AF18" s="532">
        <f t="shared" si="0"/>
        <v>0</v>
      </c>
      <c r="AG18" s="533" t="b">
        <f t="shared" si="1"/>
        <v>0</v>
      </c>
      <c r="AH18" s="403"/>
    </row>
    <row r="19" spans="2:34" ht="16.5" thickBot="1" x14ac:dyDescent="0.3">
      <c r="B19" s="10">
        <v>5</v>
      </c>
      <c r="C19" s="524" t="str">
        <f>'C. FILIACION'!C18:D18</f>
        <v>ARGANI  LAREDO MARIA JESUS</v>
      </c>
      <c r="D19" s="525" t="str">
        <f>'VAL. 1° B'!J23</f>
        <v/>
      </c>
      <c r="E19" s="526" t="str">
        <f>'VAL. 1° B'!Z23</f>
        <v/>
      </c>
      <c r="F19" s="526" t="str">
        <f>'VAL. 1° B'!AP23</f>
        <v/>
      </c>
      <c r="G19" s="526" t="str">
        <f>'VAL. 1° B'!AV23</f>
        <v/>
      </c>
      <c r="H19" s="527">
        <f>'VAL. 1° B'!AW23</f>
        <v>0</v>
      </c>
      <c r="I19" s="527">
        <f>'VAL. 1° B'!AX23</f>
        <v>0</v>
      </c>
      <c r="J19" s="528">
        <f>'VAL. 1° B'!AY23</f>
        <v>0</v>
      </c>
      <c r="K19" s="529" t="str">
        <f>'VAL. 2° B'!J23</f>
        <v/>
      </c>
      <c r="L19" s="526" t="str">
        <f>'VAL. 2° B'!Z23</f>
        <v/>
      </c>
      <c r="M19" s="526" t="str">
        <f>'VAL. 2° B'!AP23</f>
        <v/>
      </c>
      <c r="N19" s="526" t="str">
        <f>'VAL. 2° B'!AV23</f>
        <v/>
      </c>
      <c r="O19" s="527">
        <f>'VAL. 2° B'!AW23</f>
        <v>0</v>
      </c>
      <c r="P19" s="527">
        <f>'VAL. 2° B'!AX23</f>
        <v>0</v>
      </c>
      <c r="Q19" s="530">
        <f>'VAL. 2° B'!AY23</f>
        <v>0</v>
      </c>
      <c r="R19" s="529" t="str">
        <f>'VAL. 3° B'!J23</f>
        <v/>
      </c>
      <c r="S19" s="526" t="str">
        <f>'VAL. 3° B'!Z23</f>
        <v/>
      </c>
      <c r="T19" s="526" t="str">
        <f>'VAL. 3° B'!AP23</f>
        <v/>
      </c>
      <c r="U19" s="526" t="str">
        <f>'VAL. 3° B'!AV23</f>
        <v/>
      </c>
      <c r="V19" s="527">
        <f>'VAL. 3° B'!AW23</f>
        <v>0</v>
      </c>
      <c r="W19" s="527">
        <f>'VAL. 3° B'!AX23</f>
        <v>0</v>
      </c>
      <c r="X19" s="530">
        <f>'VAL. 3° B'!AY23</f>
        <v>0</v>
      </c>
      <c r="Y19" s="529" t="str">
        <f>'VAL. 4° B'!J23</f>
        <v/>
      </c>
      <c r="Z19" s="526" t="str">
        <f>'VAL. 4° B'!Z23</f>
        <v/>
      </c>
      <c r="AA19" s="526" t="str">
        <f>'VAL. 4° B'!AP23</f>
        <v/>
      </c>
      <c r="AB19" s="526" t="str">
        <f>'VAL. 4° B'!AV23</f>
        <v/>
      </c>
      <c r="AC19" s="527">
        <f>'VAL. 4° B'!AW23</f>
        <v>0</v>
      </c>
      <c r="AD19" s="527">
        <f>'VAL. 4° B'!AX23</f>
        <v>0</v>
      </c>
      <c r="AE19" s="531">
        <f>'VAL. 4° B'!AY23</f>
        <v>0</v>
      </c>
      <c r="AF19" s="532">
        <f t="shared" si="0"/>
        <v>0</v>
      </c>
      <c r="AG19" s="533" t="b">
        <f t="shared" si="1"/>
        <v>0</v>
      </c>
      <c r="AH19" s="403"/>
    </row>
    <row r="20" spans="2:34" ht="16.5" thickBot="1" x14ac:dyDescent="0.3">
      <c r="B20" s="10">
        <v>6</v>
      </c>
      <c r="C20" s="524" t="str">
        <f>'C. FILIACION'!C19:D19</f>
        <v>AYLLON MOLLO RONNY BRUCE</v>
      </c>
      <c r="D20" s="525" t="str">
        <f>'VAL. 1° B'!J24</f>
        <v/>
      </c>
      <c r="E20" s="526" t="str">
        <f>'VAL. 1° B'!Z24</f>
        <v/>
      </c>
      <c r="F20" s="526" t="str">
        <f>'VAL. 1° B'!AP24</f>
        <v/>
      </c>
      <c r="G20" s="526" t="str">
        <f>'VAL. 1° B'!AV24</f>
        <v/>
      </c>
      <c r="H20" s="527">
        <f>'VAL. 1° B'!AW24</f>
        <v>0</v>
      </c>
      <c r="I20" s="527">
        <f>'VAL. 1° B'!AX24</f>
        <v>0</v>
      </c>
      <c r="J20" s="528">
        <f>'VAL. 1° B'!AY24</f>
        <v>0</v>
      </c>
      <c r="K20" s="529" t="str">
        <f>'VAL. 2° B'!J24</f>
        <v/>
      </c>
      <c r="L20" s="526" t="str">
        <f>'VAL. 2° B'!Z24</f>
        <v/>
      </c>
      <c r="M20" s="526" t="str">
        <f>'VAL. 2° B'!AP24</f>
        <v/>
      </c>
      <c r="N20" s="526" t="str">
        <f>'VAL. 2° B'!AV24</f>
        <v/>
      </c>
      <c r="O20" s="527">
        <f>'VAL. 2° B'!AW24</f>
        <v>0</v>
      </c>
      <c r="P20" s="527">
        <f>'VAL. 2° B'!AX24</f>
        <v>0</v>
      </c>
      <c r="Q20" s="530">
        <f>'VAL. 2° B'!AY24</f>
        <v>0</v>
      </c>
      <c r="R20" s="529" t="str">
        <f>'VAL. 3° B'!J24</f>
        <v/>
      </c>
      <c r="S20" s="526" t="str">
        <f>'VAL. 3° B'!Z24</f>
        <v/>
      </c>
      <c r="T20" s="526" t="str">
        <f>'VAL. 3° B'!AP24</f>
        <v/>
      </c>
      <c r="U20" s="526" t="str">
        <f>'VAL. 3° B'!AV24</f>
        <v/>
      </c>
      <c r="V20" s="527">
        <f>'VAL. 3° B'!AW24</f>
        <v>0</v>
      </c>
      <c r="W20" s="527">
        <f>'VAL. 3° B'!AX24</f>
        <v>0</v>
      </c>
      <c r="X20" s="530">
        <f>'VAL. 3° B'!AY24</f>
        <v>0</v>
      </c>
      <c r="Y20" s="529" t="str">
        <f>'VAL. 4° B'!J24</f>
        <v/>
      </c>
      <c r="Z20" s="526" t="str">
        <f>'VAL. 4° B'!Z24</f>
        <v/>
      </c>
      <c r="AA20" s="526" t="str">
        <f>'VAL. 4° B'!AP24</f>
        <v/>
      </c>
      <c r="AB20" s="526" t="str">
        <f>'VAL. 4° B'!AV24</f>
        <v/>
      </c>
      <c r="AC20" s="527">
        <f>'VAL. 4° B'!AW24</f>
        <v>0</v>
      </c>
      <c r="AD20" s="527">
        <f>'VAL. 4° B'!AX24</f>
        <v>0</v>
      </c>
      <c r="AE20" s="531">
        <f>'VAL. 4° B'!AY24</f>
        <v>0</v>
      </c>
      <c r="AF20" s="532">
        <f t="shared" si="0"/>
        <v>0</v>
      </c>
      <c r="AG20" s="533" t="b">
        <f t="shared" si="1"/>
        <v>0</v>
      </c>
      <c r="AH20" s="403"/>
    </row>
    <row r="21" spans="2:34" ht="16.5" thickBot="1" x14ac:dyDescent="0.3">
      <c r="B21" s="10">
        <v>7</v>
      </c>
      <c r="C21" s="524" t="str">
        <f>'C. FILIACION'!C20:D20</f>
        <v>BALBOA  PAZ ANTHONY JR</v>
      </c>
      <c r="D21" s="525" t="str">
        <f>'VAL. 1° B'!J25</f>
        <v/>
      </c>
      <c r="E21" s="526" t="str">
        <f>'VAL. 1° B'!Z25</f>
        <v/>
      </c>
      <c r="F21" s="526" t="str">
        <f>'VAL. 1° B'!AP25</f>
        <v/>
      </c>
      <c r="G21" s="526" t="str">
        <f>'VAL. 1° B'!AV25</f>
        <v/>
      </c>
      <c r="H21" s="527">
        <f>'VAL. 1° B'!AW25</f>
        <v>0</v>
      </c>
      <c r="I21" s="527">
        <f>'VAL. 1° B'!AX25</f>
        <v>0</v>
      </c>
      <c r="J21" s="528">
        <f>'VAL. 1° B'!AY25</f>
        <v>0</v>
      </c>
      <c r="K21" s="529" t="str">
        <f>'VAL. 2° B'!J25</f>
        <v/>
      </c>
      <c r="L21" s="526" t="str">
        <f>'VAL. 2° B'!Z25</f>
        <v/>
      </c>
      <c r="M21" s="526" t="str">
        <f>'VAL. 2° B'!AP25</f>
        <v/>
      </c>
      <c r="N21" s="526" t="str">
        <f>'VAL. 2° B'!AV25</f>
        <v/>
      </c>
      <c r="O21" s="527">
        <f>'VAL. 2° B'!AW25</f>
        <v>0</v>
      </c>
      <c r="P21" s="527">
        <f>'VAL. 2° B'!AX25</f>
        <v>0</v>
      </c>
      <c r="Q21" s="530">
        <f>'VAL. 2° B'!AY25</f>
        <v>0</v>
      </c>
      <c r="R21" s="529" t="str">
        <f>'VAL. 3° B'!J25</f>
        <v/>
      </c>
      <c r="S21" s="526" t="str">
        <f>'VAL. 3° B'!Z25</f>
        <v/>
      </c>
      <c r="T21" s="526" t="str">
        <f>'VAL. 3° B'!AP25</f>
        <v/>
      </c>
      <c r="U21" s="526" t="str">
        <f>'VAL. 3° B'!AV25</f>
        <v/>
      </c>
      <c r="V21" s="527">
        <f>'VAL. 3° B'!AW25</f>
        <v>0</v>
      </c>
      <c r="W21" s="527">
        <f>'VAL. 3° B'!AX25</f>
        <v>0</v>
      </c>
      <c r="X21" s="530">
        <f>'VAL. 3° B'!AY25</f>
        <v>0</v>
      </c>
      <c r="Y21" s="529" t="str">
        <f>'VAL. 4° B'!J25</f>
        <v/>
      </c>
      <c r="Z21" s="526" t="str">
        <f>'VAL. 4° B'!Z25</f>
        <v/>
      </c>
      <c r="AA21" s="526" t="str">
        <f>'VAL. 4° B'!AP25</f>
        <v/>
      </c>
      <c r="AB21" s="526" t="str">
        <f>'VAL. 4° B'!AV25</f>
        <v/>
      </c>
      <c r="AC21" s="527">
        <f>'VAL. 4° B'!AW25</f>
        <v>0</v>
      </c>
      <c r="AD21" s="527">
        <f>'VAL. 4° B'!AX25</f>
        <v>0</v>
      </c>
      <c r="AE21" s="531">
        <f>'VAL. 4° B'!AY25</f>
        <v>0</v>
      </c>
      <c r="AF21" s="532">
        <f t="shared" si="0"/>
        <v>0</v>
      </c>
      <c r="AG21" s="533" t="b">
        <f t="shared" si="1"/>
        <v>0</v>
      </c>
      <c r="AH21" s="403"/>
    </row>
    <row r="22" spans="2:34" ht="16.5" thickBot="1" x14ac:dyDescent="0.3">
      <c r="B22" s="10">
        <v>8</v>
      </c>
      <c r="C22" s="524" t="str">
        <f>'C. FILIACION'!C21:D21</f>
        <v>CAMACHO SALGADO LEONARDO</v>
      </c>
      <c r="D22" s="525" t="str">
        <f>'VAL. 1° B'!J26</f>
        <v/>
      </c>
      <c r="E22" s="526" t="str">
        <f>'VAL. 1° B'!Z26</f>
        <v/>
      </c>
      <c r="F22" s="526" t="str">
        <f>'VAL. 1° B'!AP26</f>
        <v/>
      </c>
      <c r="G22" s="526" t="str">
        <f>'VAL. 1° B'!AV26</f>
        <v/>
      </c>
      <c r="H22" s="527">
        <f>'VAL. 1° B'!AW26</f>
        <v>0</v>
      </c>
      <c r="I22" s="527">
        <f>'VAL. 1° B'!AX26</f>
        <v>0</v>
      </c>
      <c r="J22" s="528">
        <f>'VAL. 1° B'!AY26</f>
        <v>0</v>
      </c>
      <c r="K22" s="529" t="str">
        <f>'VAL. 2° B'!J26</f>
        <v/>
      </c>
      <c r="L22" s="526" t="str">
        <f>'VAL. 2° B'!Z26</f>
        <v/>
      </c>
      <c r="M22" s="526" t="str">
        <f>'VAL. 2° B'!AP26</f>
        <v/>
      </c>
      <c r="N22" s="526" t="str">
        <f>'VAL. 2° B'!AV26</f>
        <v/>
      </c>
      <c r="O22" s="527">
        <f>'VAL. 2° B'!AW26</f>
        <v>0</v>
      </c>
      <c r="P22" s="527">
        <f>'VAL. 2° B'!AX26</f>
        <v>0</v>
      </c>
      <c r="Q22" s="530">
        <f>'VAL. 2° B'!AY26</f>
        <v>0</v>
      </c>
      <c r="R22" s="529" t="str">
        <f>'VAL. 3° B'!J26</f>
        <v/>
      </c>
      <c r="S22" s="526" t="str">
        <f>'VAL. 3° B'!Z26</f>
        <v/>
      </c>
      <c r="T22" s="526" t="str">
        <f>'VAL. 3° B'!AP26</f>
        <v/>
      </c>
      <c r="U22" s="526" t="str">
        <f>'VAL. 3° B'!AV26</f>
        <v/>
      </c>
      <c r="V22" s="527">
        <f>'VAL. 3° B'!AW26</f>
        <v>0</v>
      </c>
      <c r="W22" s="527">
        <f>'VAL. 3° B'!AX26</f>
        <v>0</v>
      </c>
      <c r="X22" s="530">
        <f>'VAL. 3° B'!AY26</f>
        <v>0</v>
      </c>
      <c r="Y22" s="529" t="str">
        <f>'VAL. 4° B'!J26</f>
        <v/>
      </c>
      <c r="Z22" s="526" t="str">
        <f>'VAL. 4° B'!Z26</f>
        <v/>
      </c>
      <c r="AA22" s="526" t="str">
        <f>'VAL. 4° B'!AP26</f>
        <v/>
      </c>
      <c r="AB22" s="526" t="str">
        <f>'VAL. 4° B'!AV26</f>
        <v/>
      </c>
      <c r="AC22" s="527">
        <f>'VAL. 4° B'!AW26</f>
        <v>0</v>
      </c>
      <c r="AD22" s="527">
        <f>'VAL. 4° B'!AX26</f>
        <v>0</v>
      </c>
      <c r="AE22" s="531">
        <f>'VAL. 4° B'!AY26</f>
        <v>0</v>
      </c>
      <c r="AF22" s="532">
        <f t="shared" si="0"/>
        <v>0</v>
      </c>
      <c r="AG22" s="533" t="b">
        <f t="shared" si="1"/>
        <v>0</v>
      </c>
      <c r="AH22" s="403"/>
    </row>
    <row r="23" spans="2:34" ht="16.5" thickBot="1" x14ac:dyDescent="0.3">
      <c r="B23" s="10">
        <v>9</v>
      </c>
      <c r="C23" s="524" t="str">
        <f>'C. FILIACION'!C22:D22</f>
        <v>CARRION MARGUAY FABIANA ALEXANDRA</v>
      </c>
      <c r="D23" s="525" t="str">
        <f>'VAL. 1° B'!J27</f>
        <v/>
      </c>
      <c r="E23" s="526" t="str">
        <f>'VAL. 1° B'!Z27</f>
        <v/>
      </c>
      <c r="F23" s="526" t="str">
        <f>'VAL. 1° B'!AP27</f>
        <v/>
      </c>
      <c r="G23" s="526" t="str">
        <f>'VAL. 1° B'!AV27</f>
        <v/>
      </c>
      <c r="H23" s="527">
        <f>'VAL. 1° B'!AW27</f>
        <v>0</v>
      </c>
      <c r="I23" s="527">
        <f>'VAL. 1° B'!AX27</f>
        <v>0</v>
      </c>
      <c r="J23" s="528">
        <f>'VAL. 1° B'!AY27</f>
        <v>0</v>
      </c>
      <c r="K23" s="529" t="str">
        <f>'VAL. 2° B'!J27</f>
        <v/>
      </c>
      <c r="L23" s="526" t="str">
        <f>'VAL. 2° B'!Z27</f>
        <v/>
      </c>
      <c r="M23" s="526" t="str">
        <f>'VAL. 2° B'!AP27</f>
        <v/>
      </c>
      <c r="N23" s="526" t="str">
        <f>'VAL. 2° B'!AV27</f>
        <v/>
      </c>
      <c r="O23" s="527">
        <f>'VAL. 2° B'!AW27</f>
        <v>0</v>
      </c>
      <c r="P23" s="527">
        <f>'VAL. 2° B'!AX27</f>
        <v>0</v>
      </c>
      <c r="Q23" s="530">
        <f>'VAL. 2° B'!AY27</f>
        <v>0</v>
      </c>
      <c r="R23" s="529" t="str">
        <f>'VAL. 3° B'!J27</f>
        <v/>
      </c>
      <c r="S23" s="526" t="str">
        <f>'VAL. 3° B'!Z27</f>
        <v/>
      </c>
      <c r="T23" s="526" t="str">
        <f>'VAL. 3° B'!AP27</f>
        <v/>
      </c>
      <c r="U23" s="526" t="str">
        <f>'VAL. 3° B'!AV27</f>
        <v/>
      </c>
      <c r="V23" s="527">
        <f>'VAL. 3° B'!AW27</f>
        <v>0</v>
      </c>
      <c r="W23" s="527">
        <f>'VAL. 3° B'!AX27</f>
        <v>0</v>
      </c>
      <c r="X23" s="530">
        <f>'VAL. 3° B'!AY27</f>
        <v>0</v>
      </c>
      <c r="Y23" s="529" t="str">
        <f>'VAL. 4° B'!J27</f>
        <v/>
      </c>
      <c r="Z23" s="526" t="str">
        <f>'VAL. 4° B'!Z27</f>
        <v/>
      </c>
      <c r="AA23" s="526" t="str">
        <f>'VAL. 4° B'!AP27</f>
        <v/>
      </c>
      <c r="AB23" s="526" t="str">
        <f>'VAL. 4° B'!AV27</f>
        <v/>
      </c>
      <c r="AC23" s="527">
        <f>'VAL. 4° B'!AW27</f>
        <v>0</v>
      </c>
      <c r="AD23" s="527">
        <f>'VAL. 4° B'!AX27</f>
        <v>0</v>
      </c>
      <c r="AE23" s="531">
        <f>'VAL. 4° B'!AY27</f>
        <v>0</v>
      </c>
      <c r="AF23" s="532">
        <f t="shared" si="0"/>
        <v>0</v>
      </c>
      <c r="AG23" s="533" t="b">
        <f t="shared" si="1"/>
        <v>0</v>
      </c>
      <c r="AH23" s="403"/>
    </row>
    <row r="24" spans="2:34" ht="16.5" thickBot="1" x14ac:dyDescent="0.3">
      <c r="B24" s="10">
        <v>10</v>
      </c>
      <c r="C24" s="524" t="str">
        <f>'C. FILIACION'!C23:D23</f>
        <v>CAYO CALLE JUAN PABLO</v>
      </c>
      <c r="D24" s="525" t="str">
        <f>'VAL. 1° B'!J28</f>
        <v/>
      </c>
      <c r="E24" s="526" t="str">
        <f>'VAL. 1° B'!Z28</f>
        <v/>
      </c>
      <c r="F24" s="526" t="str">
        <f>'VAL. 1° B'!AP28</f>
        <v/>
      </c>
      <c r="G24" s="526" t="str">
        <f>'VAL. 1° B'!AV28</f>
        <v/>
      </c>
      <c r="H24" s="527">
        <f>'VAL. 1° B'!AW28</f>
        <v>0</v>
      </c>
      <c r="I24" s="527">
        <f>'VAL. 1° B'!AX28</f>
        <v>0</v>
      </c>
      <c r="J24" s="528">
        <f>'VAL. 1° B'!AY28</f>
        <v>0</v>
      </c>
      <c r="K24" s="529" t="str">
        <f>'VAL. 2° B'!J28</f>
        <v/>
      </c>
      <c r="L24" s="526" t="str">
        <f>'VAL. 2° B'!Z28</f>
        <v/>
      </c>
      <c r="M24" s="526" t="str">
        <f>'VAL. 2° B'!AP28</f>
        <v/>
      </c>
      <c r="N24" s="526" t="str">
        <f>'VAL. 2° B'!AV28</f>
        <v/>
      </c>
      <c r="O24" s="527">
        <f>'VAL. 2° B'!AW28</f>
        <v>0</v>
      </c>
      <c r="P24" s="527">
        <f>'VAL. 2° B'!AX28</f>
        <v>0</v>
      </c>
      <c r="Q24" s="530">
        <f>'VAL. 2° B'!AY28</f>
        <v>0</v>
      </c>
      <c r="R24" s="529" t="str">
        <f>'VAL. 3° B'!J28</f>
        <v/>
      </c>
      <c r="S24" s="526" t="str">
        <f>'VAL. 3° B'!Z28</f>
        <v/>
      </c>
      <c r="T24" s="526" t="str">
        <f>'VAL. 3° B'!AP28</f>
        <v/>
      </c>
      <c r="U24" s="526" t="str">
        <f>'VAL. 3° B'!AV28</f>
        <v/>
      </c>
      <c r="V24" s="527">
        <f>'VAL. 3° B'!AW28</f>
        <v>0</v>
      </c>
      <c r="W24" s="527">
        <f>'VAL. 3° B'!AX28</f>
        <v>0</v>
      </c>
      <c r="X24" s="530">
        <f>'VAL. 3° B'!AY28</f>
        <v>0</v>
      </c>
      <c r="Y24" s="529" t="str">
        <f>'VAL. 4° B'!J28</f>
        <v/>
      </c>
      <c r="Z24" s="526" t="str">
        <f>'VAL. 4° B'!Z28</f>
        <v/>
      </c>
      <c r="AA24" s="526" t="str">
        <f>'VAL. 4° B'!AP28</f>
        <v/>
      </c>
      <c r="AB24" s="526" t="str">
        <f>'VAL. 4° B'!AV28</f>
        <v/>
      </c>
      <c r="AC24" s="527">
        <f>'VAL. 4° B'!AW28</f>
        <v>0</v>
      </c>
      <c r="AD24" s="527">
        <f>'VAL. 4° B'!AX28</f>
        <v>0</v>
      </c>
      <c r="AE24" s="531">
        <f>'VAL. 4° B'!AY28</f>
        <v>0</v>
      </c>
      <c r="AF24" s="532">
        <f t="shared" si="0"/>
        <v>0</v>
      </c>
      <c r="AG24" s="533" t="b">
        <f t="shared" si="1"/>
        <v>0</v>
      </c>
      <c r="AH24" s="403"/>
    </row>
    <row r="25" spans="2:34" ht="16.5" thickBot="1" x14ac:dyDescent="0.3">
      <c r="B25" s="10">
        <v>11</v>
      </c>
      <c r="C25" s="524" t="str">
        <f>'C. FILIACION'!C24:D24</f>
        <v>CONDE ZARATE ASHLY OTHANY</v>
      </c>
      <c r="D25" s="525" t="str">
        <f>'VAL. 1° B'!J29</f>
        <v/>
      </c>
      <c r="E25" s="526" t="str">
        <f>'VAL. 1° B'!Z29</f>
        <v/>
      </c>
      <c r="F25" s="526" t="str">
        <f>'VAL. 1° B'!AP29</f>
        <v/>
      </c>
      <c r="G25" s="526" t="str">
        <f>'VAL. 1° B'!AV29</f>
        <v/>
      </c>
      <c r="H25" s="527">
        <f>'VAL. 1° B'!AW29</f>
        <v>0</v>
      </c>
      <c r="I25" s="527">
        <f>'VAL. 1° B'!AX29</f>
        <v>0</v>
      </c>
      <c r="J25" s="528">
        <f>'VAL. 1° B'!AY29</f>
        <v>0</v>
      </c>
      <c r="K25" s="529" t="str">
        <f>'VAL. 2° B'!J29</f>
        <v/>
      </c>
      <c r="L25" s="526" t="str">
        <f>'VAL. 2° B'!Z29</f>
        <v/>
      </c>
      <c r="M25" s="526" t="str">
        <f>'VAL. 2° B'!AP29</f>
        <v/>
      </c>
      <c r="N25" s="526" t="str">
        <f>'VAL. 2° B'!AV29</f>
        <v/>
      </c>
      <c r="O25" s="527">
        <f>'VAL. 2° B'!AW29</f>
        <v>0</v>
      </c>
      <c r="P25" s="527">
        <f>'VAL. 2° B'!AX29</f>
        <v>0</v>
      </c>
      <c r="Q25" s="530">
        <f>'VAL. 2° B'!AY29</f>
        <v>0</v>
      </c>
      <c r="R25" s="529" t="str">
        <f>'VAL. 3° B'!J29</f>
        <v/>
      </c>
      <c r="S25" s="526" t="str">
        <f>'VAL. 3° B'!Z29</f>
        <v/>
      </c>
      <c r="T25" s="526" t="str">
        <f>'VAL. 3° B'!AP29</f>
        <v/>
      </c>
      <c r="U25" s="526" t="str">
        <f>'VAL. 3° B'!AV29</f>
        <v/>
      </c>
      <c r="V25" s="527">
        <f>'VAL. 3° B'!AW29</f>
        <v>0</v>
      </c>
      <c r="W25" s="527">
        <f>'VAL. 3° B'!AX29</f>
        <v>0</v>
      </c>
      <c r="X25" s="530">
        <f>'VAL. 3° B'!AY29</f>
        <v>0</v>
      </c>
      <c r="Y25" s="529" t="str">
        <f>'VAL. 4° B'!J29</f>
        <v/>
      </c>
      <c r="Z25" s="526" t="str">
        <f>'VAL. 4° B'!Z29</f>
        <v/>
      </c>
      <c r="AA25" s="526" t="str">
        <f>'VAL. 4° B'!AP29</f>
        <v/>
      </c>
      <c r="AB25" s="526" t="str">
        <f>'VAL. 4° B'!AV29</f>
        <v/>
      </c>
      <c r="AC25" s="527">
        <f>'VAL. 4° B'!AW29</f>
        <v>0</v>
      </c>
      <c r="AD25" s="527">
        <f>'VAL. 4° B'!AX29</f>
        <v>0</v>
      </c>
      <c r="AE25" s="531">
        <f>'VAL. 4° B'!AY29</f>
        <v>0</v>
      </c>
      <c r="AF25" s="532">
        <f t="shared" si="0"/>
        <v>0</v>
      </c>
      <c r="AG25" s="533" t="b">
        <f t="shared" si="1"/>
        <v>0</v>
      </c>
      <c r="AH25" s="403"/>
    </row>
    <row r="26" spans="2:34" ht="16.5" thickBot="1" x14ac:dyDescent="0.3">
      <c r="B26" s="10">
        <v>12</v>
      </c>
      <c r="C26" s="524" t="str">
        <f>'C. FILIACION'!C25:D25</f>
        <v>CORTEZ RODRIGUEZ  GONZALO AXCELL</v>
      </c>
      <c r="D26" s="525" t="str">
        <f>'VAL. 1° B'!J30</f>
        <v/>
      </c>
      <c r="E26" s="526" t="str">
        <f>'VAL. 1° B'!Z30</f>
        <v/>
      </c>
      <c r="F26" s="526" t="str">
        <f>'VAL. 1° B'!AP30</f>
        <v/>
      </c>
      <c r="G26" s="526" t="str">
        <f>'VAL. 1° B'!AV30</f>
        <v/>
      </c>
      <c r="H26" s="527">
        <f>'VAL. 1° B'!AW30</f>
        <v>0</v>
      </c>
      <c r="I26" s="527">
        <f>'VAL. 1° B'!AX30</f>
        <v>0</v>
      </c>
      <c r="J26" s="528">
        <f>'VAL. 1° B'!AY30</f>
        <v>0</v>
      </c>
      <c r="K26" s="529" t="str">
        <f>'VAL. 2° B'!J30</f>
        <v/>
      </c>
      <c r="L26" s="526" t="str">
        <f>'VAL. 2° B'!Z30</f>
        <v/>
      </c>
      <c r="M26" s="526" t="str">
        <f>'VAL. 2° B'!AP30</f>
        <v/>
      </c>
      <c r="N26" s="526" t="str">
        <f>'VAL. 2° B'!AV30</f>
        <v/>
      </c>
      <c r="O26" s="527">
        <f>'VAL. 2° B'!AW30</f>
        <v>0</v>
      </c>
      <c r="P26" s="527">
        <f>'VAL. 2° B'!AX30</f>
        <v>0</v>
      </c>
      <c r="Q26" s="530">
        <f>'VAL. 2° B'!AY30</f>
        <v>0</v>
      </c>
      <c r="R26" s="529" t="str">
        <f>'VAL. 3° B'!J30</f>
        <v/>
      </c>
      <c r="S26" s="526" t="str">
        <f>'VAL. 3° B'!Z30</f>
        <v/>
      </c>
      <c r="T26" s="526" t="str">
        <f>'VAL. 3° B'!AP30</f>
        <v/>
      </c>
      <c r="U26" s="526" t="str">
        <f>'VAL. 3° B'!AV30</f>
        <v/>
      </c>
      <c r="V26" s="527">
        <f>'VAL. 3° B'!AW30</f>
        <v>0</v>
      </c>
      <c r="W26" s="527">
        <f>'VAL. 3° B'!AX30</f>
        <v>0</v>
      </c>
      <c r="X26" s="530">
        <f>'VAL. 3° B'!AY30</f>
        <v>0</v>
      </c>
      <c r="Y26" s="529" t="str">
        <f>'VAL. 4° B'!J30</f>
        <v/>
      </c>
      <c r="Z26" s="526" t="str">
        <f>'VAL. 4° B'!Z30</f>
        <v/>
      </c>
      <c r="AA26" s="526" t="str">
        <f>'VAL. 4° B'!AP30</f>
        <v/>
      </c>
      <c r="AB26" s="526" t="str">
        <f>'VAL. 4° B'!AV30</f>
        <v/>
      </c>
      <c r="AC26" s="527">
        <f>'VAL. 4° B'!AW30</f>
        <v>0</v>
      </c>
      <c r="AD26" s="527">
        <f>'VAL. 4° B'!AX30</f>
        <v>0</v>
      </c>
      <c r="AE26" s="531">
        <f>'VAL. 4° B'!AY30</f>
        <v>0</v>
      </c>
      <c r="AF26" s="532">
        <f t="shared" si="0"/>
        <v>0</v>
      </c>
      <c r="AG26" s="533" t="b">
        <f t="shared" si="1"/>
        <v>0</v>
      </c>
      <c r="AH26" s="403"/>
    </row>
    <row r="27" spans="2:34" ht="16.5" thickBot="1" x14ac:dyDescent="0.3">
      <c r="B27" s="10">
        <v>13</v>
      </c>
      <c r="C27" s="524" t="str">
        <f>'C. FILIACION'!C26:D26</f>
        <v>HILAYA  TORREZ CARLA JHULIANA</v>
      </c>
      <c r="D27" s="525" t="str">
        <f>'VAL. 1° B'!J31</f>
        <v/>
      </c>
      <c r="E27" s="526" t="str">
        <f>'VAL. 1° B'!Z31</f>
        <v/>
      </c>
      <c r="F27" s="526" t="str">
        <f>'VAL. 1° B'!AP31</f>
        <v/>
      </c>
      <c r="G27" s="526" t="str">
        <f>'VAL. 1° B'!AV31</f>
        <v/>
      </c>
      <c r="H27" s="527">
        <f>'VAL. 1° B'!AW31</f>
        <v>0</v>
      </c>
      <c r="I27" s="527">
        <f>'VAL. 1° B'!AX31</f>
        <v>0</v>
      </c>
      <c r="J27" s="528">
        <f>'VAL. 1° B'!AY31</f>
        <v>0</v>
      </c>
      <c r="K27" s="529" t="str">
        <f>'VAL. 2° B'!J31</f>
        <v/>
      </c>
      <c r="L27" s="526" t="str">
        <f>'VAL. 2° B'!Z31</f>
        <v/>
      </c>
      <c r="M27" s="526" t="str">
        <f>'VAL. 2° B'!AP31</f>
        <v/>
      </c>
      <c r="N27" s="526" t="str">
        <f>'VAL. 2° B'!AV31</f>
        <v/>
      </c>
      <c r="O27" s="527">
        <f>'VAL. 2° B'!AW31</f>
        <v>0</v>
      </c>
      <c r="P27" s="527">
        <f>'VAL. 2° B'!AX31</f>
        <v>0</v>
      </c>
      <c r="Q27" s="530">
        <f>'VAL. 2° B'!AY31</f>
        <v>0</v>
      </c>
      <c r="R27" s="529" t="str">
        <f>'VAL. 3° B'!J31</f>
        <v/>
      </c>
      <c r="S27" s="526" t="str">
        <f>'VAL. 3° B'!Z31</f>
        <v/>
      </c>
      <c r="T27" s="526" t="str">
        <f>'VAL. 3° B'!AP31</f>
        <v/>
      </c>
      <c r="U27" s="526" t="str">
        <f>'VAL. 3° B'!AV31</f>
        <v/>
      </c>
      <c r="V27" s="527">
        <f>'VAL. 3° B'!AW31</f>
        <v>0</v>
      </c>
      <c r="W27" s="527">
        <f>'VAL. 3° B'!AX31</f>
        <v>0</v>
      </c>
      <c r="X27" s="530">
        <f>'VAL. 3° B'!AY31</f>
        <v>0</v>
      </c>
      <c r="Y27" s="529" t="str">
        <f>'VAL. 4° B'!J31</f>
        <v/>
      </c>
      <c r="Z27" s="526" t="str">
        <f>'VAL. 4° B'!Z31</f>
        <v/>
      </c>
      <c r="AA27" s="526" t="str">
        <f>'VAL. 4° B'!AP31</f>
        <v/>
      </c>
      <c r="AB27" s="526" t="str">
        <f>'VAL. 4° B'!AV31</f>
        <v/>
      </c>
      <c r="AC27" s="527">
        <f>'VAL. 4° B'!AW31</f>
        <v>0</v>
      </c>
      <c r="AD27" s="527">
        <f>'VAL. 4° B'!AX31</f>
        <v>0</v>
      </c>
      <c r="AE27" s="531">
        <f>'VAL. 4° B'!AY31</f>
        <v>0</v>
      </c>
      <c r="AF27" s="532">
        <f t="shared" si="0"/>
        <v>0</v>
      </c>
      <c r="AG27" s="533" t="b">
        <f t="shared" si="1"/>
        <v>0</v>
      </c>
      <c r="AH27" s="403"/>
    </row>
    <row r="28" spans="2:34" ht="16.5" thickBot="1" x14ac:dyDescent="0.3">
      <c r="B28" s="10">
        <v>14</v>
      </c>
      <c r="C28" s="524" t="str">
        <f>'C. FILIACION'!C27:D27</f>
        <v>HUANCA CALLISAYA  PATRICIA</v>
      </c>
      <c r="D28" s="525" t="str">
        <f>'VAL. 1° B'!J32</f>
        <v/>
      </c>
      <c r="E28" s="526" t="str">
        <f>'VAL. 1° B'!Z32</f>
        <v/>
      </c>
      <c r="F28" s="526" t="str">
        <f>'VAL. 1° B'!AP32</f>
        <v/>
      </c>
      <c r="G28" s="526" t="str">
        <f>'VAL. 1° B'!AV32</f>
        <v/>
      </c>
      <c r="H28" s="527">
        <f>'VAL. 1° B'!AW32</f>
        <v>0</v>
      </c>
      <c r="I28" s="527">
        <f>'VAL. 1° B'!AX32</f>
        <v>0</v>
      </c>
      <c r="J28" s="528">
        <f>'VAL. 1° B'!AY32</f>
        <v>0</v>
      </c>
      <c r="K28" s="529" t="str">
        <f>'VAL. 2° B'!J32</f>
        <v/>
      </c>
      <c r="L28" s="526" t="str">
        <f>'VAL. 2° B'!Z32</f>
        <v/>
      </c>
      <c r="M28" s="526" t="str">
        <f>'VAL. 2° B'!AP32</f>
        <v/>
      </c>
      <c r="N28" s="526" t="str">
        <f>'VAL. 2° B'!AV32</f>
        <v/>
      </c>
      <c r="O28" s="527">
        <f>'VAL. 2° B'!AW32</f>
        <v>0</v>
      </c>
      <c r="P28" s="527">
        <f>'VAL. 2° B'!AX32</f>
        <v>0</v>
      </c>
      <c r="Q28" s="530">
        <f>'VAL. 2° B'!AY32</f>
        <v>0</v>
      </c>
      <c r="R28" s="529" t="str">
        <f>'VAL. 3° B'!J32</f>
        <v/>
      </c>
      <c r="S28" s="526" t="str">
        <f>'VAL. 3° B'!Z32</f>
        <v/>
      </c>
      <c r="T28" s="526" t="str">
        <f>'VAL. 3° B'!AP32</f>
        <v/>
      </c>
      <c r="U28" s="526" t="str">
        <f>'VAL. 3° B'!AV32</f>
        <v/>
      </c>
      <c r="V28" s="527">
        <f>'VAL. 3° B'!AW32</f>
        <v>0</v>
      </c>
      <c r="W28" s="527">
        <f>'VAL. 3° B'!AX32</f>
        <v>0</v>
      </c>
      <c r="X28" s="530">
        <f>'VAL. 3° B'!AY32</f>
        <v>0</v>
      </c>
      <c r="Y28" s="529" t="str">
        <f>'VAL. 4° B'!J32</f>
        <v/>
      </c>
      <c r="Z28" s="526" t="str">
        <f>'VAL. 4° B'!Z32</f>
        <v/>
      </c>
      <c r="AA28" s="526" t="str">
        <f>'VAL. 4° B'!AP32</f>
        <v/>
      </c>
      <c r="AB28" s="526" t="str">
        <f>'VAL. 4° B'!AV32</f>
        <v/>
      </c>
      <c r="AC28" s="527">
        <f>'VAL. 4° B'!AW32</f>
        <v>0</v>
      </c>
      <c r="AD28" s="527">
        <f>'VAL. 4° B'!AX32</f>
        <v>0</v>
      </c>
      <c r="AE28" s="531">
        <f>'VAL. 4° B'!AY32</f>
        <v>0</v>
      </c>
      <c r="AF28" s="532">
        <f t="shared" si="0"/>
        <v>0</v>
      </c>
      <c r="AG28" s="533" t="b">
        <f t="shared" si="1"/>
        <v>0</v>
      </c>
      <c r="AH28" s="403"/>
    </row>
    <row r="29" spans="2:34" ht="16.5" thickBot="1" x14ac:dyDescent="0.3">
      <c r="B29" s="10">
        <v>15</v>
      </c>
      <c r="C29" s="524" t="str">
        <f>'C. FILIACION'!C28:D28</f>
        <v>LIMACHI RADA GERMAN DOMINGO</v>
      </c>
      <c r="D29" s="525" t="str">
        <f>'VAL. 1° B'!J33</f>
        <v/>
      </c>
      <c r="E29" s="526" t="str">
        <f>'VAL. 1° B'!Z33</f>
        <v/>
      </c>
      <c r="F29" s="526" t="str">
        <f>'VAL. 1° B'!AP33</f>
        <v/>
      </c>
      <c r="G29" s="526" t="str">
        <f>'VAL. 1° B'!AV33</f>
        <v/>
      </c>
      <c r="H29" s="527">
        <f>'VAL. 1° B'!AW33</f>
        <v>0</v>
      </c>
      <c r="I29" s="527">
        <f>'VAL. 1° B'!AX33</f>
        <v>0</v>
      </c>
      <c r="J29" s="528">
        <f>'VAL. 1° B'!AY33</f>
        <v>0</v>
      </c>
      <c r="K29" s="529" t="str">
        <f>'VAL. 2° B'!J33</f>
        <v/>
      </c>
      <c r="L29" s="526" t="str">
        <f>'VAL. 2° B'!Z33</f>
        <v/>
      </c>
      <c r="M29" s="526" t="str">
        <f>'VAL. 2° B'!AP33</f>
        <v/>
      </c>
      <c r="N29" s="526" t="str">
        <f>'VAL. 2° B'!AV33</f>
        <v/>
      </c>
      <c r="O29" s="527">
        <f>'VAL. 2° B'!AW33</f>
        <v>0</v>
      </c>
      <c r="P29" s="527">
        <f>'VAL. 2° B'!AX33</f>
        <v>0</v>
      </c>
      <c r="Q29" s="530">
        <f>'VAL. 2° B'!AY33</f>
        <v>0</v>
      </c>
      <c r="R29" s="529" t="str">
        <f>'VAL. 3° B'!J33</f>
        <v/>
      </c>
      <c r="S29" s="526" t="str">
        <f>'VAL. 3° B'!Z33</f>
        <v/>
      </c>
      <c r="T29" s="526" t="str">
        <f>'VAL. 3° B'!AP33</f>
        <v/>
      </c>
      <c r="U29" s="526" t="str">
        <f>'VAL. 3° B'!AV33</f>
        <v/>
      </c>
      <c r="V29" s="527">
        <f>'VAL. 3° B'!AW33</f>
        <v>0</v>
      </c>
      <c r="W29" s="527">
        <f>'VAL. 3° B'!AX33</f>
        <v>0</v>
      </c>
      <c r="X29" s="530">
        <f>'VAL. 3° B'!AY33</f>
        <v>0</v>
      </c>
      <c r="Y29" s="529" t="str">
        <f>'VAL. 4° B'!J33</f>
        <v/>
      </c>
      <c r="Z29" s="526" t="str">
        <f>'VAL. 4° B'!Z33</f>
        <v/>
      </c>
      <c r="AA29" s="526" t="str">
        <f>'VAL. 4° B'!AP33</f>
        <v/>
      </c>
      <c r="AB29" s="526" t="str">
        <f>'VAL. 4° B'!AV33</f>
        <v/>
      </c>
      <c r="AC29" s="527">
        <f>'VAL. 4° B'!AW33</f>
        <v>0</v>
      </c>
      <c r="AD29" s="527">
        <f>'VAL. 4° B'!AX33</f>
        <v>0</v>
      </c>
      <c r="AE29" s="531">
        <f>'VAL. 4° B'!AY33</f>
        <v>0</v>
      </c>
      <c r="AF29" s="532">
        <f t="shared" si="0"/>
        <v>0</v>
      </c>
      <c r="AG29" s="533" t="b">
        <f t="shared" si="1"/>
        <v>0</v>
      </c>
      <c r="AH29" s="403"/>
    </row>
    <row r="30" spans="2:34" ht="16.5" thickBot="1" x14ac:dyDescent="0.3">
      <c r="B30" s="10">
        <v>16</v>
      </c>
      <c r="C30" s="524" t="str">
        <f>'C. FILIACION'!C29:D29</f>
        <v>MANTILLA SANCHEZ CAROLINA VALERIA</v>
      </c>
      <c r="D30" s="525" t="str">
        <f>'VAL. 1° B'!J34</f>
        <v/>
      </c>
      <c r="E30" s="526" t="str">
        <f>'VAL. 1° B'!Z34</f>
        <v/>
      </c>
      <c r="F30" s="526" t="str">
        <f>'VAL. 1° B'!AP34</f>
        <v/>
      </c>
      <c r="G30" s="526" t="str">
        <f>'VAL. 1° B'!AV34</f>
        <v/>
      </c>
      <c r="H30" s="527">
        <f>'VAL. 1° B'!AW34</f>
        <v>0</v>
      </c>
      <c r="I30" s="527">
        <f>'VAL. 1° B'!AX34</f>
        <v>0</v>
      </c>
      <c r="J30" s="528">
        <f>'VAL. 1° B'!AY34</f>
        <v>0</v>
      </c>
      <c r="K30" s="529" t="str">
        <f>'VAL. 2° B'!J34</f>
        <v/>
      </c>
      <c r="L30" s="526" t="str">
        <f>'VAL. 2° B'!Z34</f>
        <v/>
      </c>
      <c r="M30" s="526" t="str">
        <f>'VAL. 2° B'!AP34</f>
        <v/>
      </c>
      <c r="N30" s="526" t="str">
        <f>'VAL. 2° B'!AV34</f>
        <v/>
      </c>
      <c r="O30" s="527">
        <f>'VAL. 2° B'!AW34</f>
        <v>0</v>
      </c>
      <c r="P30" s="527">
        <f>'VAL. 2° B'!AX34</f>
        <v>0</v>
      </c>
      <c r="Q30" s="530">
        <f>'VAL. 2° B'!AY34</f>
        <v>0</v>
      </c>
      <c r="R30" s="529" t="str">
        <f>'VAL. 3° B'!J34</f>
        <v/>
      </c>
      <c r="S30" s="526" t="str">
        <f>'VAL. 3° B'!Z34</f>
        <v/>
      </c>
      <c r="T30" s="526" t="str">
        <f>'VAL. 3° B'!AP34</f>
        <v/>
      </c>
      <c r="U30" s="526" t="str">
        <f>'VAL. 3° B'!AV34</f>
        <v/>
      </c>
      <c r="V30" s="527">
        <f>'VAL. 3° B'!AW34</f>
        <v>0</v>
      </c>
      <c r="W30" s="527">
        <f>'VAL. 3° B'!AX34</f>
        <v>0</v>
      </c>
      <c r="X30" s="530">
        <f>'VAL. 3° B'!AY34</f>
        <v>0</v>
      </c>
      <c r="Y30" s="529" t="str">
        <f>'VAL. 4° B'!J34</f>
        <v/>
      </c>
      <c r="Z30" s="526" t="str">
        <f>'VAL. 4° B'!Z34</f>
        <v/>
      </c>
      <c r="AA30" s="526" t="str">
        <f>'VAL. 4° B'!AP34</f>
        <v/>
      </c>
      <c r="AB30" s="526" t="str">
        <f>'VAL. 4° B'!AV34</f>
        <v/>
      </c>
      <c r="AC30" s="527">
        <f>'VAL. 4° B'!AW34</f>
        <v>0</v>
      </c>
      <c r="AD30" s="527">
        <f>'VAL. 4° B'!AX34</f>
        <v>0</v>
      </c>
      <c r="AE30" s="531">
        <f>'VAL. 4° B'!AY34</f>
        <v>0</v>
      </c>
      <c r="AF30" s="532">
        <f t="shared" si="0"/>
        <v>0</v>
      </c>
      <c r="AG30" s="533" t="b">
        <f t="shared" si="1"/>
        <v>0</v>
      </c>
      <c r="AH30" s="403"/>
    </row>
    <row r="31" spans="2:34" ht="16.5" thickBot="1" x14ac:dyDescent="0.3">
      <c r="B31" s="10">
        <v>17</v>
      </c>
      <c r="C31" s="524" t="str">
        <f>'C. FILIACION'!C30:D30</f>
        <v>MULLER  ESCOBAR MARCIA BIBIANA</v>
      </c>
      <c r="D31" s="525" t="str">
        <f>'VAL. 1° B'!J35</f>
        <v/>
      </c>
      <c r="E31" s="526" t="str">
        <f>'VAL. 1° B'!Z35</f>
        <v/>
      </c>
      <c r="F31" s="526" t="str">
        <f>'VAL. 1° B'!AP35</f>
        <v/>
      </c>
      <c r="G31" s="526" t="str">
        <f>'VAL. 1° B'!AV35</f>
        <v/>
      </c>
      <c r="H31" s="527">
        <f>'VAL. 1° B'!AW35</f>
        <v>0</v>
      </c>
      <c r="I31" s="527">
        <f>'VAL. 1° B'!AX35</f>
        <v>0</v>
      </c>
      <c r="J31" s="528">
        <f>'VAL. 1° B'!AY35</f>
        <v>0</v>
      </c>
      <c r="K31" s="529" t="str">
        <f>'VAL. 2° B'!J35</f>
        <v/>
      </c>
      <c r="L31" s="526" t="str">
        <f>'VAL. 2° B'!Z35</f>
        <v/>
      </c>
      <c r="M31" s="526" t="str">
        <f>'VAL. 2° B'!AP35</f>
        <v/>
      </c>
      <c r="N31" s="526" t="str">
        <f>'VAL. 2° B'!AV35</f>
        <v/>
      </c>
      <c r="O31" s="527">
        <f>'VAL. 2° B'!AW35</f>
        <v>0</v>
      </c>
      <c r="P31" s="527">
        <f>'VAL. 2° B'!AX35</f>
        <v>0</v>
      </c>
      <c r="Q31" s="530">
        <f>'VAL. 2° B'!AY35</f>
        <v>0</v>
      </c>
      <c r="R31" s="529" t="str">
        <f>'VAL. 3° B'!J35</f>
        <v/>
      </c>
      <c r="S31" s="526" t="str">
        <f>'VAL. 3° B'!Z35</f>
        <v/>
      </c>
      <c r="T31" s="526" t="str">
        <f>'VAL. 3° B'!AP35</f>
        <v/>
      </c>
      <c r="U31" s="526" t="str">
        <f>'VAL. 3° B'!AV35</f>
        <v/>
      </c>
      <c r="V31" s="527">
        <f>'VAL. 3° B'!AW35</f>
        <v>0</v>
      </c>
      <c r="W31" s="527">
        <f>'VAL. 3° B'!AX35</f>
        <v>0</v>
      </c>
      <c r="X31" s="530">
        <f>'VAL. 3° B'!AY35</f>
        <v>0</v>
      </c>
      <c r="Y31" s="529" t="str">
        <f>'VAL. 4° B'!J35</f>
        <v/>
      </c>
      <c r="Z31" s="526" t="str">
        <f>'VAL. 4° B'!Z35</f>
        <v/>
      </c>
      <c r="AA31" s="526" t="str">
        <f>'VAL. 4° B'!AP35</f>
        <v/>
      </c>
      <c r="AB31" s="526" t="str">
        <f>'VAL. 4° B'!AV35</f>
        <v/>
      </c>
      <c r="AC31" s="527">
        <f>'VAL. 4° B'!AW35</f>
        <v>0</v>
      </c>
      <c r="AD31" s="527">
        <f>'VAL. 4° B'!AX35</f>
        <v>0</v>
      </c>
      <c r="AE31" s="531">
        <f>'VAL. 4° B'!AY35</f>
        <v>0</v>
      </c>
      <c r="AF31" s="532">
        <f t="shared" si="0"/>
        <v>0</v>
      </c>
      <c r="AG31" s="533" t="b">
        <f t="shared" si="1"/>
        <v>0</v>
      </c>
      <c r="AH31" s="403"/>
    </row>
    <row r="32" spans="2:34" ht="16.5" thickBot="1" x14ac:dyDescent="0.3">
      <c r="B32" s="10">
        <v>18</v>
      </c>
      <c r="C32" s="524" t="str">
        <f>'C. FILIACION'!C31:D31</f>
        <v xml:space="preserve">POMA MAMANI ADRIAN </v>
      </c>
      <c r="D32" s="525" t="str">
        <f>'VAL. 1° B'!J36</f>
        <v/>
      </c>
      <c r="E32" s="526" t="str">
        <f>'VAL. 1° B'!Z36</f>
        <v/>
      </c>
      <c r="F32" s="526" t="str">
        <f>'VAL. 1° B'!AP36</f>
        <v/>
      </c>
      <c r="G32" s="526" t="str">
        <f>'VAL. 1° B'!AV36</f>
        <v/>
      </c>
      <c r="H32" s="527">
        <f>'VAL. 1° B'!AW36</f>
        <v>0</v>
      </c>
      <c r="I32" s="527">
        <f>'VAL. 1° B'!AX36</f>
        <v>0</v>
      </c>
      <c r="J32" s="528">
        <f>'VAL. 1° B'!AY36</f>
        <v>0</v>
      </c>
      <c r="K32" s="529" t="str">
        <f>'VAL. 2° B'!J36</f>
        <v/>
      </c>
      <c r="L32" s="526" t="str">
        <f>'VAL. 2° B'!Z36</f>
        <v/>
      </c>
      <c r="M32" s="526" t="str">
        <f>'VAL. 2° B'!AP36</f>
        <v/>
      </c>
      <c r="N32" s="526" t="str">
        <f>'VAL. 2° B'!AV36</f>
        <v/>
      </c>
      <c r="O32" s="527">
        <f>'VAL. 2° B'!AW36</f>
        <v>0</v>
      </c>
      <c r="P32" s="527">
        <f>'VAL. 2° B'!AX36</f>
        <v>0</v>
      </c>
      <c r="Q32" s="530">
        <f>'VAL. 2° B'!AY36</f>
        <v>0</v>
      </c>
      <c r="R32" s="529" t="str">
        <f>'VAL. 3° B'!J36</f>
        <v/>
      </c>
      <c r="S32" s="526" t="str">
        <f>'VAL. 3° B'!Z36</f>
        <v/>
      </c>
      <c r="T32" s="526" t="str">
        <f>'VAL. 3° B'!AP36</f>
        <v/>
      </c>
      <c r="U32" s="526" t="str">
        <f>'VAL. 3° B'!AV36</f>
        <v/>
      </c>
      <c r="V32" s="527">
        <f>'VAL. 3° B'!AW36</f>
        <v>0</v>
      </c>
      <c r="W32" s="527">
        <f>'VAL. 3° B'!AX36</f>
        <v>0</v>
      </c>
      <c r="X32" s="530">
        <f>'VAL. 3° B'!AY36</f>
        <v>0</v>
      </c>
      <c r="Y32" s="529" t="str">
        <f>'VAL. 4° B'!J36</f>
        <v/>
      </c>
      <c r="Z32" s="526" t="str">
        <f>'VAL. 4° B'!Z36</f>
        <v/>
      </c>
      <c r="AA32" s="526" t="str">
        <f>'VAL. 4° B'!AP36</f>
        <v/>
      </c>
      <c r="AB32" s="526" t="str">
        <f>'VAL. 4° B'!AV36</f>
        <v/>
      </c>
      <c r="AC32" s="527">
        <f>'VAL. 4° B'!AW36</f>
        <v>0</v>
      </c>
      <c r="AD32" s="527">
        <f>'VAL. 4° B'!AX36</f>
        <v>0</v>
      </c>
      <c r="AE32" s="531">
        <f>'VAL. 4° B'!AY36</f>
        <v>0</v>
      </c>
      <c r="AF32" s="532">
        <f t="shared" si="0"/>
        <v>0</v>
      </c>
      <c r="AG32" s="533" t="b">
        <f t="shared" si="1"/>
        <v>0</v>
      </c>
      <c r="AH32" s="403"/>
    </row>
    <row r="33" spans="2:34" ht="16.5" thickBot="1" x14ac:dyDescent="0.3">
      <c r="B33" s="10">
        <v>19</v>
      </c>
      <c r="C33" s="524" t="str">
        <f>'C. FILIACION'!C32:D32</f>
        <v>PORTILLO  JALJA JHOSEP ERLAN</v>
      </c>
      <c r="D33" s="525" t="str">
        <f>'VAL. 1° B'!J37</f>
        <v/>
      </c>
      <c r="E33" s="526" t="str">
        <f>'VAL. 1° B'!Z37</f>
        <v/>
      </c>
      <c r="F33" s="526" t="str">
        <f>'VAL. 1° B'!AP37</f>
        <v/>
      </c>
      <c r="G33" s="526" t="str">
        <f>'VAL. 1° B'!AV37</f>
        <v/>
      </c>
      <c r="H33" s="527">
        <f>'VAL. 1° B'!AW37</f>
        <v>0</v>
      </c>
      <c r="I33" s="527">
        <f>'VAL. 1° B'!AX37</f>
        <v>0</v>
      </c>
      <c r="J33" s="528">
        <f>'VAL. 1° B'!AY37</f>
        <v>0</v>
      </c>
      <c r="K33" s="529" t="str">
        <f>'VAL. 2° B'!J37</f>
        <v/>
      </c>
      <c r="L33" s="526" t="str">
        <f>'VAL. 2° B'!Z37</f>
        <v/>
      </c>
      <c r="M33" s="526" t="str">
        <f>'VAL. 2° B'!AP37</f>
        <v/>
      </c>
      <c r="N33" s="526" t="str">
        <f>'VAL. 2° B'!AV37</f>
        <v/>
      </c>
      <c r="O33" s="527">
        <f>'VAL. 2° B'!AW37</f>
        <v>0</v>
      </c>
      <c r="P33" s="527">
        <f>'VAL. 2° B'!AX37</f>
        <v>0</v>
      </c>
      <c r="Q33" s="530">
        <f>'VAL. 2° B'!AY37</f>
        <v>0</v>
      </c>
      <c r="R33" s="529" t="str">
        <f>'VAL. 3° B'!J37</f>
        <v/>
      </c>
      <c r="S33" s="526" t="str">
        <f>'VAL. 3° B'!Z37</f>
        <v/>
      </c>
      <c r="T33" s="526" t="str">
        <f>'VAL. 3° B'!AP37</f>
        <v/>
      </c>
      <c r="U33" s="526" t="str">
        <f>'VAL. 3° B'!AV37</f>
        <v/>
      </c>
      <c r="V33" s="527">
        <f>'VAL. 3° B'!AW37</f>
        <v>0</v>
      </c>
      <c r="W33" s="527">
        <f>'VAL. 3° B'!AX37</f>
        <v>0</v>
      </c>
      <c r="X33" s="530">
        <f>'VAL. 3° B'!AY37</f>
        <v>0</v>
      </c>
      <c r="Y33" s="529" t="str">
        <f>'VAL. 4° B'!J37</f>
        <v/>
      </c>
      <c r="Z33" s="526" t="str">
        <f>'VAL. 4° B'!Z37</f>
        <v/>
      </c>
      <c r="AA33" s="526" t="str">
        <f>'VAL. 4° B'!AP37</f>
        <v/>
      </c>
      <c r="AB33" s="526" t="str">
        <f>'VAL. 4° B'!AV37</f>
        <v/>
      </c>
      <c r="AC33" s="527">
        <f>'VAL. 4° B'!AW37</f>
        <v>0</v>
      </c>
      <c r="AD33" s="527">
        <f>'VAL. 4° B'!AX37</f>
        <v>0</v>
      </c>
      <c r="AE33" s="531">
        <f>'VAL. 4° B'!AY37</f>
        <v>0</v>
      </c>
      <c r="AF33" s="532">
        <f t="shared" si="0"/>
        <v>0</v>
      </c>
      <c r="AG33" s="533" t="b">
        <f t="shared" si="1"/>
        <v>0</v>
      </c>
      <c r="AH33" s="403"/>
    </row>
    <row r="34" spans="2:34" ht="16.5" thickBot="1" x14ac:dyDescent="0.3">
      <c r="B34" s="10">
        <v>20</v>
      </c>
      <c r="C34" s="524" t="str">
        <f>'C. FILIACION'!C33:D33</f>
        <v>PUJRO  CHAUCA DIANA MARIBEL</v>
      </c>
      <c r="D34" s="525" t="str">
        <f>'VAL. 1° B'!J38</f>
        <v/>
      </c>
      <c r="E34" s="526" t="str">
        <f>'VAL. 1° B'!Z38</f>
        <v/>
      </c>
      <c r="F34" s="526" t="str">
        <f>'VAL. 1° B'!AP38</f>
        <v/>
      </c>
      <c r="G34" s="526" t="str">
        <f>'VAL. 1° B'!AV38</f>
        <v/>
      </c>
      <c r="H34" s="527">
        <f>'VAL. 1° B'!AW38</f>
        <v>0</v>
      </c>
      <c r="I34" s="527">
        <f>'VAL. 1° B'!AX38</f>
        <v>0</v>
      </c>
      <c r="J34" s="528">
        <f>'VAL. 1° B'!AY38</f>
        <v>0</v>
      </c>
      <c r="K34" s="529" t="str">
        <f>'VAL. 2° B'!J38</f>
        <v/>
      </c>
      <c r="L34" s="526" t="str">
        <f>'VAL. 2° B'!Z38</f>
        <v/>
      </c>
      <c r="M34" s="526" t="str">
        <f>'VAL. 2° B'!AP38</f>
        <v/>
      </c>
      <c r="N34" s="526" t="str">
        <f>'VAL. 2° B'!AV38</f>
        <v/>
      </c>
      <c r="O34" s="527">
        <f>'VAL. 2° B'!AW38</f>
        <v>0</v>
      </c>
      <c r="P34" s="527">
        <f>'VAL. 2° B'!AX38</f>
        <v>0</v>
      </c>
      <c r="Q34" s="530">
        <f>'VAL. 2° B'!AY38</f>
        <v>0</v>
      </c>
      <c r="R34" s="529" t="str">
        <f>'VAL. 3° B'!J38</f>
        <v/>
      </c>
      <c r="S34" s="526" t="str">
        <f>'VAL. 3° B'!Z38</f>
        <v/>
      </c>
      <c r="T34" s="526" t="str">
        <f>'VAL. 3° B'!AP38</f>
        <v/>
      </c>
      <c r="U34" s="526" t="str">
        <f>'VAL. 3° B'!AV38</f>
        <v/>
      </c>
      <c r="V34" s="527">
        <f>'VAL. 3° B'!AW38</f>
        <v>0</v>
      </c>
      <c r="W34" s="527">
        <f>'VAL. 3° B'!AX38</f>
        <v>0</v>
      </c>
      <c r="X34" s="530">
        <f>'VAL. 3° B'!AY38</f>
        <v>0</v>
      </c>
      <c r="Y34" s="529" t="str">
        <f>'VAL. 4° B'!J38</f>
        <v/>
      </c>
      <c r="Z34" s="526" t="str">
        <f>'VAL. 4° B'!Z38</f>
        <v/>
      </c>
      <c r="AA34" s="526" t="str">
        <f>'VAL. 4° B'!AP38</f>
        <v/>
      </c>
      <c r="AB34" s="526" t="str">
        <f>'VAL. 4° B'!AV38</f>
        <v/>
      </c>
      <c r="AC34" s="527">
        <f>'VAL. 4° B'!AW38</f>
        <v>0</v>
      </c>
      <c r="AD34" s="527">
        <f>'VAL. 4° B'!AX38</f>
        <v>0</v>
      </c>
      <c r="AE34" s="531">
        <f>'VAL. 4° B'!AY38</f>
        <v>0</v>
      </c>
      <c r="AF34" s="532">
        <f t="shared" si="0"/>
        <v>0</v>
      </c>
      <c r="AG34" s="533" t="b">
        <f t="shared" si="1"/>
        <v>0</v>
      </c>
      <c r="AH34" s="403"/>
    </row>
    <row r="35" spans="2:34" ht="16.5" thickBot="1" x14ac:dyDescent="0.3">
      <c r="B35" s="10">
        <v>21</v>
      </c>
      <c r="C35" s="524" t="str">
        <f>'C. FILIACION'!C34:D34</f>
        <v>SANCHEZ  MOLINA ALEXIS VHADIR</v>
      </c>
      <c r="D35" s="525" t="str">
        <f>'VAL. 1° B'!J39</f>
        <v/>
      </c>
      <c r="E35" s="526" t="str">
        <f>'VAL. 1° B'!Z39</f>
        <v/>
      </c>
      <c r="F35" s="526" t="str">
        <f>'VAL. 1° B'!AP39</f>
        <v/>
      </c>
      <c r="G35" s="526" t="str">
        <f>'VAL. 1° B'!AV39</f>
        <v/>
      </c>
      <c r="H35" s="527">
        <f>'VAL. 1° B'!AW39</f>
        <v>0</v>
      </c>
      <c r="I35" s="527">
        <f>'VAL. 1° B'!AX39</f>
        <v>0</v>
      </c>
      <c r="J35" s="528">
        <f>'VAL. 1° B'!AY39</f>
        <v>0</v>
      </c>
      <c r="K35" s="529" t="str">
        <f>'VAL. 2° B'!J39</f>
        <v/>
      </c>
      <c r="L35" s="526" t="str">
        <f>'VAL. 2° B'!Z39</f>
        <v/>
      </c>
      <c r="M35" s="526" t="str">
        <f>'VAL. 2° B'!AP39</f>
        <v/>
      </c>
      <c r="N35" s="526" t="str">
        <f>'VAL. 2° B'!AV39</f>
        <v/>
      </c>
      <c r="O35" s="527">
        <f>'VAL. 2° B'!AW39</f>
        <v>0</v>
      </c>
      <c r="P35" s="527">
        <f>'VAL. 2° B'!AX39</f>
        <v>0</v>
      </c>
      <c r="Q35" s="530">
        <f>'VAL. 2° B'!AY39</f>
        <v>0</v>
      </c>
      <c r="R35" s="529" t="str">
        <f>'VAL. 3° B'!J39</f>
        <v/>
      </c>
      <c r="S35" s="526" t="str">
        <f>'VAL. 3° B'!Z39</f>
        <v/>
      </c>
      <c r="T35" s="526" t="str">
        <f>'VAL. 3° B'!AP39</f>
        <v/>
      </c>
      <c r="U35" s="526" t="str">
        <f>'VAL. 3° B'!AV39</f>
        <v/>
      </c>
      <c r="V35" s="527">
        <f>'VAL. 3° B'!AW39</f>
        <v>0</v>
      </c>
      <c r="W35" s="527">
        <f>'VAL. 3° B'!AX39</f>
        <v>0</v>
      </c>
      <c r="X35" s="530">
        <f>'VAL. 3° B'!AY39</f>
        <v>0</v>
      </c>
      <c r="Y35" s="529" t="str">
        <f>'VAL. 4° B'!J39</f>
        <v/>
      </c>
      <c r="Z35" s="526" t="str">
        <f>'VAL. 4° B'!Z39</f>
        <v/>
      </c>
      <c r="AA35" s="526" t="str">
        <f>'VAL. 4° B'!AP39</f>
        <v/>
      </c>
      <c r="AB35" s="526" t="str">
        <f>'VAL. 4° B'!AV39</f>
        <v/>
      </c>
      <c r="AC35" s="527">
        <f>'VAL. 4° B'!AW39</f>
        <v>0</v>
      </c>
      <c r="AD35" s="527">
        <f>'VAL. 4° B'!AX39</f>
        <v>0</v>
      </c>
      <c r="AE35" s="531">
        <f>'VAL. 4° B'!AY39</f>
        <v>0</v>
      </c>
      <c r="AF35" s="532">
        <f t="shared" si="0"/>
        <v>0</v>
      </c>
      <c r="AG35" s="533" t="b">
        <f t="shared" si="1"/>
        <v>0</v>
      </c>
      <c r="AH35" s="403"/>
    </row>
    <row r="36" spans="2:34" ht="16.5" thickBot="1" x14ac:dyDescent="0.3">
      <c r="B36" s="10">
        <v>22</v>
      </c>
      <c r="C36" s="524" t="str">
        <f>'C. FILIACION'!C35:D35</f>
        <v>SARAVIA SALVATIERRA JOSSE AMED</v>
      </c>
      <c r="D36" s="525" t="str">
        <f>'VAL. 1° B'!J40</f>
        <v/>
      </c>
      <c r="E36" s="526" t="str">
        <f>'VAL. 1° B'!Z40</f>
        <v/>
      </c>
      <c r="F36" s="526" t="str">
        <f>'VAL. 1° B'!AP40</f>
        <v/>
      </c>
      <c r="G36" s="526" t="str">
        <f>'VAL. 1° B'!AV40</f>
        <v/>
      </c>
      <c r="H36" s="527">
        <f>'VAL. 1° B'!AW40</f>
        <v>0</v>
      </c>
      <c r="I36" s="527">
        <f>'VAL. 1° B'!AX40</f>
        <v>0</v>
      </c>
      <c r="J36" s="528">
        <f>'VAL. 1° B'!AY40</f>
        <v>0</v>
      </c>
      <c r="K36" s="529" t="str">
        <f>'VAL. 2° B'!J40</f>
        <v/>
      </c>
      <c r="L36" s="526" t="str">
        <f>'VAL. 2° B'!Z40</f>
        <v/>
      </c>
      <c r="M36" s="526" t="str">
        <f>'VAL. 2° B'!AP40</f>
        <v/>
      </c>
      <c r="N36" s="526" t="str">
        <f>'VAL. 2° B'!AV40</f>
        <v/>
      </c>
      <c r="O36" s="527">
        <f>'VAL. 2° B'!AW40</f>
        <v>0</v>
      </c>
      <c r="P36" s="527">
        <f>'VAL. 2° B'!AX40</f>
        <v>0</v>
      </c>
      <c r="Q36" s="530">
        <f>'VAL. 2° B'!AY40</f>
        <v>0</v>
      </c>
      <c r="R36" s="529" t="str">
        <f>'VAL. 3° B'!J40</f>
        <v/>
      </c>
      <c r="S36" s="526" t="str">
        <f>'VAL. 3° B'!Z40</f>
        <v/>
      </c>
      <c r="T36" s="526" t="str">
        <f>'VAL. 3° B'!AP40</f>
        <v/>
      </c>
      <c r="U36" s="526" t="str">
        <f>'VAL. 3° B'!AV40</f>
        <v/>
      </c>
      <c r="V36" s="527">
        <f>'VAL. 3° B'!AW40</f>
        <v>0</v>
      </c>
      <c r="W36" s="527">
        <f>'VAL. 3° B'!AX40</f>
        <v>0</v>
      </c>
      <c r="X36" s="530">
        <f>'VAL. 3° B'!AY40</f>
        <v>0</v>
      </c>
      <c r="Y36" s="529" t="str">
        <f>'VAL. 4° B'!J40</f>
        <v/>
      </c>
      <c r="Z36" s="526" t="str">
        <f>'VAL. 4° B'!Z40</f>
        <v/>
      </c>
      <c r="AA36" s="526" t="str">
        <f>'VAL. 4° B'!AP40</f>
        <v/>
      </c>
      <c r="AB36" s="526" t="str">
        <f>'VAL. 4° B'!AV40</f>
        <v/>
      </c>
      <c r="AC36" s="527">
        <f>'VAL. 4° B'!AW40</f>
        <v>0</v>
      </c>
      <c r="AD36" s="527">
        <f>'VAL. 4° B'!AX40</f>
        <v>0</v>
      </c>
      <c r="AE36" s="531">
        <f>'VAL. 4° B'!AY40</f>
        <v>0</v>
      </c>
      <c r="AF36" s="532">
        <f t="shared" si="0"/>
        <v>0</v>
      </c>
      <c r="AG36" s="533" t="b">
        <f t="shared" si="1"/>
        <v>0</v>
      </c>
      <c r="AH36" s="403"/>
    </row>
    <row r="37" spans="2:34" ht="16.5" thickBot="1" x14ac:dyDescent="0.3">
      <c r="B37" s="10">
        <v>23</v>
      </c>
      <c r="C37" s="524" t="str">
        <f>'C. FILIACION'!C36:D36</f>
        <v>SIERRA LUNA GABRIEL  GERMAN</v>
      </c>
      <c r="D37" s="525" t="str">
        <f>'VAL. 1° B'!J41</f>
        <v/>
      </c>
      <c r="E37" s="526" t="str">
        <f>'VAL. 1° B'!Z41</f>
        <v/>
      </c>
      <c r="F37" s="526" t="str">
        <f>'VAL. 1° B'!AP41</f>
        <v/>
      </c>
      <c r="G37" s="526" t="str">
        <f>'VAL. 1° B'!AV41</f>
        <v/>
      </c>
      <c r="H37" s="527">
        <f>'VAL. 1° B'!AW41</f>
        <v>0</v>
      </c>
      <c r="I37" s="527">
        <f>'VAL. 1° B'!AX41</f>
        <v>0</v>
      </c>
      <c r="J37" s="528">
        <f>'VAL. 1° B'!AY41</f>
        <v>0</v>
      </c>
      <c r="K37" s="529" t="str">
        <f>'VAL. 2° B'!J41</f>
        <v/>
      </c>
      <c r="L37" s="526" t="str">
        <f>'VAL. 2° B'!Z41</f>
        <v/>
      </c>
      <c r="M37" s="526" t="str">
        <f>'VAL. 2° B'!AP41</f>
        <v/>
      </c>
      <c r="N37" s="526" t="str">
        <f>'VAL. 2° B'!AV41</f>
        <v/>
      </c>
      <c r="O37" s="527">
        <f>'VAL. 2° B'!AW41</f>
        <v>0</v>
      </c>
      <c r="P37" s="527">
        <f>'VAL. 2° B'!AX41</f>
        <v>0</v>
      </c>
      <c r="Q37" s="530">
        <f>'VAL. 2° B'!AY41</f>
        <v>0</v>
      </c>
      <c r="R37" s="529" t="str">
        <f>'VAL. 3° B'!J41</f>
        <v/>
      </c>
      <c r="S37" s="526" t="str">
        <f>'VAL. 3° B'!Z41</f>
        <v/>
      </c>
      <c r="T37" s="526" t="str">
        <f>'VAL. 3° B'!AP41</f>
        <v/>
      </c>
      <c r="U37" s="526" t="str">
        <f>'VAL. 3° B'!AV41</f>
        <v/>
      </c>
      <c r="V37" s="527">
        <f>'VAL. 3° B'!AW41</f>
        <v>0</v>
      </c>
      <c r="W37" s="527">
        <f>'VAL. 3° B'!AX41</f>
        <v>0</v>
      </c>
      <c r="X37" s="530">
        <f>'VAL. 3° B'!AY41</f>
        <v>0</v>
      </c>
      <c r="Y37" s="529" t="str">
        <f>'VAL. 4° B'!J41</f>
        <v/>
      </c>
      <c r="Z37" s="526" t="str">
        <f>'VAL. 4° B'!Z41</f>
        <v/>
      </c>
      <c r="AA37" s="526" t="str">
        <f>'VAL. 4° B'!AP41</f>
        <v/>
      </c>
      <c r="AB37" s="526" t="str">
        <f>'VAL. 4° B'!AV41</f>
        <v/>
      </c>
      <c r="AC37" s="527">
        <f>'VAL. 4° B'!AW41</f>
        <v>0</v>
      </c>
      <c r="AD37" s="527">
        <f>'VAL. 4° B'!AX41</f>
        <v>0</v>
      </c>
      <c r="AE37" s="531">
        <f>'VAL. 4° B'!AY41</f>
        <v>0</v>
      </c>
      <c r="AF37" s="532">
        <f t="shared" si="0"/>
        <v>0</v>
      </c>
      <c r="AG37" s="533" t="b">
        <f t="shared" si="1"/>
        <v>0</v>
      </c>
      <c r="AH37" s="403"/>
    </row>
    <row r="38" spans="2:34" ht="16.5" thickBot="1" x14ac:dyDescent="0.3">
      <c r="B38" s="10">
        <v>24</v>
      </c>
      <c r="C38" s="524" t="str">
        <f>'C. FILIACION'!C37:D37</f>
        <v>ZEWANE  MARTINEZ LINDA JHAMILETT</v>
      </c>
      <c r="D38" s="525" t="str">
        <f>'VAL. 1° B'!J42</f>
        <v/>
      </c>
      <c r="E38" s="526" t="str">
        <f>'VAL. 1° B'!Z42</f>
        <v/>
      </c>
      <c r="F38" s="526" t="str">
        <f>'VAL. 1° B'!AP42</f>
        <v/>
      </c>
      <c r="G38" s="526" t="str">
        <f>'VAL. 1° B'!AV42</f>
        <v/>
      </c>
      <c r="H38" s="527">
        <f>'VAL. 1° B'!AW42</f>
        <v>0</v>
      </c>
      <c r="I38" s="527">
        <f>'VAL. 1° B'!AX42</f>
        <v>0</v>
      </c>
      <c r="J38" s="528">
        <f>'VAL. 1° B'!AY42</f>
        <v>0</v>
      </c>
      <c r="K38" s="529" t="str">
        <f>'VAL. 2° B'!J42</f>
        <v/>
      </c>
      <c r="L38" s="526" t="str">
        <f>'VAL. 2° B'!Z42</f>
        <v/>
      </c>
      <c r="M38" s="526" t="str">
        <f>'VAL. 2° B'!AP42</f>
        <v/>
      </c>
      <c r="N38" s="526" t="str">
        <f>'VAL. 2° B'!AV42</f>
        <v/>
      </c>
      <c r="O38" s="527">
        <f>'VAL. 2° B'!AW42</f>
        <v>0</v>
      </c>
      <c r="P38" s="527">
        <f>'VAL. 2° B'!AX42</f>
        <v>0</v>
      </c>
      <c r="Q38" s="530">
        <f>'VAL. 2° B'!AY42</f>
        <v>0</v>
      </c>
      <c r="R38" s="529" t="str">
        <f>'VAL. 3° B'!J42</f>
        <v/>
      </c>
      <c r="S38" s="526" t="str">
        <f>'VAL. 3° B'!Z42</f>
        <v/>
      </c>
      <c r="T38" s="526" t="str">
        <f>'VAL. 3° B'!AP42</f>
        <v/>
      </c>
      <c r="U38" s="526" t="str">
        <f>'VAL. 3° B'!AV42</f>
        <v/>
      </c>
      <c r="V38" s="527">
        <f>'VAL. 3° B'!AW42</f>
        <v>0</v>
      </c>
      <c r="W38" s="527">
        <f>'VAL. 3° B'!AX42</f>
        <v>0</v>
      </c>
      <c r="X38" s="530">
        <f>'VAL. 3° B'!AY42</f>
        <v>0</v>
      </c>
      <c r="Y38" s="529" t="str">
        <f>'VAL. 4° B'!J42</f>
        <v/>
      </c>
      <c r="Z38" s="526" t="str">
        <f>'VAL. 4° B'!Z42</f>
        <v/>
      </c>
      <c r="AA38" s="526" t="str">
        <f>'VAL. 4° B'!AP42</f>
        <v/>
      </c>
      <c r="AB38" s="526" t="str">
        <f>'VAL. 4° B'!AV42</f>
        <v/>
      </c>
      <c r="AC38" s="527">
        <f>'VAL. 4° B'!AW42</f>
        <v>0</v>
      </c>
      <c r="AD38" s="527">
        <f>'VAL. 4° B'!AX42</f>
        <v>0</v>
      </c>
      <c r="AE38" s="531">
        <f>'VAL. 4° B'!AY42</f>
        <v>0</v>
      </c>
      <c r="AF38" s="532">
        <f t="shared" si="0"/>
        <v>0</v>
      </c>
      <c r="AG38" s="533" t="b">
        <f t="shared" si="1"/>
        <v>0</v>
      </c>
      <c r="AH38" s="403"/>
    </row>
    <row r="39" spans="2:34" ht="16.5" thickBot="1" x14ac:dyDescent="0.3">
      <c r="B39" s="10">
        <v>25</v>
      </c>
      <c r="C39" s="524">
        <f>'C. FILIACION'!C38:D38</f>
        <v>0</v>
      </c>
      <c r="D39" s="525" t="str">
        <f>'VAL. 1° B'!J43</f>
        <v/>
      </c>
      <c r="E39" s="526" t="str">
        <f>'VAL. 1° B'!Z43</f>
        <v/>
      </c>
      <c r="F39" s="526" t="str">
        <f>'VAL. 1° B'!AP43</f>
        <v/>
      </c>
      <c r="G39" s="526" t="str">
        <f>'VAL. 1° B'!AV43</f>
        <v/>
      </c>
      <c r="H39" s="527">
        <f>'VAL. 1° B'!AW43</f>
        <v>0</v>
      </c>
      <c r="I39" s="527">
        <f>'VAL. 1° B'!AX43</f>
        <v>0</v>
      </c>
      <c r="J39" s="528">
        <f>'VAL. 1° B'!AY43</f>
        <v>0</v>
      </c>
      <c r="K39" s="529" t="str">
        <f>'VAL. 2° B'!J43</f>
        <v/>
      </c>
      <c r="L39" s="526" t="str">
        <f>'VAL. 2° B'!Z43</f>
        <v/>
      </c>
      <c r="M39" s="526" t="str">
        <f>'VAL. 2° B'!AP43</f>
        <v/>
      </c>
      <c r="N39" s="526" t="str">
        <f>'VAL. 2° B'!AV43</f>
        <v/>
      </c>
      <c r="O39" s="527">
        <f>'VAL. 2° B'!AW43</f>
        <v>0</v>
      </c>
      <c r="P39" s="527">
        <f>'VAL. 2° B'!AX43</f>
        <v>0</v>
      </c>
      <c r="Q39" s="530">
        <f>'VAL. 2° B'!AY43</f>
        <v>0</v>
      </c>
      <c r="R39" s="529" t="str">
        <f>'VAL. 3° B'!J43</f>
        <v/>
      </c>
      <c r="S39" s="526" t="str">
        <f>'VAL. 3° B'!Z43</f>
        <v/>
      </c>
      <c r="T39" s="526" t="str">
        <f>'VAL. 3° B'!AP43</f>
        <v/>
      </c>
      <c r="U39" s="526" t="str">
        <f>'VAL. 3° B'!AV43</f>
        <v/>
      </c>
      <c r="V39" s="527">
        <f>'VAL. 3° B'!AW43</f>
        <v>0</v>
      </c>
      <c r="W39" s="527">
        <f>'VAL. 3° B'!AX43</f>
        <v>0</v>
      </c>
      <c r="X39" s="530">
        <f>'VAL. 3° B'!AY43</f>
        <v>0</v>
      </c>
      <c r="Y39" s="529" t="str">
        <f>'VAL. 4° B'!J43</f>
        <v/>
      </c>
      <c r="Z39" s="526" t="str">
        <f>'VAL. 4° B'!Z43</f>
        <v/>
      </c>
      <c r="AA39" s="526" t="str">
        <f>'VAL. 4° B'!AP43</f>
        <v/>
      </c>
      <c r="AB39" s="526" t="str">
        <f>'VAL. 4° B'!AV43</f>
        <v/>
      </c>
      <c r="AC39" s="527">
        <f>'VAL. 4° B'!AW43</f>
        <v>0</v>
      </c>
      <c r="AD39" s="527">
        <f>'VAL. 4° B'!AX43</f>
        <v>0</v>
      </c>
      <c r="AE39" s="531">
        <f>'VAL. 4° B'!AY43</f>
        <v>0</v>
      </c>
      <c r="AF39" s="532">
        <f t="shared" si="0"/>
        <v>0</v>
      </c>
      <c r="AG39" s="533" t="b">
        <f t="shared" si="1"/>
        <v>0</v>
      </c>
      <c r="AH39" s="403"/>
    </row>
    <row r="40" spans="2:34" ht="16.5" thickBot="1" x14ac:dyDescent="0.3">
      <c r="B40" s="10">
        <v>26</v>
      </c>
      <c r="C40" s="524">
        <f>'C. FILIACION'!C39:D39</f>
        <v>0</v>
      </c>
      <c r="D40" s="525" t="str">
        <f>'VAL. 1° B'!J44</f>
        <v/>
      </c>
      <c r="E40" s="526" t="str">
        <f>'VAL. 1° B'!Z44</f>
        <v/>
      </c>
      <c r="F40" s="526" t="str">
        <f>'VAL. 1° B'!AP44</f>
        <v/>
      </c>
      <c r="G40" s="526" t="str">
        <f>'VAL. 1° B'!AV44</f>
        <v/>
      </c>
      <c r="H40" s="527">
        <f>'VAL. 1° B'!AW44</f>
        <v>0</v>
      </c>
      <c r="I40" s="527">
        <f>'VAL. 1° B'!AX44</f>
        <v>0</v>
      </c>
      <c r="J40" s="528">
        <f>'VAL. 1° B'!AY44</f>
        <v>0</v>
      </c>
      <c r="K40" s="529" t="str">
        <f>'VAL. 2° B'!J44</f>
        <v/>
      </c>
      <c r="L40" s="526" t="str">
        <f>'VAL. 2° B'!Z44</f>
        <v/>
      </c>
      <c r="M40" s="526" t="str">
        <f>'VAL. 2° B'!AP44</f>
        <v/>
      </c>
      <c r="N40" s="526" t="str">
        <f>'VAL. 2° B'!AV44</f>
        <v/>
      </c>
      <c r="O40" s="527">
        <f>'VAL. 2° B'!AW44</f>
        <v>0</v>
      </c>
      <c r="P40" s="527">
        <f>'VAL. 2° B'!AX44</f>
        <v>0</v>
      </c>
      <c r="Q40" s="530">
        <f>'VAL. 2° B'!AY44</f>
        <v>0</v>
      </c>
      <c r="R40" s="529" t="str">
        <f>'VAL. 3° B'!J44</f>
        <v/>
      </c>
      <c r="S40" s="526" t="str">
        <f>'VAL. 3° B'!Z44</f>
        <v/>
      </c>
      <c r="T40" s="526" t="str">
        <f>'VAL. 3° B'!AP44</f>
        <v/>
      </c>
      <c r="U40" s="526" t="str">
        <f>'VAL. 3° B'!AV44</f>
        <v/>
      </c>
      <c r="V40" s="527">
        <f>'VAL. 3° B'!AW44</f>
        <v>0</v>
      </c>
      <c r="W40" s="527">
        <f>'VAL. 3° B'!AX44</f>
        <v>0</v>
      </c>
      <c r="X40" s="530">
        <f>'VAL. 3° B'!AY44</f>
        <v>0</v>
      </c>
      <c r="Y40" s="529" t="str">
        <f>'VAL. 4° B'!J44</f>
        <v/>
      </c>
      <c r="Z40" s="526" t="str">
        <f>'VAL. 4° B'!Z44</f>
        <v/>
      </c>
      <c r="AA40" s="526" t="str">
        <f>'VAL. 4° B'!AP44</f>
        <v/>
      </c>
      <c r="AB40" s="526" t="str">
        <f>'VAL. 4° B'!AV44</f>
        <v/>
      </c>
      <c r="AC40" s="527">
        <f>'VAL. 4° B'!AW44</f>
        <v>0</v>
      </c>
      <c r="AD40" s="527">
        <f>'VAL. 4° B'!AX44</f>
        <v>0</v>
      </c>
      <c r="AE40" s="531">
        <f>'VAL. 4° B'!AY44</f>
        <v>0</v>
      </c>
      <c r="AF40" s="532">
        <f t="shared" si="0"/>
        <v>0</v>
      </c>
      <c r="AG40" s="533" t="b">
        <f t="shared" si="1"/>
        <v>0</v>
      </c>
      <c r="AH40" s="403"/>
    </row>
    <row r="41" spans="2:34" ht="16.5" thickBot="1" x14ac:dyDescent="0.3">
      <c r="B41" s="10">
        <v>27</v>
      </c>
      <c r="C41" s="524">
        <f>'C. FILIACION'!C40:D40</f>
        <v>0</v>
      </c>
      <c r="D41" s="525" t="str">
        <f>'VAL. 1° B'!J45</f>
        <v/>
      </c>
      <c r="E41" s="526" t="str">
        <f>'VAL. 1° B'!Z45</f>
        <v/>
      </c>
      <c r="F41" s="526" t="str">
        <f>'VAL. 1° B'!AP45</f>
        <v/>
      </c>
      <c r="G41" s="526" t="str">
        <f>'VAL. 1° B'!AV45</f>
        <v/>
      </c>
      <c r="H41" s="527">
        <f>'VAL. 1° B'!AW45</f>
        <v>0</v>
      </c>
      <c r="I41" s="527">
        <f>'VAL. 1° B'!AX45</f>
        <v>0</v>
      </c>
      <c r="J41" s="528">
        <f>'VAL. 1° B'!AY45</f>
        <v>0</v>
      </c>
      <c r="K41" s="529" t="str">
        <f>'VAL. 2° B'!J45</f>
        <v/>
      </c>
      <c r="L41" s="526" t="str">
        <f>'VAL. 2° B'!Z45</f>
        <v/>
      </c>
      <c r="M41" s="526" t="str">
        <f>'VAL. 2° B'!AP45</f>
        <v/>
      </c>
      <c r="N41" s="526" t="str">
        <f>'VAL. 2° B'!AV45</f>
        <v/>
      </c>
      <c r="O41" s="527">
        <f>'VAL. 2° B'!AW45</f>
        <v>0</v>
      </c>
      <c r="P41" s="527">
        <f>'VAL. 2° B'!AX45</f>
        <v>0</v>
      </c>
      <c r="Q41" s="530">
        <f>'VAL. 2° B'!AY45</f>
        <v>0</v>
      </c>
      <c r="R41" s="529" t="str">
        <f>'VAL. 3° B'!J45</f>
        <v/>
      </c>
      <c r="S41" s="526" t="str">
        <f>'VAL. 3° B'!Z45</f>
        <v/>
      </c>
      <c r="T41" s="526" t="str">
        <f>'VAL. 3° B'!AP45</f>
        <v/>
      </c>
      <c r="U41" s="526" t="str">
        <f>'VAL. 3° B'!AV45</f>
        <v/>
      </c>
      <c r="V41" s="527">
        <f>'VAL. 3° B'!AW45</f>
        <v>0</v>
      </c>
      <c r="W41" s="527">
        <f>'VAL. 3° B'!AX45</f>
        <v>0</v>
      </c>
      <c r="X41" s="530">
        <f>'VAL. 3° B'!AY45</f>
        <v>0</v>
      </c>
      <c r="Y41" s="529" t="str">
        <f>'VAL. 4° B'!J45</f>
        <v/>
      </c>
      <c r="Z41" s="526" t="str">
        <f>'VAL. 4° B'!Z45</f>
        <v/>
      </c>
      <c r="AA41" s="526" t="str">
        <f>'VAL. 4° B'!AP45</f>
        <v/>
      </c>
      <c r="AB41" s="526" t="str">
        <f>'VAL. 4° B'!AV45</f>
        <v/>
      </c>
      <c r="AC41" s="527">
        <f>'VAL. 4° B'!AW45</f>
        <v>0</v>
      </c>
      <c r="AD41" s="527">
        <f>'VAL. 4° B'!AX45</f>
        <v>0</v>
      </c>
      <c r="AE41" s="531">
        <f>'VAL. 4° B'!AY45</f>
        <v>0</v>
      </c>
      <c r="AF41" s="532">
        <f t="shared" si="0"/>
        <v>0</v>
      </c>
      <c r="AG41" s="533" t="b">
        <f t="shared" si="1"/>
        <v>0</v>
      </c>
      <c r="AH41" s="403"/>
    </row>
    <row r="42" spans="2:34" ht="16.5" thickBot="1" x14ac:dyDescent="0.3">
      <c r="B42" s="10">
        <v>28</v>
      </c>
      <c r="C42" s="524">
        <f>'C. FILIACION'!C41:D41</f>
        <v>0</v>
      </c>
      <c r="D42" s="525" t="str">
        <f>'VAL. 1° B'!J46</f>
        <v/>
      </c>
      <c r="E42" s="526" t="str">
        <f>'VAL. 1° B'!Z46</f>
        <v/>
      </c>
      <c r="F42" s="526" t="str">
        <f>'VAL. 1° B'!AP46</f>
        <v/>
      </c>
      <c r="G42" s="526" t="str">
        <f>'VAL. 1° B'!AV46</f>
        <v/>
      </c>
      <c r="H42" s="527">
        <f>'VAL. 1° B'!AW46</f>
        <v>0</v>
      </c>
      <c r="I42" s="527">
        <f>'VAL. 1° B'!AX46</f>
        <v>0</v>
      </c>
      <c r="J42" s="528">
        <f>'VAL. 1° B'!AY46</f>
        <v>0</v>
      </c>
      <c r="K42" s="529" t="str">
        <f>'VAL. 2° B'!J46</f>
        <v/>
      </c>
      <c r="L42" s="526" t="str">
        <f>'VAL. 2° B'!Z46</f>
        <v/>
      </c>
      <c r="M42" s="526" t="str">
        <f>'VAL. 2° B'!AP46</f>
        <v/>
      </c>
      <c r="N42" s="526" t="str">
        <f>'VAL. 2° B'!AV46</f>
        <v/>
      </c>
      <c r="O42" s="527">
        <f>'VAL. 2° B'!AW46</f>
        <v>0</v>
      </c>
      <c r="P42" s="527">
        <f>'VAL. 2° B'!AX46</f>
        <v>0</v>
      </c>
      <c r="Q42" s="530">
        <f>'VAL. 2° B'!AY46</f>
        <v>0</v>
      </c>
      <c r="R42" s="529" t="str">
        <f>'VAL. 3° B'!J46</f>
        <v/>
      </c>
      <c r="S42" s="526" t="str">
        <f>'VAL. 3° B'!Z46</f>
        <v/>
      </c>
      <c r="T42" s="526" t="str">
        <f>'VAL. 3° B'!AP46</f>
        <v/>
      </c>
      <c r="U42" s="526" t="str">
        <f>'VAL. 3° B'!AV46</f>
        <v/>
      </c>
      <c r="V42" s="527">
        <f>'VAL. 3° B'!AW46</f>
        <v>0</v>
      </c>
      <c r="W42" s="527">
        <f>'VAL. 3° B'!AX46</f>
        <v>0</v>
      </c>
      <c r="X42" s="530">
        <f>'VAL. 3° B'!AY46</f>
        <v>0</v>
      </c>
      <c r="Y42" s="529" t="str">
        <f>'VAL. 4° B'!J46</f>
        <v/>
      </c>
      <c r="Z42" s="526" t="str">
        <f>'VAL. 4° B'!Z46</f>
        <v/>
      </c>
      <c r="AA42" s="526" t="str">
        <f>'VAL. 4° B'!AP46</f>
        <v/>
      </c>
      <c r="AB42" s="526" t="str">
        <f>'VAL. 4° B'!AV46</f>
        <v/>
      </c>
      <c r="AC42" s="527">
        <f>'VAL. 4° B'!AW46</f>
        <v>0</v>
      </c>
      <c r="AD42" s="527">
        <f>'VAL. 4° B'!AX46</f>
        <v>0</v>
      </c>
      <c r="AE42" s="531">
        <f>'VAL. 4° B'!AY46</f>
        <v>0</v>
      </c>
      <c r="AF42" s="532">
        <f t="shared" si="0"/>
        <v>0</v>
      </c>
      <c r="AG42" s="533" t="b">
        <f t="shared" si="1"/>
        <v>0</v>
      </c>
      <c r="AH42" s="403"/>
    </row>
    <row r="43" spans="2:34" ht="16.5" thickBot="1" x14ac:dyDescent="0.3">
      <c r="B43" s="10">
        <v>29</v>
      </c>
      <c r="C43" s="524">
        <f>'C. FILIACION'!C42:D42</f>
        <v>0</v>
      </c>
      <c r="D43" s="525" t="str">
        <f>'VAL. 1° B'!J47</f>
        <v/>
      </c>
      <c r="E43" s="526" t="str">
        <f>'VAL. 1° B'!Z47</f>
        <v/>
      </c>
      <c r="F43" s="526" t="str">
        <f>'VAL. 1° B'!AP47</f>
        <v/>
      </c>
      <c r="G43" s="526" t="str">
        <f>'VAL. 1° B'!AV47</f>
        <v/>
      </c>
      <c r="H43" s="527">
        <f>'VAL. 1° B'!AW47</f>
        <v>0</v>
      </c>
      <c r="I43" s="527">
        <f>'VAL. 1° B'!AX47</f>
        <v>0</v>
      </c>
      <c r="J43" s="528">
        <f>'VAL. 1° B'!AY47</f>
        <v>0</v>
      </c>
      <c r="K43" s="529" t="str">
        <f>'VAL. 2° B'!J47</f>
        <v/>
      </c>
      <c r="L43" s="526" t="str">
        <f>'VAL. 2° B'!Z47</f>
        <v/>
      </c>
      <c r="M43" s="526" t="str">
        <f>'VAL. 2° B'!AP47</f>
        <v/>
      </c>
      <c r="N43" s="526" t="str">
        <f>'VAL. 2° B'!AV47</f>
        <v/>
      </c>
      <c r="O43" s="527">
        <f>'VAL. 2° B'!AW47</f>
        <v>0</v>
      </c>
      <c r="P43" s="527">
        <f>'VAL. 2° B'!AX47</f>
        <v>0</v>
      </c>
      <c r="Q43" s="530">
        <f>'VAL. 2° B'!AY47</f>
        <v>0</v>
      </c>
      <c r="R43" s="529" t="str">
        <f>'VAL. 3° B'!J47</f>
        <v/>
      </c>
      <c r="S43" s="526" t="str">
        <f>'VAL. 3° B'!Z47</f>
        <v/>
      </c>
      <c r="T43" s="526" t="str">
        <f>'VAL. 3° B'!AP47</f>
        <v/>
      </c>
      <c r="U43" s="526" t="str">
        <f>'VAL. 3° B'!AV47</f>
        <v/>
      </c>
      <c r="V43" s="527">
        <f>'VAL. 3° B'!AW47</f>
        <v>0</v>
      </c>
      <c r="W43" s="527">
        <f>'VAL. 3° B'!AX47</f>
        <v>0</v>
      </c>
      <c r="X43" s="530">
        <f>'VAL. 3° B'!AY47</f>
        <v>0</v>
      </c>
      <c r="Y43" s="529" t="str">
        <f>'VAL. 4° B'!J47</f>
        <v/>
      </c>
      <c r="Z43" s="526" t="str">
        <f>'VAL. 4° B'!Z47</f>
        <v/>
      </c>
      <c r="AA43" s="526" t="str">
        <f>'VAL. 4° B'!AP47</f>
        <v/>
      </c>
      <c r="AB43" s="526" t="str">
        <f>'VAL. 4° B'!AV47</f>
        <v/>
      </c>
      <c r="AC43" s="527">
        <f>'VAL. 4° B'!AW47</f>
        <v>0</v>
      </c>
      <c r="AD43" s="527">
        <f>'VAL. 4° B'!AX47</f>
        <v>0</v>
      </c>
      <c r="AE43" s="531">
        <f>'VAL. 4° B'!AY47</f>
        <v>0</v>
      </c>
      <c r="AF43" s="532">
        <f t="shared" si="0"/>
        <v>0</v>
      </c>
      <c r="AG43" s="533" t="b">
        <f t="shared" si="1"/>
        <v>0</v>
      </c>
      <c r="AH43" s="403"/>
    </row>
    <row r="44" spans="2:34" ht="16.5" thickBot="1" x14ac:dyDescent="0.3">
      <c r="B44" s="10">
        <v>30</v>
      </c>
      <c r="C44" s="524">
        <f>'C. FILIACION'!C43:D43</f>
        <v>0</v>
      </c>
      <c r="D44" s="525" t="str">
        <f>'VAL. 1° B'!J48</f>
        <v/>
      </c>
      <c r="E44" s="526" t="str">
        <f>'VAL. 1° B'!Z48</f>
        <v/>
      </c>
      <c r="F44" s="526" t="str">
        <f>'VAL. 1° B'!AP48</f>
        <v/>
      </c>
      <c r="G44" s="526" t="str">
        <f>'VAL. 1° B'!AV48</f>
        <v/>
      </c>
      <c r="H44" s="527">
        <f>'VAL. 1° B'!AW48</f>
        <v>0</v>
      </c>
      <c r="I44" s="527">
        <f>'VAL. 1° B'!AX48</f>
        <v>0</v>
      </c>
      <c r="J44" s="528">
        <f>'VAL. 1° B'!AY48</f>
        <v>0</v>
      </c>
      <c r="K44" s="529" t="str">
        <f>'VAL. 2° B'!J48</f>
        <v/>
      </c>
      <c r="L44" s="526" t="str">
        <f>'VAL. 2° B'!Z48</f>
        <v/>
      </c>
      <c r="M44" s="526" t="str">
        <f>'VAL. 2° B'!AP48</f>
        <v/>
      </c>
      <c r="N44" s="526" t="str">
        <f>'VAL. 2° B'!AV48</f>
        <v/>
      </c>
      <c r="O44" s="527">
        <f>'VAL. 2° B'!AW48</f>
        <v>0</v>
      </c>
      <c r="P44" s="527">
        <f>'VAL. 2° B'!AX48</f>
        <v>0</v>
      </c>
      <c r="Q44" s="530">
        <f>'VAL. 2° B'!AY48</f>
        <v>0</v>
      </c>
      <c r="R44" s="529" t="str">
        <f>'VAL. 3° B'!J48</f>
        <v/>
      </c>
      <c r="S44" s="526" t="str">
        <f>'VAL. 3° B'!Z48</f>
        <v/>
      </c>
      <c r="T44" s="526" t="str">
        <f>'VAL. 3° B'!AP48</f>
        <v/>
      </c>
      <c r="U44" s="526" t="str">
        <f>'VAL. 3° B'!AV48</f>
        <v/>
      </c>
      <c r="V44" s="527">
        <f>'VAL. 3° B'!AW48</f>
        <v>0</v>
      </c>
      <c r="W44" s="527">
        <f>'VAL. 3° B'!AX48</f>
        <v>0</v>
      </c>
      <c r="X44" s="530">
        <f>'VAL. 3° B'!AY48</f>
        <v>0</v>
      </c>
      <c r="Y44" s="529" t="str">
        <f>'VAL. 4° B'!J48</f>
        <v/>
      </c>
      <c r="Z44" s="526" t="str">
        <f>'VAL. 4° B'!Z48</f>
        <v/>
      </c>
      <c r="AA44" s="526" t="str">
        <f>'VAL. 4° B'!AP48</f>
        <v/>
      </c>
      <c r="AB44" s="526" t="str">
        <f>'VAL. 4° B'!AV48</f>
        <v/>
      </c>
      <c r="AC44" s="527">
        <f>'VAL. 4° B'!AW48</f>
        <v>0</v>
      </c>
      <c r="AD44" s="527">
        <f>'VAL. 4° B'!AX48</f>
        <v>0</v>
      </c>
      <c r="AE44" s="531">
        <f>'VAL. 4° B'!AY48</f>
        <v>0</v>
      </c>
      <c r="AF44" s="532">
        <f t="shared" si="0"/>
        <v>0</v>
      </c>
      <c r="AG44" s="533" t="b">
        <f t="shared" si="1"/>
        <v>0</v>
      </c>
      <c r="AH44" s="403"/>
    </row>
    <row r="45" spans="2:34" ht="16.5" thickBot="1" x14ac:dyDescent="0.3">
      <c r="B45" s="10">
        <v>31</v>
      </c>
      <c r="C45" s="524">
        <f>'C. FILIACION'!C44:D44</f>
        <v>0</v>
      </c>
      <c r="D45" s="525" t="str">
        <f>'VAL. 1° B'!J49</f>
        <v/>
      </c>
      <c r="E45" s="526" t="str">
        <f>'VAL. 1° B'!Z49</f>
        <v/>
      </c>
      <c r="F45" s="526" t="str">
        <f>'VAL. 1° B'!AP49</f>
        <v/>
      </c>
      <c r="G45" s="526" t="str">
        <f>'VAL. 1° B'!AV49</f>
        <v/>
      </c>
      <c r="H45" s="527">
        <f>'VAL. 1° B'!AW49</f>
        <v>0</v>
      </c>
      <c r="I45" s="527">
        <f>'VAL. 1° B'!AX49</f>
        <v>0</v>
      </c>
      <c r="J45" s="528">
        <f>'VAL. 1° B'!AY49</f>
        <v>0</v>
      </c>
      <c r="K45" s="529" t="str">
        <f>'VAL. 2° B'!J49</f>
        <v/>
      </c>
      <c r="L45" s="526" t="str">
        <f>'VAL. 2° B'!Z49</f>
        <v/>
      </c>
      <c r="M45" s="526" t="str">
        <f>'VAL. 2° B'!AP49</f>
        <v/>
      </c>
      <c r="N45" s="526" t="str">
        <f>'VAL. 2° B'!AV49</f>
        <v/>
      </c>
      <c r="O45" s="527">
        <f>'VAL. 2° B'!AW49</f>
        <v>0</v>
      </c>
      <c r="P45" s="527">
        <f>'VAL. 2° B'!AX49</f>
        <v>0</v>
      </c>
      <c r="Q45" s="530">
        <f>'VAL. 2° B'!AY49</f>
        <v>0</v>
      </c>
      <c r="R45" s="529" t="str">
        <f>'VAL. 3° B'!J49</f>
        <v/>
      </c>
      <c r="S45" s="526" t="str">
        <f>'VAL. 3° B'!Z49</f>
        <v/>
      </c>
      <c r="T45" s="526" t="str">
        <f>'VAL. 3° B'!AP49</f>
        <v/>
      </c>
      <c r="U45" s="526" t="str">
        <f>'VAL. 3° B'!AV49</f>
        <v/>
      </c>
      <c r="V45" s="527">
        <f>'VAL. 3° B'!AW49</f>
        <v>0</v>
      </c>
      <c r="W45" s="527">
        <f>'VAL. 3° B'!AX49</f>
        <v>0</v>
      </c>
      <c r="X45" s="530">
        <f>'VAL. 3° B'!AY49</f>
        <v>0</v>
      </c>
      <c r="Y45" s="529" t="str">
        <f>'VAL. 4° B'!J49</f>
        <v/>
      </c>
      <c r="Z45" s="526" t="str">
        <f>'VAL. 4° B'!Z49</f>
        <v/>
      </c>
      <c r="AA45" s="526" t="str">
        <f>'VAL. 4° B'!AP49</f>
        <v/>
      </c>
      <c r="AB45" s="526" t="str">
        <f>'VAL. 4° B'!AV49</f>
        <v/>
      </c>
      <c r="AC45" s="527">
        <f>'VAL. 4° B'!AW49</f>
        <v>0</v>
      </c>
      <c r="AD45" s="527">
        <f>'VAL. 4° B'!AX49</f>
        <v>0</v>
      </c>
      <c r="AE45" s="531">
        <f>'VAL. 4° B'!AY49</f>
        <v>0</v>
      </c>
      <c r="AF45" s="532">
        <f t="shared" si="0"/>
        <v>0</v>
      </c>
      <c r="AG45" s="533" t="b">
        <f t="shared" si="1"/>
        <v>0</v>
      </c>
      <c r="AH45" s="403"/>
    </row>
    <row r="46" spans="2:34" ht="16.5" thickBot="1" x14ac:dyDescent="0.3">
      <c r="B46" s="10">
        <v>32</v>
      </c>
      <c r="C46" s="524">
        <f>'C. FILIACION'!C45:D45</f>
        <v>0</v>
      </c>
      <c r="D46" s="525" t="str">
        <f>'VAL. 1° B'!J50</f>
        <v/>
      </c>
      <c r="E46" s="526" t="str">
        <f>'VAL. 1° B'!Z50</f>
        <v/>
      </c>
      <c r="F46" s="526" t="str">
        <f>'VAL. 1° B'!AP50</f>
        <v/>
      </c>
      <c r="G46" s="526" t="str">
        <f>'VAL. 1° B'!AV50</f>
        <v/>
      </c>
      <c r="H46" s="527">
        <f>'VAL. 1° B'!AW50</f>
        <v>0</v>
      </c>
      <c r="I46" s="527">
        <f>'VAL. 1° B'!AX50</f>
        <v>0</v>
      </c>
      <c r="J46" s="528">
        <f>'VAL. 1° B'!AY50</f>
        <v>0</v>
      </c>
      <c r="K46" s="529" t="str">
        <f>'VAL. 2° B'!J50</f>
        <v/>
      </c>
      <c r="L46" s="526" t="str">
        <f>'VAL. 2° B'!Z50</f>
        <v/>
      </c>
      <c r="M46" s="526" t="str">
        <f>'VAL. 2° B'!AP50</f>
        <v/>
      </c>
      <c r="N46" s="526" t="str">
        <f>'VAL. 2° B'!AV50</f>
        <v/>
      </c>
      <c r="O46" s="527">
        <f>'VAL. 2° B'!AW50</f>
        <v>0</v>
      </c>
      <c r="P46" s="527">
        <f>'VAL. 2° B'!AX50</f>
        <v>0</v>
      </c>
      <c r="Q46" s="530">
        <f>'VAL. 2° B'!AY50</f>
        <v>0</v>
      </c>
      <c r="R46" s="529" t="str">
        <f>'VAL. 3° B'!J50</f>
        <v/>
      </c>
      <c r="S46" s="526" t="str">
        <f>'VAL. 3° B'!Z50</f>
        <v/>
      </c>
      <c r="T46" s="526" t="str">
        <f>'VAL. 3° B'!AP50</f>
        <v/>
      </c>
      <c r="U46" s="526" t="str">
        <f>'VAL. 3° B'!AV50</f>
        <v/>
      </c>
      <c r="V46" s="527">
        <f>'VAL. 3° B'!AW50</f>
        <v>0</v>
      </c>
      <c r="W46" s="527">
        <f>'VAL. 3° B'!AX50</f>
        <v>0</v>
      </c>
      <c r="X46" s="530">
        <f>'VAL. 3° B'!AY50</f>
        <v>0</v>
      </c>
      <c r="Y46" s="529" t="str">
        <f>'VAL. 4° B'!J50</f>
        <v/>
      </c>
      <c r="Z46" s="526" t="str">
        <f>'VAL. 4° B'!Z50</f>
        <v/>
      </c>
      <c r="AA46" s="526" t="str">
        <f>'VAL. 4° B'!AP50</f>
        <v/>
      </c>
      <c r="AB46" s="526" t="str">
        <f>'VAL. 4° B'!AV50</f>
        <v/>
      </c>
      <c r="AC46" s="527">
        <f>'VAL. 4° B'!AW50</f>
        <v>0</v>
      </c>
      <c r="AD46" s="527">
        <f>'VAL. 4° B'!AX50</f>
        <v>0</v>
      </c>
      <c r="AE46" s="531">
        <f>'VAL. 4° B'!AY50</f>
        <v>0</v>
      </c>
      <c r="AF46" s="532">
        <f t="shared" si="0"/>
        <v>0</v>
      </c>
      <c r="AG46" s="533" t="b">
        <f t="shared" si="1"/>
        <v>0</v>
      </c>
      <c r="AH46" s="403"/>
    </row>
    <row r="47" spans="2:34" ht="16.5" thickBot="1" x14ac:dyDescent="0.3">
      <c r="B47" s="10">
        <v>33</v>
      </c>
      <c r="C47" s="524">
        <f>'C. FILIACION'!C46:D46</f>
        <v>0</v>
      </c>
      <c r="D47" s="525" t="str">
        <f>'VAL. 1° B'!J51</f>
        <v/>
      </c>
      <c r="E47" s="526" t="str">
        <f>'VAL. 1° B'!Z51</f>
        <v/>
      </c>
      <c r="F47" s="526" t="str">
        <f>'VAL. 1° B'!AP51</f>
        <v/>
      </c>
      <c r="G47" s="526" t="str">
        <f>'VAL. 1° B'!AV51</f>
        <v/>
      </c>
      <c r="H47" s="527">
        <f>'VAL. 1° B'!AW51</f>
        <v>0</v>
      </c>
      <c r="I47" s="527">
        <f>'VAL. 1° B'!AX51</f>
        <v>0</v>
      </c>
      <c r="J47" s="528">
        <f>'VAL. 1° B'!AY51</f>
        <v>0</v>
      </c>
      <c r="K47" s="529" t="str">
        <f>'VAL. 2° B'!J51</f>
        <v/>
      </c>
      <c r="L47" s="526" t="str">
        <f>'VAL. 2° B'!Z51</f>
        <v/>
      </c>
      <c r="M47" s="526" t="str">
        <f>'VAL. 2° B'!AP51</f>
        <v/>
      </c>
      <c r="N47" s="526" t="str">
        <f>'VAL. 2° B'!AV51</f>
        <v/>
      </c>
      <c r="O47" s="527">
        <f>'VAL. 2° B'!AW51</f>
        <v>0</v>
      </c>
      <c r="P47" s="527">
        <f>'VAL. 2° B'!AX51</f>
        <v>0</v>
      </c>
      <c r="Q47" s="530">
        <f>'VAL. 2° B'!AY51</f>
        <v>0</v>
      </c>
      <c r="R47" s="529" t="str">
        <f>'VAL. 3° B'!J51</f>
        <v/>
      </c>
      <c r="S47" s="526" t="str">
        <f>'VAL. 3° B'!Z51</f>
        <v/>
      </c>
      <c r="T47" s="526" t="str">
        <f>'VAL. 3° B'!AP51</f>
        <v/>
      </c>
      <c r="U47" s="526" t="str">
        <f>'VAL. 3° B'!AV51</f>
        <v/>
      </c>
      <c r="V47" s="527">
        <f>'VAL. 3° B'!AW51</f>
        <v>0</v>
      </c>
      <c r="W47" s="527">
        <f>'VAL. 3° B'!AX51</f>
        <v>0</v>
      </c>
      <c r="X47" s="530">
        <f>'VAL. 3° B'!AY51</f>
        <v>0</v>
      </c>
      <c r="Y47" s="529" t="str">
        <f>'VAL. 4° B'!J51</f>
        <v/>
      </c>
      <c r="Z47" s="526" t="str">
        <f>'VAL. 4° B'!Z51</f>
        <v/>
      </c>
      <c r="AA47" s="526" t="str">
        <f>'VAL. 4° B'!AP51</f>
        <v/>
      </c>
      <c r="AB47" s="526" t="str">
        <f>'VAL. 4° B'!AV51</f>
        <v/>
      </c>
      <c r="AC47" s="527">
        <f>'VAL. 4° B'!AW51</f>
        <v>0</v>
      </c>
      <c r="AD47" s="527">
        <f>'VAL. 4° B'!AX51</f>
        <v>0</v>
      </c>
      <c r="AE47" s="531">
        <f>'VAL. 4° B'!AY51</f>
        <v>0</v>
      </c>
      <c r="AF47" s="532">
        <f t="shared" si="0"/>
        <v>0</v>
      </c>
      <c r="AG47" s="533" t="b">
        <f t="shared" si="1"/>
        <v>0</v>
      </c>
      <c r="AH47" s="403"/>
    </row>
    <row r="48" spans="2:34" ht="16.5" thickBot="1" x14ac:dyDescent="0.3">
      <c r="B48" s="10">
        <v>34</v>
      </c>
      <c r="C48" s="524">
        <f>'C. FILIACION'!C47:D47</f>
        <v>0</v>
      </c>
      <c r="D48" s="525" t="str">
        <f>'VAL. 1° B'!J52</f>
        <v/>
      </c>
      <c r="E48" s="526" t="str">
        <f>'VAL. 1° B'!Z52</f>
        <v/>
      </c>
      <c r="F48" s="526" t="str">
        <f>'VAL. 1° B'!AP52</f>
        <v/>
      </c>
      <c r="G48" s="526" t="str">
        <f>'VAL. 1° B'!AV52</f>
        <v/>
      </c>
      <c r="H48" s="527">
        <f>'VAL. 1° B'!AW52</f>
        <v>0</v>
      </c>
      <c r="I48" s="527">
        <f>'VAL. 1° B'!AX52</f>
        <v>0</v>
      </c>
      <c r="J48" s="528">
        <f>'VAL. 1° B'!AY52</f>
        <v>0</v>
      </c>
      <c r="K48" s="529" t="str">
        <f>'VAL. 2° B'!J52</f>
        <v/>
      </c>
      <c r="L48" s="526" t="str">
        <f>'VAL. 2° B'!Z52</f>
        <v/>
      </c>
      <c r="M48" s="526" t="str">
        <f>'VAL. 2° B'!AP52</f>
        <v/>
      </c>
      <c r="N48" s="526" t="str">
        <f>'VAL. 2° B'!AV52</f>
        <v/>
      </c>
      <c r="O48" s="527">
        <f>'VAL. 2° B'!AW52</f>
        <v>0</v>
      </c>
      <c r="P48" s="527">
        <f>'VAL. 2° B'!AX52</f>
        <v>0</v>
      </c>
      <c r="Q48" s="530">
        <f>'VAL. 2° B'!AY52</f>
        <v>0</v>
      </c>
      <c r="R48" s="529" t="str">
        <f>'VAL. 3° B'!J52</f>
        <v/>
      </c>
      <c r="S48" s="526" t="str">
        <f>'VAL. 3° B'!Z52</f>
        <v/>
      </c>
      <c r="T48" s="526" t="str">
        <f>'VAL. 3° B'!AP52</f>
        <v/>
      </c>
      <c r="U48" s="526" t="str">
        <f>'VAL. 3° B'!AV52</f>
        <v/>
      </c>
      <c r="V48" s="527">
        <f>'VAL. 3° B'!AW52</f>
        <v>0</v>
      </c>
      <c r="W48" s="527">
        <f>'VAL. 3° B'!AX52</f>
        <v>0</v>
      </c>
      <c r="X48" s="530">
        <f>'VAL. 3° B'!AY52</f>
        <v>0</v>
      </c>
      <c r="Y48" s="529" t="str">
        <f>'VAL. 4° B'!J52</f>
        <v/>
      </c>
      <c r="Z48" s="526" t="str">
        <f>'VAL. 4° B'!Z52</f>
        <v/>
      </c>
      <c r="AA48" s="526" t="str">
        <f>'VAL. 4° B'!AP52</f>
        <v/>
      </c>
      <c r="AB48" s="526" t="str">
        <f>'VAL. 4° B'!AV52</f>
        <v/>
      </c>
      <c r="AC48" s="527">
        <f>'VAL. 4° B'!AW52</f>
        <v>0</v>
      </c>
      <c r="AD48" s="527">
        <f>'VAL. 4° B'!AX52</f>
        <v>0</v>
      </c>
      <c r="AE48" s="531">
        <f>'VAL. 4° B'!AY52</f>
        <v>0</v>
      </c>
      <c r="AF48" s="532">
        <f t="shared" si="0"/>
        <v>0</v>
      </c>
      <c r="AG48" s="533" t="b">
        <f t="shared" si="1"/>
        <v>0</v>
      </c>
      <c r="AH48" s="403"/>
    </row>
    <row r="49" spans="2:34" ht="16.5" thickBot="1" x14ac:dyDescent="0.3">
      <c r="B49" s="10">
        <v>35</v>
      </c>
      <c r="C49" s="524">
        <f>'C. FILIACION'!C48:D48</f>
        <v>0</v>
      </c>
      <c r="D49" s="525" t="str">
        <f>'VAL. 1° B'!J53</f>
        <v/>
      </c>
      <c r="E49" s="526" t="str">
        <f>'VAL. 1° B'!Z53</f>
        <v/>
      </c>
      <c r="F49" s="526" t="str">
        <f>'VAL. 1° B'!AP53</f>
        <v/>
      </c>
      <c r="G49" s="526" t="str">
        <f>'VAL. 1° B'!AV53</f>
        <v/>
      </c>
      <c r="H49" s="527">
        <f>'VAL. 1° B'!AW53</f>
        <v>0</v>
      </c>
      <c r="I49" s="527">
        <f>'VAL. 1° B'!AX53</f>
        <v>0</v>
      </c>
      <c r="J49" s="528">
        <f>'VAL. 1° B'!AY53</f>
        <v>0</v>
      </c>
      <c r="K49" s="529" t="str">
        <f>'VAL. 2° B'!J53</f>
        <v/>
      </c>
      <c r="L49" s="526" t="str">
        <f>'VAL. 2° B'!Z53</f>
        <v/>
      </c>
      <c r="M49" s="526" t="str">
        <f>'VAL. 2° B'!AP53</f>
        <v/>
      </c>
      <c r="N49" s="526" t="str">
        <f>'VAL. 2° B'!AV53</f>
        <v/>
      </c>
      <c r="O49" s="527">
        <f>'VAL. 2° B'!AW53</f>
        <v>0</v>
      </c>
      <c r="P49" s="527">
        <f>'VAL. 2° B'!AX53</f>
        <v>0</v>
      </c>
      <c r="Q49" s="530">
        <f>'VAL. 2° B'!AY53</f>
        <v>0</v>
      </c>
      <c r="R49" s="529" t="str">
        <f>'VAL. 3° B'!J53</f>
        <v/>
      </c>
      <c r="S49" s="526" t="str">
        <f>'VAL. 3° B'!Z53</f>
        <v/>
      </c>
      <c r="T49" s="526" t="str">
        <f>'VAL. 3° B'!AP53</f>
        <v/>
      </c>
      <c r="U49" s="526" t="str">
        <f>'VAL. 3° B'!AV53</f>
        <v/>
      </c>
      <c r="V49" s="527">
        <f>'VAL. 3° B'!AW53</f>
        <v>0</v>
      </c>
      <c r="W49" s="527">
        <f>'VAL. 3° B'!AX53</f>
        <v>0</v>
      </c>
      <c r="X49" s="530">
        <f>'VAL. 3° B'!AY53</f>
        <v>0</v>
      </c>
      <c r="Y49" s="529" t="str">
        <f>'VAL. 4° B'!J53</f>
        <v/>
      </c>
      <c r="Z49" s="526" t="str">
        <f>'VAL. 4° B'!Z53</f>
        <v/>
      </c>
      <c r="AA49" s="526" t="str">
        <f>'VAL. 4° B'!AP53</f>
        <v/>
      </c>
      <c r="AB49" s="526" t="str">
        <f>'VAL. 4° B'!AV53</f>
        <v/>
      </c>
      <c r="AC49" s="527">
        <f>'VAL. 4° B'!AW53</f>
        <v>0</v>
      </c>
      <c r="AD49" s="527">
        <f>'VAL. 4° B'!AX53</f>
        <v>0</v>
      </c>
      <c r="AE49" s="531">
        <f>'VAL. 4° B'!AY53</f>
        <v>0</v>
      </c>
      <c r="AF49" s="532">
        <f t="shared" si="0"/>
        <v>0</v>
      </c>
      <c r="AG49" s="533" t="b">
        <f t="shared" si="1"/>
        <v>0</v>
      </c>
      <c r="AH49" s="403"/>
    </row>
    <row r="50" spans="2:34" ht="16.5" thickBot="1" x14ac:dyDescent="0.3">
      <c r="B50" s="10">
        <v>36</v>
      </c>
      <c r="C50" s="524">
        <f>'C. FILIACION'!C49:D49</f>
        <v>0</v>
      </c>
      <c r="D50" s="525" t="str">
        <f>'VAL. 1° B'!J54</f>
        <v/>
      </c>
      <c r="E50" s="526" t="str">
        <f>'VAL. 1° B'!Z54</f>
        <v/>
      </c>
      <c r="F50" s="526" t="str">
        <f>'VAL. 1° B'!AP54</f>
        <v/>
      </c>
      <c r="G50" s="526" t="str">
        <f>'VAL. 1° B'!AV54</f>
        <v/>
      </c>
      <c r="H50" s="527">
        <f>'VAL. 1° B'!AW54</f>
        <v>0</v>
      </c>
      <c r="I50" s="527">
        <f>'VAL. 1° B'!AX54</f>
        <v>0</v>
      </c>
      <c r="J50" s="528">
        <f>'VAL. 1° B'!AY54</f>
        <v>0</v>
      </c>
      <c r="K50" s="529" t="str">
        <f>'VAL. 2° B'!J54</f>
        <v/>
      </c>
      <c r="L50" s="526" t="str">
        <f>'VAL. 2° B'!Z54</f>
        <v/>
      </c>
      <c r="M50" s="526" t="str">
        <f>'VAL. 2° B'!AP54</f>
        <v/>
      </c>
      <c r="N50" s="526" t="str">
        <f>'VAL. 2° B'!AV54</f>
        <v/>
      </c>
      <c r="O50" s="527">
        <f>'VAL. 2° B'!AW54</f>
        <v>0</v>
      </c>
      <c r="P50" s="527">
        <f>'VAL. 2° B'!AX54</f>
        <v>0</v>
      </c>
      <c r="Q50" s="530">
        <f>'VAL. 2° B'!AY54</f>
        <v>0</v>
      </c>
      <c r="R50" s="529" t="str">
        <f>'VAL. 3° B'!J54</f>
        <v/>
      </c>
      <c r="S50" s="526" t="str">
        <f>'VAL. 3° B'!Z54</f>
        <v/>
      </c>
      <c r="T50" s="526" t="str">
        <f>'VAL. 3° B'!AP54</f>
        <v/>
      </c>
      <c r="U50" s="526" t="str">
        <f>'VAL. 3° B'!AV54</f>
        <v/>
      </c>
      <c r="V50" s="527">
        <f>'VAL. 3° B'!AW54</f>
        <v>0</v>
      </c>
      <c r="W50" s="527">
        <f>'VAL. 3° B'!AX54</f>
        <v>0</v>
      </c>
      <c r="X50" s="530">
        <f>'VAL. 3° B'!AY54</f>
        <v>0</v>
      </c>
      <c r="Y50" s="529" t="str">
        <f>'VAL. 4° B'!J54</f>
        <v/>
      </c>
      <c r="Z50" s="526" t="str">
        <f>'VAL. 4° B'!Z54</f>
        <v/>
      </c>
      <c r="AA50" s="526" t="str">
        <f>'VAL. 4° B'!AP54</f>
        <v/>
      </c>
      <c r="AB50" s="526" t="str">
        <f>'VAL. 4° B'!AV54</f>
        <v/>
      </c>
      <c r="AC50" s="527">
        <f>'VAL. 4° B'!AW54</f>
        <v>0</v>
      </c>
      <c r="AD50" s="527">
        <f>'VAL. 4° B'!AX54</f>
        <v>0</v>
      </c>
      <c r="AE50" s="531">
        <f>'VAL. 4° B'!AY54</f>
        <v>0</v>
      </c>
      <c r="AF50" s="532">
        <f t="shared" si="0"/>
        <v>0</v>
      </c>
      <c r="AG50" s="533" t="b">
        <f t="shared" si="1"/>
        <v>0</v>
      </c>
      <c r="AH50" s="403"/>
    </row>
    <row r="51" spans="2:34" ht="16.5" thickBot="1" x14ac:dyDescent="0.3">
      <c r="B51" s="10">
        <v>37</v>
      </c>
      <c r="C51" s="524">
        <f>'C. FILIACION'!C50:D50</f>
        <v>0</v>
      </c>
      <c r="D51" s="525" t="str">
        <f>'VAL. 1° B'!J55</f>
        <v/>
      </c>
      <c r="E51" s="526" t="str">
        <f>'VAL. 1° B'!Z55</f>
        <v/>
      </c>
      <c r="F51" s="526" t="str">
        <f>'VAL. 1° B'!AP55</f>
        <v/>
      </c>
      <c r="G51" s="526" t="str">
        <f>'VAL. 1° B'!AV55</f>
        <v/>
      </c>
      <c r="H51" s="527">
        <f>'VAL. 1° B'!AW55</f>
        <v>0</v>
      </c>
      <c r="I51" s="527">
        <f>'VAL. 1° B'!AX55</f>
        <v>0</v>
      </c>
      <c r="J51" s="528">
        <f>'VAL. 1° B'!AY55</f>
        <v>0</v>
      </c>
      <c r="K51" s="529" t="str">
        <f>'VAL. 2° B'!J55</f>
        <v/>
      </c>
      <c r="L51" s="526" t="str">
        <f>'VAL. 2° B'!Z55</f>
        <v/>
      </c>
      <c r="M51" s="526" t="str">
        <f>'VAL. 2° B'!AP55</f>
        <v/>
      </c>
      <c r="N51" s="526" t="str">
        <f>'VAL. 2° B'!AV55</f>
        <v/>
      </c>
      <c r="O51" s="527">
        <f>'VAL. 2° B'!AW55</f>
        <v>0</v>
      </c>
      <c r="P51" s="527">
        <f>'VAL. 2° B'!AX55</f>
        <v>0</v>
      </c>
      <c r="Q51" s="530">
        <f>'VAL. 2° B'!AY55</f>
        <v>0</v>
      </c>
      <c r="R51" s="529" t="str">
        <f>'VAL. 3° B'!J55</f>
        <v/>
      </c>
      <c r="S51" s="526" t="str">
        <f>'VAL. 3° B'!Z55</f>
        <v/>
      </c>
      <c r="T51" s="526" t="str">
        <f>'VAL. 3° B'!AP55</f>
        <v/>
      </c>
      <c r="U51" s="526" t="str">
        <f>'VAL. 3° B'!AV55</f>
        <v/>
      </c>
      <c r="V51" s="527">
        <f>'VAL. 3° B'!AW55</f>
        <v>0</v>
      </c>
      <c r="W51" s="527">
        <f>'VAL. 3° B'!AX55</f>
        <v>0</v>
      </c>
      <c r="X51" s="530">
        <f>'VAL. 3° B'!AY55</f>
        <v>0</v>
      </c>
      <c r="Y51" s="529" t="str">
        <f>'VAL. 4° B'!J55</f>
        <v/>
      </c>
      <c r="Z51" s="526" t="str">
        <f>'VAL. 4° B'!Z55</f>
        <v/>
      </c>
      <c r="AA51" s="526" t="str">
        <f>'VAL. 4° B'!AP55</f>
        <v/>
      </c>
      <c r="AB51" s="526" t="str">
        <f>'VAL. 4° B'!AV55</f>
        <v/>
      </c>
      <c r="AC51" s="527">
        <f>'VAL. 4° B'!AW55</f>
        <v>0</v>
      </c>
      <c r="AD51" s="527">
        <f>'VAL. 4° B'!AX55</f>
        <v>0</v>
      </c>
      <c r="AE51" s="531">
        <f>'VAL. 4° B'!AY55</f>
        <v>0</v>
      </c>
      <c r="AF51" s="532">
        <f t="shared" si="0"/>
        <v>0</v>
      </c>
      <c r="AG51" s="533" t="b">
        <f t="shared" si="1"/>
        <v>0</v>
      </c>
      <c r="AH51" s="403"/>
    </row>
    <row r="52" spans="2:34" ht="16.5" thickBot="1" x14ac:dyDescent="0.3">
      <c r="B52" s="10">
        <v>38</v>
      </c>
      <c r="C52" s="524">
        <f>'C. FILIACION'!C51:D51</f>
        <v>0</v>
      </c>
      <c r="D52" s="525" t="str">
        <f>'VAL. 1° B'!J56</f>
        <v/>
      </c>
      <c r="E52" s="526" t="str">
        <f>'VAL. 1° B'!Z56</f>
        <v/>
      </c>
      <c r="F52" s="526" t="str">
        <f>'VAL. 1° B'!AP56</f>
        <v/>
      </c>
      <c r="G52" s="526" t="str">
        <f>'VAL. 1° B'!AV56</f>
        <v/>
      </c>
      <c r="H52" s="527">
        <f>'VAL. 1° B'!AW56</f>
        <v>0</v>
      </c>
      <c r="I52" s="527">
        <f>'VAL. 1° B'!AX56</f>
        <v>0</v>
      </c>
      <c r="J52" s="528">
        <f>'VAL. 1° B'!AY56</f>
        <v>0</v>
      </c>
      <c r="K52" s="529" t="str">
        <f>'VAL. 2° B'!J56</f>
        <v/>
      </c>
      <c r="L52" s="526" t="str">
        <f>'VAL. 2° B'!Z56</f>
        <v/>
      </c>
      <c r="M52" s="526" t="str">
        <f>'VAL. 2° B'!AP56</f>
        <v/>
      </c>
      <c r="N52" s="526" t="str">
        <f>'VAL. 2° B'!AV56</f>
        <v/>
      </c>
      <c r="O52" s="527">
        <f>'VAL. 2° B'!AW56</f>
        <v>0</v>
      </c>
      <c r="P52" s="527">
        <f>'VAL. 2° B'!AX56</f>
        <v>0</v>
      </c>
      <c r="Q52" s="530">
        <f>'VAL. 2° B'!AY56</f>
        <v>0</v>
      </c>
      <c r="R52" s="529" t="str">
        <f>'VAL. 3° B'!J56</f>
        <v/>
      </c>
      <c r="S52" s="526" t="str">
        <f>'VAL. 3° B'!Z56</f>
        <v/>
      </c>
      <c r="T52" s="526" t="str">
        <f>'VAL. 3° B'!AP56</f>
        <v/>
      </c>
      <c r="U52" s="526" t="str">
        <f>'VAL. 3° B'!AV56</f>
        <v/>
      </c>
      <c r="V52" s="527">
        <f>'VAL. 3° B'!AW56</f>
        <v>0</v>
      </c>
      <c r="W52" s="527">
        <f>'VAL. 3° B'!AX56</f>
        <v>0</v>
      </c>
      <c r="X52" s="530">
        <f>'VAL. 3° B'!AY56</f>
        <v>0</v>
      </c>
      <c r="Y52" s="529" t="str">
        <f>'VAL. 4° B'!J56</f>
        <v/>
      </c>
      <c r="Z52" s="526" t="str">
        <f>'VAL. 4° B'!Z56</f>
        <v/>
      </c>
      <c r="AA52" s="526" t="str">
        <f>'VAL. 4° B'!AP56</f>
        <v/>
      </c>
      <c r="AB52" s="526" t="str">
        <f>'VAL. 4° B'!AV56</f>
        <v/>
      </c>
      <c r="AC52" s="527">
        <f>'VAL. 4° B'!AW56</f>
        <v>0</v>
      </c>
      <c r="AD52" s="527">
        <f>'VAL. 4° B'!AX56</f>
        <v>0</v>
      </c>
      <c r="AE52" s="531">
        <f>'VAL. 4° B'!AY56</f>
        <v>0</v>
      </c>
      <c r="AF52" s="532">
        <f t="shared" si="0"/>
        <v>0</v>
      </c>
      <c r="AG52" s="533" t="b">
        <f t="shared" si="1"/>
        <v>0</v>
      </c>
      <c r="AH52" s="403"/>
    </row>
    <row r="53" spans="2:34" ht="16.5" thickBot="1" x14ac:dyDescent="0.3">
      <c r="B53" s="10">
        <v>39</v>
      </c>
      <c r="C53" s="524">
        <f>'C. FILIACION'!C52:D52</f>
        <v>0</v>
      </c>
      <c r="D53" s="525" t="str">
        <f>'VAL. 1° B'!J57</f>
        <v/>
      </c>
      <c r="E53" s="526" t="str">
        <f>'VAL. 1° B'!Z57</f>
        <v/>
      </c>
      <c r="F53" s="526" t="str">
        <f>'VAL. 1° B'!AP57</f>
        <v/>
      </c>
      <c r="G53" s="526" t="str">
        <f>'VAL. 1° B'!AV57</f>
        <v/>
      </c>
      <c r="H53" s="527">
        <f>'VAL. 1° B'!AW57</f>
        <v>0</v>
      </c>
      <c r="I53" s="527">
        <f>'VAL. 1° B'!AX57</f>
        <v>0</v>
      </c>
      <c r="J53" s="528">
        <f>'VAL. 1° B'!AY57</f>
        <v>0</v>
      </c>
      <c r="K53" s="529" t="str">
        <f>'VAL. 2° B'!J57</f>
        <v/>
      </c>
      <c r="L53" s="526" t="str">
        <f>'VAL. 2° B'!Z57</f>
        <v/>
      </c>
      <c r="M53" s="526" t="str">
        <f>'VAL. 2° B'!AP57</f>
        <v/>
      </c>
      <c r="N53" s="526" t="str">
        <f>'VAL. 2° B'!AV57</f>
        <v/>
      </c>
      <c r="O53" s="527">
        <f>'VAL. 2° B'!AW57</f>
        <v>0</v>
      </c>
      <c r="P53" s="527">
        <f>'VAL. 2° B'!AX57</f>
        <v>0</v>
      </c>
      <c r="Q53" s="530">
        <f>'VAL. 2° B'!AY57</f>
        <v>0</v>
      </c>
      <c r="R53" s="529" t="str">
        <f>'VAL. 3° B'!J57</f>
        <v/>
      </c>
      <c r="S53" s="526" t="str">
        <f>'VAL. 3° B'!Z57</f>
        <v/>
      </c>
      <c r="T53" s="526" t="str">
        <f>'VAL. 3° B'!AP57</f>
        <v/>
      </c>
      <c r="U53" s="526" t="str">
        <f>'VAL. 3° B'!AV57</f>
        <v/>
      </c>
      <c r="V53" s="527">
        <f>'VAL. 3° B'!AW57</f>
        <v>0</v>
      </c>
      <c r="W53" s="527">
        <f>'VAL. 3° B'!AX57</f>
        <v>0</v>
      </c>
      <c r="X53" s="530">
        <f>'VAL. 3° B'!AY57</f>
        <v>0</v>
      </c>
      <c r="Y53" s="529" t="str">
        <f>'VAL. 4° B'!J57</f>
        <v/>
      </c>
      <c r="Z53" s="526" t="str">
        <f>'VAL. 4° B'!Z57</f>
        <v/>
      </c>
      <c r="AA53" s="526" t="str">
        <f>'VAL. 4° B'!AP57</f>
        <v/>
      </c>
      <c r="AB53" s="526" t="str">
        <f>'VAL. 4° B'!AV57</f>
        <v/>
      </c>
      <c r="AC53" s="527">
        <f>'VAL. 4° B'!AW57</f>
        <v>0</v>
      </c>
      <c r="AD53" s="527">
        <f>'VAL. 4° B'!AX57</f>
        <v>0</v>
      </c>
      <c r="AE53" s="531">
        <f>'VAL. 4° B'!AY57</f>
        <v>0</v>
      </c>
      <c r="AF53" s="532">
        <f t="shared" si="0"/>
        <v>0</v>
      </c>
      <c r="AG53" s="533" t="b">
        <f t="shared" si="1"/>
        <v>0</v>
      </c>
      <c r="AH53" s="403"/>
    </row>
    <row r="54" spans="2:34" ht="16.5" thickBot="1" x14ac:dyDescent="0.3">
      <c r="B54" s="10">
        <v>40</v>
      </c>
      <c r="C54" s="524">
        <f>'C. FILIACION'!C53:D53</f>
        <v>0</v>
      </c>
      <c r="D54" s="525" t="str">
        <f>'VAL. 1° B'!J58</f>
        <v/>
      </c>
      <c r="E54" s="526" t="str">
        <f>'VAL. 1° B'!Z58</f>
        <v/>
      </c>
      <c r="F54" s="526" t="str">
        <f>'VAL. 1° B'!AP58</f>
        <v/>
      </c>
      <c r="G54" s="526" t="str">
        <f>'VAL. 1° B'!AV58</f>
        <v/>
      </c>
      <c r="H54" s="527">
        <f>'VAL. 1° B'!AW58</f>
        <v>0</v>
      </c>
      <c r="I54" s="527">
        <f>'VAL. 1° B'!AX58</f>
        <v>0</v>
      </c>
      <c r="J54" s="528">
        <f>'VAL. 1° B'!AY58</f>
        <v>0</v>
      </c>
      <c r="K54" s="529" t="str">
        <f>'VAL. 2° B'!J58</f>
        <v/>
      </c>
      <c r="L54" s="526" t="str">
        <f>'VAL. 2° B'!Z58</f>
        <v/>
      </c>
      <c r="M54" s="526" t="str">
        <f>'VAL. 2° B'!AP58</f>
        <v/>
      </c>
      <c r="N54" s="526" t="str">
        <f>'VAL. 2° B'!AV58</f>
        <v/>
      </c>
      <c r="O54" s="527">
        <f>'VAL. 2° B'!AW58</f>
        <v>0</v>
      </c>
      <c r="P54" s="527">
        <f>'VAL. 2° B'!AX58</f>
        <v>0</v>
      </c>
      <c r="Q54" s="530">
        <f>'VAL. 2° B'!AY58</f>
        <v>0</v>
      </c>
      <c r="R54" s="529" t="str">
        <f>'VAL. 3° B'!J58</f>
        <v/>
      </c>
      <c r="S54" s="526" t="str">
        <f>'VAL. 3° B'!Z58</f>
        <v/>
      </c>
      <c r="T54" s="526" t="str">
        <f>'VAL. 3° B'!AP58</f>
        <v/>
      </c>
      <c r="U54" s="526" t="str">
        <f>'VAL. 3° B'!AV58</f>
        <v/>
      </c>
      <c r="V54" s="527">
        <f>'VAL. 3° B'!AW58</f>
        <v>0</v>
      </c>
      <c r="W54" s="527">
        <f>'VAL. 3° B'!AX58</f>
        <v>0</v>
      </c>
      <c r="X54" s="530">
        <f>'VAL. 3° B'!AY58</f>
        <v>0</v>
      </c>
      <c r="Y54" s="529" t="str">
        <f>'VAL. 4° B'!J58</f>
        <v/>
      </c>
      <c r="Z54" s="526" t="str">
        <f>'VAL. 4° B'!Z58</f>
        <v/>
      </c>
      <c r="AA54" s="526" t="str">
        <f>'VAL. 4° B'!AP58</f>
        <v/>
      </c>
      <c r="AB54" s="526" t="str">
        <f>'VAL. 4° B'!AV58</f>
        <v/>
      </c>
      <c r="AC54" s="527">
        <f>'VAL. 4° B'!AW58</f>
        <v>0</v>
      </c>
      <c r="AD54" s="527">
        <f>'VAL. 4° B'!AX58</f>
        <v>0</v>
      </c>
      <c r="AE54" s="531">
        <f>'VAL. 4° B'!AY58</f>
        <v>0</v>
      </c>
      <c r="AF54" s="532">
        <f t="shared" si="0"/>
        <v>0</v>
      </c>
      <c r="AG54" s="533" t="b">
        <f t="shared" si="1"/>
        <v>0</v>
      </c>
      <c r="AH54" s="403"/>
    </row>
    <row r="55" spans="2:34" ht="16.5" thickBot="1" x14ac:dyDescent="0.3">
      <c r="B55" s="10">
        <v>41</v>
      </c>
      <c r="C55" s="524">
        <f>'C. FILIACION'!C54:D54</f>
        <v>0</v>
      </c>
      <c r="D55" s="525" t="str">
        <f>'VAL. 1° B'!J59</f>
        <v/>
      </c>
      <c r="E55" s="526" t="str">
        <f>'VAL. 1° B'!Z59</f>
        <v/>
      </c>
      <c r="F55" s="526" t="str">
        <f>'VAL. 1° B'!AP59</f>
        <v/>
      </c>
      <c r="G55" s="526" t="str">
        <f>'VAL. 1° B'!AV59</f>
        <v/>
      </c>
      <c r="H55" s="527">
        <f>'VAL. 1° B'!AW59</f>
        <v>0</v>
      </c>
      <c r="I55" s="527">
        <f>'VAL. 1° B'!AX59</f>
        <v>0</v>
      </c>
      <c r="J55" s="528">
        <f>'VAL. 1° B'!AY59</f>
        <v>0</v>
      </c>
      <c r="K55" s="529" t="str">
        <f>'VAL. 2° B'!J59</f>
        <v/>
      </c>
      <c r="L55" s="526" t="str">
        <f>'VAL. 2° B'!Z59</f>
        <v/>
      </c>
      <c r="M55" s="526" t="str">
        <f>'VAL. 2° B'!AP59</f>
        <v/>
      </c>
      <c r="N55" s="526" t="str">
        <f>'VAL. 2° B'!AV59</f>
        <v/>
      </c>
      <c r="O55" s="527">
        <f>'VAL. 2° B'!AW59</f>
        <v>0</v>
      </c>
      <c r="P55" s="527">
        <f>'VAL. 2° B'!AX59</f>
        <v>0</v>
      </c>
      <c r="Q55" s="530">
        <f>'VAL. 2° B'!AY59</f>
        <v>0</v>
      </c>
      <c r="R55" s="529" t="str">
        <f>'VAL. 3° B'!J59</f>
        <v/>
      </c>
      <c r="S55" s="526" t="str">
        <f>'VAL. 3° B'!Z59</f>
        <v/>
      </c>
      <c r="T55" s="526" t="str">
        <f>'VAL. 3° B'!AP59</f>
        <v/>
      </c>
      <c r="U55" s="526" t="str">
        <f>'VAL. 3° B'!AV59</f>
        <v/>
      </c>
      <c r="V55" s="527">
        <f>'VAL. 3° B'!AW59</f>
        <v>0</v>
      </c>
      <c r="W55" s="527">
        <f>'VAL. 3° B'!AX59</f>
        <v>0</v>
      </c>
      <c r="X55" s="530">
        <f>'VAL. 3° B'!AY59</f>
        <v>0</v>
      </c>
      <c r="Y55" s="529" t="str">
        <f>'VAL. 4° B'!J59</f>
        <v/>
      </c>
      <c r="Z55" s="526" t="str">
        <f>'VAL. 4° B'!Z59</f>
        <v/>
      </c>
      <c r="AA55" s="526" t="str">
        <f>'VAL. 4° B'!AP59</f>
        <v/>
      </c>
      <c r="AB55" s="526" t="str">
        <f>'VAL. 4° B'!AV59</f>
        <v/>
      </c>
      <c r="AC55" s="527">
        <f>'VAL. 4° B'!AW59</f>
        <v>0</v>
      </c>
      <c r="AD55" s="527">
        <f>'VAL. 4° B'!AX59</f>
        <v>0</v>
      </c>
      <c r="AE55" s="531">
        <f>'VAL. 4° B'!AY59</f>
        <v>0</v>
      </c>
      <c r="AF55" s="532">
        <f t="shared" si="0"/>
        <v>0</v>
      </c>
      <c r="AG55" s="533" t="b">
        <f t="shared" si="1"/>
        <v>0</v>
      </c>
      <c r="AH55" s="403"/>
    </row>
    <row r="56" spans="2:34" ht="16.5" thickBot="1" x14ac:dyDescent="0.3">
      <c r="B56" s="10">
        <v>42</v>
      </c>
      <c r="C56" s="524">
        <f>'C. FILIACION'!C55:D55</f>
        <v>0</v>
      </c>
      <c r="D56" s="525" t="str">
        <f>'VAL. 1° B'!J60</f>
        <v/>
      </c>
      <c r="E56" s="526" t="str">
        <f>'VAL. 1° B'!Z60</f>
        <v/>
      </c>
      <c r="F56" s="526" t="str">
        <f>'VAL. 1° B'!AP60</f>
        <v/>
      </c>
      <c r="G56" s="526" t="str">
        <f>'VAL. 1° B'!AV60</f>
        <v/>
      </c>
      <c r="H56" s="527">
        <f>'VAL. 1° B'!AW60</f>
        <v>0</v>
      </c>
      <c r="I56" s="527">
        <f>'VAL. 1° B'!AX60</f>
        <v>0</v>
      </c>
      <c r="J56" s="528">
        <f>'VAL. 1° B'!AY60</f>
        <v>0</v>
      </c>
      <c r="K56" s="529" t="str">
        <f>'VAL. 2° B'!J60</f>
        <v/>
      </c>
      <c r="L56" s="526" t="str">
        <f>'VAL. 2° B'!Z60</f>
        <v/>
      </c>
      <c r="M56" s="526" t="str">
        <f>'VAL. 2° B'!AP60</f>
        <v/>
      </c>
      <c r="N56" s="526" t="str">
        <f>'VAL. 2° B'!AV60</f>
        <v/>
      </c>
      <c r="O56" s="527">
        <f>'VAL. 2° B'!AW60</f>
        <v>0</v>
      </c>
      <c r="P56" s="527">
        <f>'VAL. 2° B'!AX60</f>
        <v>0</v>
      </c>
      <c r="Q56" s="530">
        <f>'VAL. 2° B'!AY60</f>
        <v>0</v>
      </c>
      <c r="R56" s="529" t="str">
        <f>'VAL. 3° B'!J60</f>
        <v/>
      </c>
      <c r="S56" s="526" t="str">
        <f>'VAL. 3° B'!Z60</f>
        <v/>
      </c>
      <c r="T56" s="526" t="str">
        <f>'VAL. 3° B'!AP60</f>
        <v/>
      </c>
      <c r="U56" s="526" t="str">
        <f>'VAL. 3° B'!AV60</f>
        <v/>
      </c>
      <c r="V56" s="527">
        <f>'VAL. 3° B'!AW60</f>
        <v>0</v>
      </c>
      <c r="W56" s="527">
        <f>'VAL. 3° B'!AX60</f>
        <v>0</v>
      </c>
      <c r="X56" s="530">
        <f>'VAL. 3° B'!AY60</f>
        <v>0</v>
      </c>
      <c r="Y56" s="529" t="str">
        <f>'VAL. 4° B'!J60</f>
        <v/>
      </c>
      <c r="Z56" s="526" t="str">
        <f>'VAL. 4° B'!Z60</f>
        <v/>
      </c>
      <c r="AA56" s="526" t="str">
        <f>'VAL. 4° B'!AP60</f>
        <v/>
      </c>
      <c r="AB56" s="526" t="str">
        <f>'VAL. 4° B'!AV60</f>
        <v/>
      </c>
      <c r="AC56" s="527">
        <f>'VAL. 4° B'!AW60</f>
        <v>0</v>
      </c>
      <c r="AD56" s="527">
        <f>'VAL. 4° B'!AX60</f>
        <v>0</v>
      </c>
      <c r="AE56" s="531">
        <f>'VAL. 4° B'!AY60</f>
        <v>0</v>
      </c>
      <c r="AF56" s="532">
        <f t="shared" si="0"/>
        <v>0</v>
      </c>
      <c r="AG56" s="533" t="b">
        <f t="shared" si="1"/>
        <v>0</v>
      </c>
      <c r="AH56" s="403"/>
    </row>
    <row r="57" spans="2:34" ht="16.5" thickBot="1" x14ac:dyDescent="0.3">
      <c r="B57" s="10">
        <v>43</v>
      </c>
      <c r="C57" s="524">
        <f>'C. FILIACION'!C56:D56</f>
        <v>0</v>
      </c>
      <c r="D57" s="525" t="str">
        <f>'VAL. 1° B'!J61</f>
        <v/>
      </c>
      <c r="E57" s="526" t="str">
        <f>'VAL. 1° B'!Z61</f>
        <v/>
      </c>
      <c r="F57" s="526" t="str">
        <f>'VAL. 1° B'!AP61</f>
        <v/>
      </c>
      <c r="G57" s="526" t="str">
        <f>'VAL. 1° B'!AV61</f>
        <v/>
      </c>
      <c r="H57" s="527">
        <f>'VAL. 1° B'!AW61</f>
        <v>0</v>
      </c>
      <c r="I57" s="527">
        <f>'VAL. 1° B'!AX61</f>
        <v>0</v>
      </c>
      <c r="J57" s="528">
        <f>'VAL. 1° B'!AY61</f>
        <v>0</v>
      </c>
      <c r="K57" s="529" t="str">
        <f>'VAL. 2° B'!J61</f>
        <v/>
      </c>
      <c r="L57" s="526" t="str">
        <f>'VAL. 2° B'!Z61</f>
        <v/>
      </c>
      <c r="M57" s="526" t="str">
        <f>'VAL. 2° B'!AP61</f>
        <v/>
      </c>
      <c r="N57" s="526" t="str">
        <f>'VAL. 2° B'!AV61</f>
        <v/>
      </c>
      <c r="O57" s="527">
        <f>'VAL. 2° B'!AW61</f>
        <v>0</v>
      </c>
      <c r="P57" s="527">
        <f>'VAL. 2° B'!AX61</f>
        <v>0</v>
      </c>
      <c r="Q57" s="530">
        <f>'VAL. 2° B'!AY61</f>
        <v>0</v>
      </c>
      <c r="R57" s="529" t="str">
        <f>'VAL. 3° B'!J61</f>
        <v/>
      </c>
      <c r="S57" s="526" t="str">
        <f>'VAL. 3° B'!Z61</f>
        <v/>
      </c>
      <c r="T57" s="526" t="str">
        <f>'VAL. 3° B'!AP61</f>
        <v/>
      </c>
      <c r="U57" s="526" t="str">
        <f>'VAL. 3° B'!AV61</f>
        <v/>
      </c>
      <c r="V57" s="527">
        <f>'VAL. 3° B'!AW61</f>
        <v>0</v>
      </c>
      <c r="W57" s="527">
        <f>'VAL. 3° B'!AX61</f>
        <v>0</v>
      </c>
      <c r="X57" s="530">
        <f>'VAL. 3° B'!AY61</f>
        <v>0</v>
      </c>
      <c r="Y57" s="529" t="str">
        <f>'VAL. 4° B'!J61</f>
        <v/>
      </c>
      <c r="Z57" s="526" t="str">
        <f>'VAL. 4° B'!Z61</f>
        <v/>
      </c>
      <c r="AA57" s="526" t="str">
        <f>'VAL. 4° B'!AP61</f>
        <v/>
      </c>
      <c r="AB57" s="526" t="str">
        <f>'VAL. 4° B'!AV61</f>
        <v/>
      </c>
      <c r="AC57" s="527">
        <f>'VAL. 4° B'!AW61</f>
        <v>0</v>
      </c>
      <c r="AD57" s="527">
        <f>'VAL. 4° B'!AX61</f>
        <v>0</v>
      </c>
      <c r="AE57" s="531">
        <f>'VAL. 4° B'!AY61</f>
        <v>0</v>
      </c>
      <c r="AF57" s="532">
        <f t="shared" si="0"/>
        <v>0</v>
      </c>
      <c r="AG57" s="533" t="b">
        <f t="shared" si="1"/>
        <v>0</v>
      </c>
      <c r="AH57" s="403"/>
    </row>
    <row r="58" spans="2:34" ht="16.5" thickBot="1" x14ac:dyDescent="0.3">
      <c r="B58" s="10">
        <v>44</v>
      </c>
      <c r="C58" s="524">
        <f>'C. FILIACION'!C57:D57</f>
        <v>0</v>
      </c>
      <c r="D58" s="525" t="str">
        <f>'VAL. 1° B'!J62</f>
        <v/>
      </c>
      <c r="E58" s="526" t="str">
        <f>'VAL. 1° B'!Z62</f>
        <v/>
      </c>
      <c r="F58" s="526" t="str">
        <f>'VAL. 1° B'!AP62</f>
        <v/>
      </c>
      <c r="G58" s="526" t="str">
        <f>'VAL. 1° B'!AV62</f>
        <v/>
      </c>
      <c r="H58" s="527">
        <f>'VAL. 1° B'!AW62</f>
        <v>0</v>
      </c>
      <c r="I58" s="527">
        <f>'VAL. 1° B'!AX62</f>
        <v>0</v>
      </c>
      <c r="J58" s="528">
        <f>'VAL. 1° B'!AY62</f>
        <v>0</v>
      </c>
      <c r="K58" s="529" t="str">
        <f>'VAL. 2° B'!J62</f>
        <v/>
      </c>
      <c r="L58" s="526" t="str">
        <f>'VAL. 2° B'!Z62</f>
        <v/>
      </c>
      <c r="M58" s="526" t="str">
        <f>'VAL. 2° B'!AP62</f>
        <v/>
      </c>
      <c r="N58" s="526" t="str">
        <f>'VAL. 2° B'!AV62</f>
        <v/>
      </c>
      <c r="O58" s="527">
        <f>'VAL. 2° B'!AW62</f>
        <v>0</v>
      </c>
      <c r="P58" s="527">
        <f>'VAL. 2° B'!AX62</f>
        <v>0</v>
      </c>
      <c r="Q58" s="530">
        <f>'VAL. 2° B'!AY62</f>
        <v>0</v>
      </c>
      <c r="R58" s="529" t="str">
        <f>'VAL. 3° B'!J62</f>
        <v/>
      </c>
      <c r="S58" s="526" t="str">
        <f>'VAL. 3° B'!Z62</f>
        <v/>
      </c>
      <c r="T58" s="526" t="str">
        <f>'VAL. 3° B'!AP62</f>
        <v/>
      </c>
      <c r="U58" s="526" t="str">
        <f>'VAL. 3° B'!AV62</f>
        <v/>
      </c>
      <c r="V58" s="527">
        <f>'VAL. 3° B'!AW62</f>
        <v>0</v>
      </c>
      <c r="W58" s="527">
        <f>'VAL. 3° B'!AX62</f>
        <v>0</v>
      </c>
      <c r="X58" s="530">
        <f>'VAL. 3° B'!AY62</f>
        <v>0</v>
      </c>
      <c r="Y58" s="529" t="str">
        <f>'VAL. 4° B'!J62</f>
        <v/>
      </c>
      <c r="Z58" s="526" t="str">
        <f>'VAL. 4° B'!Z62</f>
        <v/>
      </c>
      <c r="AA58" s="526" t="str">
        <f>'VAL. 4° B'!AP62</f>
        <v/>
      </c>
      <c r="AB58" s="526" t="str">
        <f>'VAL. 4° B'!AV62</f>
        <v/>
      </c>
      <c r="AC58" s="527">
        <f>'VAL. 4° B'!AW62</f>
        <v>0</v>
      </c>
      <c r="AD58" s="527">
        <f>'VAL. 4° B'!AX62</f>
        <v>0</v>
      </c>
      <c r="AE58" s="531">
        <f>'VAL. 4° B'!AY62</f>
        <v>0</v>
      </c>
      <c r="AF58" s="532">
        <f t="shared" si="0"/>
        <v>0</v>
      </c>
      <c r="AG58" s="533" t="b">
        <f t="shared" si="1"/>
        <v>0</v>
      </c>
      <c r="AH58" s="403"/>
    </row>
    <row r="59" spans="2:34" ht="16.5" thickBot="1" x14ac:dyDescent="0.3">
      <c r="B59" s="11">
        <v>45</v>
      </c>
      <c r="C59" s="534">
        <f>'C. FILIACION'!C58:D58</f>
        <v>0</v>
      </c>
      <c r="D59" s="535" t="str">
        <f>'VAL. 1° B'!J63</f>
        <v/>
      </c>
      <c r="E59" s="536" t="str">
        <f>'VAL. 1° B'!Z63</f>
        <v/>
      </c>
      <c r="F59" s="536" t="str">
        <f>'VAL. 1° B'!AP63</f>
        <v/>
      </c>
      <c r="G59" s="536" t="str">
        <f>'VAL. 1° B'!AV63</f>
        <v/>
      </c>
      <c r="H59" s="537">
        <f>'VAL. 1° B'!AW63</f>
        <v>0</v>
      </c>
      <c r="I59" s="537">
        <f>'VAL. 1° B'!AX63</f>
        <v>0</v>
      </c>
      <c r="J59" s="530">
        <f>'VAL. 1° B'!AY63</f>
        <v>0</v>
      </c>
      <c r="K59" s="538" t="str">
        <f>'VAL. 2° B'!J63</f>
        <v/>
      </c>
      <c r="L59" s="536" t="str">
        <f>'VAL. 2° B'!Z63</f>
        <v/>
      </c>
      <c r="M59" s="536" t="str">
        <f>'VAL. 2° B'!AP63</f>
        <v/>
      </c>
      <c r="N59" s="536" t="str">
        <f>'VAL. 2° B'!AV63</f>
        <v/>
      </c>
      <c r="O59" s="537">
        <f>'VAL. 2° B'!AW63</f>
        <v>0</v>
      </c>
      <c r="P59" s="537">
        <f>'VAL. 2° B'!AX63</f>
        <v>0</v>
      </c>
      <c r="Q59" s="530">
        <f>'VAL. 2° B'!AY63</f>
        <v>0</v>
      </c>
      <c r="R59" s="538" t="str">
        <f>'VAL. 3° B'!J63</f>
        <v/>
      </c>
      <c r="S59" s="536" t="str">
        <f>'VAL. 3° B'!Z63</f>
        <v/>
      </c>
      <c r="T59" s="536" t="str">
        <f>'VAL. 3° B'!AP63</f>
        <v/>
      </c>
      <c r="U59" s="536" t="str">
        <f>'VAL. 3° B'!AV63</f>
        <v/>
      </c>
      <c r="V59" s="537">
        <f>'VAL. 3° B'!AW63</f>
        <v>0</v>
      </c>
      <c r="W59" s="537">
        <f>'VAL. 3° B'!AX63</f>
        <v>0</v>
      </c>
      <c r="X59" s="530">
        <f>'VAL. 3° B'!AY63</f>
        <v>0</v>
      </c>
      <c r="Y59" s="538" t="str">
        <f>'VAL. 4° B'!J63</f>
        <v/>
      </c>
      <c r="Z59" s="536" t="str">
        <f>'VAL. 4° B'!Z63</f>
        <v/>
      </c>
      <c r="AA59" s="536" t="str">
        <f>'VAL. 4° B'!AP63</f>
        <v/>
      </c>
      <c r="AB59" s="536" t="str">
        <f>'VAL. 4° B'!AV63</f>
        <v/>
      </c>
      <c r="AC59" s="537">
        <f>'VAL. 4° B'!AW63</f>
        <v>0</v>
      </c>
      <c r="AD59" s="537">
        <f>'VAL. 4° B'!AX63</f>
        <v>0</v>
      </c>
      <c r="AE59" s="531">
        <f>'VAL. 4° B'!AY63</f>
        <v>0</v>
      </c>
      <c r="AF59" s="532">
        <f t="shared" si="0"/>
        <v>0</v>
      </c>
      <c r="AG59" s="533" t="b">
        <f t="shared" si="1"/>
        <v>0</v>
      </c>
      <c r="AH59" s="403"/>
    </row>
    <row r="60" spans="2:34" x14ac:dyDescent="0.25"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</row>
    <row r="61" spans="2:34" x14ac:dyDescent="0.25"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</row>
    <row r="62" spans="2:34" ht="15.75" thickBot="1" x14ac:dyDescent="0.3"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</row>
    <row r="63" spans="2:34" x14ac:dyDescent="0.25">
      <c r="B63" s="1"/>
      <c r="C63" s="1"/>
      <c r="D63" s="729">
        <f>CARATULA!G22</f>
        <v>0</v>
      </c>
      <c r="E63" s="729"/>
      <c r="F63" s="729"/>
      <c r="G63" s="729"/>
      <c r="H63" s="729"/>
      <c r="I63" s="729"/>
      <c r="J63" s="729"/>
      <c r="K63" s="729"/>
      <c r="L63" s="1"/>
      <c r="M63" s="1"/>
      <c r="N63" s="1"/>
      <c r="O63" s="1"/>
      <c r="P63" s="1"/>
      <c r="Q63" s="1"/>
      <c r="R63" s="729">
        <f>CARATULA!G24</f>
        <v>0</v>
      </c>
      <c r="S63" s="729"/>
      <c r="T63" s="729"/>
      <c r="U63" s="729"/>
      <c r="V63" s="729"/>
      <c r="W63" s="729"/>
      <c r="X63" s="729"/>
      <c r="Y63" s="729"/>
      <c r="Z63" s="1"/>
      <c r="AA63" s="1"/>
      <c r="AB63" s="1"/>
      <c r="AC63" s="1"/>
      <c r="AD63" s="1"/>
      <c r="AE63" s="1"/>
      <c r="AF63" s="1"/>
      <c r="AG63" s="1"/>
    </row>
  </sheetData>
  <sheetProtection password="D989" sheet="1" objects="1" scenarios="1"/>
  <mergeCells count="31">
    <mergeCell ref="AG12:AG14"/>
    <mergeCell ref="H13:I13"/>
    <mergeCell ref="J13:J14"/>
    <mergeCell ref="K13:N13"/>
    <mergeCell ref="O13:P13"/>
    <mergeCell ref="Q13:Q14"/>
    <mergeCell ref="R13:U13"/>
    <mergeCell ref="V13:W13"/>
    <mergeCell ref="X13:X14"/>
    <mergeCell ref="Y13:AB13"/>
    <mergeCell ref="AC13:AD13"/>
    <mergeCell ref="AE13:AE14"/>
    <mergeCell ref="B12:B14"/>
    <mergeCell ref="C12:C14"/>
    <mergeCell ref="D12:J12"/>
    <mergeCell ref="K12:Q12"/>
    <mergeCell ref="R12:X12"/>
    <mergeCell ref="D13:G13"/>
    <mergeCell ref="B2:AA2"/>
    <mergeCell ref="AB2:AG2"/>
    <mergeCell ref="S9:T9"/>
    <mergeCell ref="U9:V9"/>
    <mergeCell ref="W9:X9"/>
    <mergeCell ref="Y9:Z9"/>
    <mergeCell ref="D63:K63"/>
    <mergeCell ref="R63:Y63"/>
    <mergeCell ref="Y12:AE12"/>
    <mergeCell ref="S10:Z10"/>
    <mergeCell ref="AB9:AF9"/>
    <mergeCell ref="AB10:AF10"/>
    <mergeCell ref="AF12:AF14"/>
  </mergeCells>
  <conditionalFormatting sqref="AG15:AG59">
    <cfRule type="containsText" dxfId="14" priority="1" operator="containsText" text="falso">
      <formula>NOT(ISERROR(SEARCH("falso",AG15)))</formula>
    </cfRule>
    <cfRule type="containsText" dxfId="13" priority="8" operator="containsText" text="REPROBADO">
      <formula>NOT(ISERROR(SEARCH("REPROBADO",AG15)))</formula>
    </cfRule>
  </conditionalFormatting>
  <conditionalFormatting sqref="J15:J59">
    <cfRule type="cellIs" dxfId="12" priority="7" operator="lessThanOrEqual">
      <formula>50.4444</formula>
    </cfRule>
  </conditionalFormatting>
  <conditionalFormatting sqref="Q15:Q59">
    <cfRule type="cellIs" dxfId="11" priority="5" operator="lessThanOrEqual">
      <formula>50.4444</formula>
    </cfRule>
  </conditionalFormatting>
  <conditionalFormatting sqref="X15:X59">
    <cfRule type="cellIs" dxfId="10" priority="4" operator="lessThanOrEqual">
      <formula>50.4444</formula>
    </cfRule>
  </conditionalFormatting>
  <conditionalFormatting sqref="AE15:AE59">
    <cfRule type="cellIs" dxfId="9" priority="3" operator="lessThanOrEqual">
      <formula>50.4444</formula>
    </cfRule>
  </conditionalFormatting>
  <conditionalFormatting sqref="AF15:AF59">
    <cfRule type="cellIs" dxfId="8" priority="2" operator="lessThanOrEqual">
      <formula>50.499</formula>
    </cfRule>
  </conditionalFormatting>
  <pageMargins left="0.25" right="0.25" top="0.75" bottom="0.75" header="0.3" footer="0.3"/>
  <pageSetup scale="65" orientation="portrait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5">
    <tabColor rgb="FF00B050"/>
    <pageSetUpPr fitToPage="1"/>
  </sheetPr>
  <dimension ref="B2:O37"/>
  <sheetViews>
    <sheetView showZeros="0" zoomScale="80" zoomScaleNormal="80" workbookViewId="0">
      <selection activeCell="B3" sqref="B3"/>
    </sheetView>
  </sheetViews>
  <sheetFormatPr baseColWidth="10" defaultColWidth="11.42578125" defaultRowHeight="15" x14ac:dyDescent="0.25"/>
  <cols>
    <col min="1" max="1" width="8.28515625" style="2" customWidth="1"/>
    <col min="2" max="2" width="2.7109375" style="2" customWidth="1"/>
    <col min="3" max="3" width="18.7109375" style="2" customWidth="1"/>
    <col min="4" max="11" width="6.7109375" style="2" customWidth="1"/>
    <col min="12" max="12" width="11.7109375" style="2" customWidth="1"/>
    <col min="13" max="13" width="2.140625" style="2" customWidth="1"/>
    <col min="14" max="14" width="6.7109375" style="2" customWidth="1"/>
    <col min="15" max="15" width="29.85546875" style="2" customWidth="1"/>
    <col min="16" max="29" width="6.7109375" style="2" customWidth="1"/>
    <col min="30" max="16384" width="11.42578125" style="2"/>
  </cols>
  <sheetData>
    <row r="2" spans="2:13" x14ac:dyDescent="0.25"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</row>
    <row r="3" spans="2:13" ht="15.75" x14ac:dyDescent="0.25">
      <c r="B3" s="3"/>
      <c r="C3" s="761" t="s">
        <v>218</v>
      </c>
      <c r="D3" s="761"/>
      <c r="E3" s="761"/>
      <c r="F3" s="761"/>
      <c r="G3" s="761"/>
      <c r="H3" s="761"/>
      <c r="I3" s="761"/>
      <c r="J3" s="761"/>
      <c r="K3" s="761"/>
      <c r="L3" s="761"/>
      <c r="M3" s="3"/>
    </row>
    <row r="4" spans="2:13" x14ac:dyDescent="0.25">
      <c r="B4" s="3"/>
      <c r="C4" s="3"/>
      <c r="D4" s="3"/>
      <c r="E4" s="3"/>
      <c r="F4" s="3"/>
      <c r="G4" s="3"/>
      <c r="H4" s="3"/>
      <c r="I4" s="3"/>
      <c r="J4" s="3"/>
      <c r="K4" s="3"/>
      <c r="L4" s="3"/>
      <c r="M4" s="3"/>
    </row>
    <row r="5" spans="2:13" ht="29.25" customHeight="1" x14ac:dyDescent="0.25">
      <c r="B5" s="3"/>
      <c r="C5" s="7"/>
      <c r="D5" s="237">
        <v>12</v>
      </c>
      <c r="E5" s="237">
        <f>D5+1</f>
        <v>13</v>
      </c>
      <c r="F5" s="237">
        <f t="shared" ref="F5:K5" si="0">E5+1</f>
        <v>14</v>
      </c>
      <c r="G5" s="237">
        <f t="shared" si="0"/>
        <v>15</v>
      </c>
      <c r="H5" s="237">
        <f t="shared" si="0"/>
        <v>16</v>
      </c>
      <c r="I5" s="237">
        <f t="shared" si="0"/>
        <v>17</v>
      </c>
      <c r="J5" s="237">
        <f t="shared" si="0"/>
        <v>18</v>
      </c>
      <c r="K5" s="237">
        <f t="shared" si="0"/>
        <v>19</v>
      </c>
      <c r="L5" s="237" t="s">
        <v>42</v>
      </c>
      <c r="M5" s="3"/>
    </row>
    <row r="6" spans="2:13" x14ac:dyDescent="0.25">
      <c r="B6" s="3"/>
      <c r="C6" s="236" t="s">
        <v>30</v>
      </c>
      <c r="D6" s="8">
        <f ca="1">COUNTIFS('C. FILIACION'!I14:I58,"12",'C. FILIACION'!E14:E58,"F")</f>
        <v>0</v>
      </c>
      <c r="E6" s="8">
        <f ca="1">COUNTIFS('C. FILIACION'!I14:I58,"13",'C. FILIACION'!E14:E58,"F")</f>
        <v>0</v>
      </c>
      <c r="F6" s="8">
        <f ca="1">COUNTIFS('C. FILIACION'!I14:I58,"14",'C. FILIACION'!E14:E58,"F")</f>
        <v>0</v>
      </c>
      <c r="G6" s="8">
        <f ca="1">COUNTIFS('C. FILIACION'!I14:I58,"15",'C. FILIACION'!E14:E58,"F")</f>
        <v>0</v>
      </c>
      <c r="H6" s="8">
        <f ca="1">COUNTIFS('C. FILIACION'!I14:I58,"16",'C. FILIACION'!E14:E58,"F")</f>
        <v>0</v>
      </c>
      <c r="I6" s="8">
        <f ca="1">COUNTIFS('C. FILIACION'!I14:I58,"17",'C. FILIACION'!E14:E58,"F")</f>
        <v>0</v>
      </c>
      <c r="J6" s="8">
        <f ca="1">COUNTIFS('C. FILIACION'!I14:I58,"18",'C. FILIACION'!E14:E58,"F")</f>
        <v>0</v>
      </c>
      <c r="K6" s="8">
        <f ca="1">COUNTIFS('C. FILIACION'!I14:I58,"19",'C. FILIACION'!E14:E58,"F")</f>
        <v>0</v>
      </c>
      <c r="L6" s="6">
        <f ca="1">SUM(D6:K6)</f>
        <v>0</v>
      </c>
      <c r="M6" s="3"/>
    </row>
    <row r="7" spans="2:13" x14ac:dyDescent="0.25">
      <c r="B7" s="3"/>
      <c r="C7" s="236" t="s">
        <v>29</v>
      </c>
      <c r="D7" s="8">
        <f ca="1">COUNTIFS('C. FILIACION'!I14:I58,"12",'C. FILIACION'!E14:E58,"M")</f>
        <v>0</v>
      </c>
      <c r="E7" s="8">
        <f ca="1">COUNTIFS('C. FILIACION'!I14:I58,"13",'C. FILIACION'!E14:E58,"M")</f>
        <v>0</v>
      </c>
      <c r="F7" s="8">
        <f ca="1">COUNTIFS('C. FILIACION'!I14:I58,"14",'C. FILIACION'!E14:E58,"M")</f>
        <v>0</v>
      </c>
      <c r="G7" s="8">
        <f ca="1">COUNTIFS('C. FILIACION'!I14:I58,"15",'C. FILIACION'!E14:E58,"M")</f>
        <v>0</v>
      </c>
      <c r="H7" s="8">
        <f ca="1">COUNTIFS('C. FILIACION'!I14:I58,"16",'C. FILIACION'!E14:E58,"M")</f>
        <v>0</v>
      </c>
      <c r="I7" s="8">
        <f ca="1">COUNTIFS('C. FILIACION'!I14:I58,"17",'C. FILIACION'!E14:E58,"M")</f>
        <v>0</v>
      </c>
      <c r="J7" s="8">
        <f ca="1">COUNTIFS('C. FILIACION'!I14:I58,"18",'C. FILIACION'!E14:E58,"M")</f>
        <v>0</v>
      </c>
      <c r="K7" s="8">
        <f ca="1">COUNTIFS('C. FILIACION'!I14:I58,"19",'C. FILIACION'!E14:E58,"M")</f>
        <v>0</v>
      </c>
      <c r="L7" s="6">
        <f ca="1">SUM(D7:K7)</f>
        <v>0</v>
      </c>
      <c r="M7" s="3"/>
    </row>
    <row r="8" spans="2:13" x14ac:dyDescent="0.25">
      <c r="B8" s="3"/>
      <c r="C8" s="236" t="s">
        <v>42</v>
      </c>
      <c r="D8" s="6">
        <f ca="1">D6+D7</f>
        <v>0</v>
      </c>
      <c r="E8" s="6">
        <f t="shared" ref="E8:K8" ca="1" si="1">E6+E7</f>
        <v>0</v>
      </c>
      <c r="F8" s="6">
        <f t="shared" ca="1" si="1"/>
        <v>0</v>
      </c>
      <c r="G8" s="6">
        <f t="shared" ca="1" si="1"/>
        <v>0</v>
      </c>
      <c r="H8" s="6">
        <f t="shared" ca="1" si="1"/>
        <v>0</v>
      </c>
      <c r="I8" s="6">
        <f t="shared" ca="1" si="1"/>
        <v>0</v>
      </c>
      <c r="J8" s="6">
        <f t="shared" ca="1" si="1"/>
        <v>0</v>
      </c>
      <c r="K8" s="6">
        <f t="shared" ca="1" si="1"/>
        <v>0</v>
      </c>
      <c r="L8" s="6">
        <f ca="1">L6+L7</f>
        <v>0</v>
      </c>
      <c r="M8" s="3"/>
    </row>
    <row r="9" spans="2:13" x14ac:dyDescent="0.25">
      <c r="B9" s="3"/>
      <c r="C9" s="3"/>
      <c r="D9" s="3"/>
      <c r="E9" s="3"/>
      <c r="F9" s="3"/>
      <c r="G9" s="3"/>
      <c r="H9" s="3"/>
      <c r="I9" s="3"/>
      <c r="J9" s="3"/>
      <c r="K9" s="3"/>
      <c r="L9" s="3"/>
      <c r="M9" s="3"/>
    </row>
    <row r="10" spans="2:13" ht="15.75" x14ac:dyDescent="0.25">
      <c r="B10" s="3"/>
      <c r="C10" s="765" t="s">
        <v>209</v>
      </c>
      <c r="D10" s="765"/>
      <c r="E10" s="765"/>
      <c r="F10" s="765"/>
      <c r="G10" s="765"/>
      <c r="H10" s="765"/>
      <c r="I10" s="765"/>
      <c r="J10" s="765"/>
      <c r="K10" s="765"/>
      <c r="L10" s="765"/>
      <c r="M10" s="3"/>
    </row>
    <row r="11" spans="2:13" x14ac:dyDescent="0.25">
      <c r="B11" s="3"/>
      <c r="C11" s="3"/>
      <c r="D11" s="3"/>
      <c r="E11" s="3"/>
      <c r="F11" s="3"/>
      <c r="G11" s="3"/>
      <c r="H11" s="3"/>
      <c r="I11" s="3"/>
      <c r="J11" s="3"/>
      <c r="K11" s="3"/>
      <c r="L11" s="3"/>
      <c r="M11" s="3"/>
    </row>
    <row r="12" spans="2:13" ht="24.75" x14ac:dyDescent="0.25">
      <c r="B12" s="3"/>
      <c r="C12" s="278" t="s">
        <v>214</v>
      </c>
      <c r="D12" s="766" t="s">
        <v>215</v>
      </c>
      <c r="E12" s="766"/>
      <c r="F12" s="188"/>
      <c r="G12" s="188"/>
      <c r="H12" s="188"/>
      <c r="I12" s="188"/>
      <c r="J12" s="3"/>
      <c r="K12" s="3"/>
      <c r="L12" s="3"/>
      <c r="M12" s="3"/>
    </row>
    <row r="13" spans="2:13" x14ac:dyDescent="0.25">
      <c r="B13" s="3"/>
      <c r="C13" s="279" t="s">
        <v>46</v>
      </c>
      <c r="D13" s="767">
        <f>'C. FILIACION'!Q6</f>
        <v>0</v>
      </c>
      <c r="E13" s="767"/>
      <c r="F13" s="189"/>
      <c r="G13" s="5"/>
      <c r="H13" s="5"/>
      <c r="I13" s="5"/>
      <c r="J13" s="3"/>
      <c r="K13" s="3"/>
      <c r="L13" s="3"/>
      <c r="M13" s="3"/>
    </row>
    <row r="14" spans="2:13" x14ac:dyDescent="0.25">
      <c r="B14" s="3"/>
      <c r="C14" s="279" t="s">
        <v>48</v>
      </c>
      <c r="D14" s="767">
        <f>'C. FILIACION'!Q7</f>
        <v>0</v>
      </c>
      <c r="E14" s="767"/>
      <c r="F14" s="189"/>
      <c r="G14" s="5"/>
      <c r="H14" s="5"/>
      <c r="I14" s="5"/>
      <c r="J14" s="3"/>
      <c r="K14" s="3"/>
      <c r="L14" s="3"/>
      <c r="M14" s="3"/>
    </row>
    <row r="15" spans="2:13" x14ac:dyDescent="0.25">
      <c r="B15" s="3"/>
      <c r="C15" s="279" t="s">
        <v>47</v>
      </c>
      <c r="D15" s="767">
        <f>'C. FILIACION'!Q8</f>
        <v>0</v>
      </c>
      <c r="E15" s="767"/>
      <c r="F15" s="189"/>
      <c r="G15" s="5"/>
      <c r="H15" s="5"/>
      <c r="I15" s="5"/>
      <c r="J15" s="3"/>
      <c r="K15" s="3"/>
      <c r="L15" s="3"/>
      <c r="M15" s="3"/>
    </row>
    <row r="16" spans="2:13" x14ac:dyDescent="0.25">
      <c r="B16" s="3"/>
      <c r="C16" s="279" t="s">
        <v>49</v>
      </c>
      <c r="D16" s="767">
        <f>'C. FILIACION'!Q9</f>
        <v>0</v>
      </c>
      <c r="E16" s="767"/>
      <c r="F16" s="189"/>
      <c r="G16" s="5"/>
      <c r="H16" s="5"/>
      <c r="I16" s="5"/>
      <c r="J16" s="3"/>
      <c r="K16" s="3"/>
      <c r="L16" s="3"/>
      <c r="M16" s="3"/>
    </row>
    <row r="17" spans="2:15" x14ac:dyDescent="0.25"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3"/>
    </row>
    <row r="18" spans="2:15" x14ac:dyDescent="0.25"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3"/>
    </row>
    <row r="19" spans="2:15" ht="18.75" customHeight="1" x14ac:dyDescent="0.25">
      <c r="B19" s="3"/>
      <c r="C19" s="764" t="s">
        <v>225</v>
      </c>
      <c r="D19" s="764"/>
      <c r="E19" s="764"/>
      <c r="F19" s="764"/>
      <c r="G19" s="764"/>
      <c r="H19" s="764"/>
      <c r="I19" s="764"/>
      <c r="J19" s="764"/>
      <c r="K19" s="764"/>
      <c r="L19" s="764"/>
      <c r="M19" s="3"/>
    </row>
    <row r="20" spans="2:15" x14ac:dyDescent="0.25">
      <c r="B20" s="3"/>
      <c r="C20" s="764"/>
      <c r="D20" s="764"/>
      <c r="E20" s="764"/>
      <c r="F20" s="764"/>
      <c r="G20" s="764"/>
      <c r="H20" s="764"/>
      <c r="I20" s="764"/>
      <c r="J20" s="764"/>
      <c r="K20" s="764"/>
      <c r="L20" s="764"/>
      <c r="M20" s="3"/>
    </row>
    <row r="21" spans="2:15" x14ac:dyDescent="0.25"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3"/>
    </row>
    <row r="22" spans="2:15" x14ac:dyDescent="0.25">
      <c r="B22" s="3"/>
      <c r="C22" s="3"/>
      <c r="D22" s="3"/>
      <c r="E22" s="3"/>
      <c r="F22" s="3"/>
      <c r="G22" s="3"/>
      <c r="H22" s="3"/>
      <c r="I22" s="3"/>
      <c r="J22" s="3"/>
      <c r="K22" s="3"/>
      <c r="L22" s="3"/>
      <c r="M22" s="3"/>
    </row>
    <row r="23" spans="2:15" ht="49.5" customHeight="1" x14ac:dyDescent="0.25">
      <c r="B23" s="3"/>
      <c r="C23" s="5"/>
      <c r="D23" s="5"/>
      <c r="E23" s="5"/>
      <c r="F23" s="5"/>
      <c r="G23" s="5"/>
      <c r="H23" s="5"/>
      <c r="I23" s="5"/>
      <c r="J23" s="5"/>
      <c r="K23" s="5"/>
      <c r="L23" s="5"/>
      <c r="M23" s="3"/>
      <c r="O23" s="26"/>
    </row>
    <row r="24" spans="2:15" x14ac:dyDescent="0.25">
      <c r="B24" s="3"/>
      <c r="C24" s="5"/>
      <c r="D24" s="5"/>
      <c r="E24" s="5"/>
      <c r="F24" s="5"/>
      <c r="G24" s="5"/>
      <c r="H24" s="5"/>
      <c r="I24" s="5"/>
      <c r="J24" s="5"/>
      <c r="K24" s="5"/>
      <c r="L24" s="5"/>
      <c r="M24" s="3"/>
    </row>
    <row r="25" spans="2:15" x14ac:dyDescent="0.25">
      <c r="B25" s="3"/>
      <c r="C25" s="5"/>
      <c r="D25" s="5"/>
      <c r="E25" s="5"/>
      <c r="F25" s="5"/>
      <c r="G25" s="5"/>
      <c r="H25" s="5"/>
      <c r="I25" s="5"/>
      <c r="J25" s="5"/>
      <c r="K25" s="5"/>
      <c r="L25" s="5"/>
      <c r="M25" s="3"/>
    </row>
    <row r="26" spans="2:15" x14ac:dyDescent="0.25">
      <c r="B26" s="3"/>
      <c r="C26" s="5"/>
      <c r="D26" s="5"/>
      <c r="E26" s="5"/>
      <c r="F26" s="5"/>
      <c r="G26" s="5"/>
      <c r="H26" s="5"/>
      <c r="I26" s="5"/>
      <c r="J26" s="5"/>
      <c r="K26" s="5"/>
      <c r="L26" s="5"/>
      <c r="M26" s="3"/>
    </row>
    <row r="27" spans="2:15" x14ac:dyDescent="0.25">
      <c r="B27" s="3"/>
      <c r="C27" s="5"/>
      <c r="D27" s="5"/>
      <c r="E27" s="5"/>
      <c r="F27" s="5"/>
      <c r="G27" s="5"/>
      <c r="H27" s="5"/>
      <c r="I27" s="5"/>
      <c r="J27" s="5"/>
      <c r="K27" s="5"/>
      <c r="L27" s="5"/>
      <c r="M27" s="3"/>
    </row>
    <row r="28" spans="2:15" x14ac:dyDescent="0.25">
      <c r="B28" s="3"/>
      <c r="C28" s="5"/>
      <c r="D28" s="5"/>
      <c r="E28" s="5"/>
      <c r="F28" s="5"/>
      <c r="G28" s="5"/>
      <c r="H28" s="5"/>
      <c r="I28" s="5"/>
      <c r="J28" s="5"/>
      <c r="K28" s="5"/>
      <c r="L28" s="5"/>
      <c r="M28" s="3"/>
    </row>
    <row r="29" spans="2:15" x14ac:dyDescent="0.25">
      <c r="B29" s="3"/>
      <c r="C29" s="5"/>
      <c r="D29" s="5"/>
      <c r="E29" s="5"/>
      <c r="F29" s="5"/>
      <c r="G29" s="5"/>
      <c r="H29" s="5"/>
      <c r="I29" s="5"/>
      <c r="J29" s="5"/>
      <c r="K29" s="5"/>
      <c r="L29" s="5"/>
      <c r="M29" s="3"/>
    </row>
    <row r="30" spans="2:15" x14ac:dyDescent="0.25">
      <c r="B30" s="3"/>
      <c r="C30" s="5"/>
      <c r="D30" s="5"/>
      <c r="E30" s="5"/>
      <c r="F30" s="5"/>
      <c r="G30" s="5"/>
      <c r="H30" s="5"/>
      <c r="I30" s="5"/>
      <c r="J30" s="5"/>
      <c r="K30" s="5"/>
      <c r="L30" s="5"/>
      <c r="M30" s="3"/>
    </row>
    <row r="31" spans="2:15" x14ac:dyDescent="0.25">
      <c r="B31" s="3"/>
      <c r="C31" s="5"/>
      <c r="D31" s="768" t="s">
        <v>226</v>
      </c>
      <c r="E31" s="768"/>
      <c r="F31" s="768"/>
      <c r="G31" s="5"/>
      <c r="H31" s="768" t="s">
        <v>227</v>
      </c>
      <c r="I31" s="768"/>
      <c r="J31" s="768"/>
      <c r="K31" s="5"/>
      <c r="L31" s="5"/>
      <c r="M31" s="3"/>
    </row>
    <row r="32" spans="2:15" x14ac:dyDescent="0.25">
      <c r="B32" s="3"/>
      <c r="C32" s="5"/>
      <c r="D32" s="5"/>
      <c r="E32" s="5"/>
      <c r="F32" s="5"/>
      <c r="G32" s="5"/>
      <c r="H32" s="5"/>
      <c r="I32" s="5"/>
      <c r="J32" s="5"/>
      <c r="K32" s="5"/>
      <c r="L32" s="5"/>
      <c r="M32" s="3"/>
    </row>
    <row r="33" spans="2:13" ht="15.75" thickBot="1" x14ac:dyDescent="0.3">
      <c r="B33" s="3"/>
      <c r="C33" s="27"/>
      <c r="D33" s="27"/>
      <c r="E33" s="27"/>
      <c r="F33" s="5"/>
      <c r="G33" s="5"/>
      <c r="H33" s="5"/>
      <c r="I33" s="27"/>
      <c r="J33" s="27"/>
      <c r="K33" s="27"/>
      <c r="L33" s="27"/>
      <c r="M33" s="3"/>
    </row>
    <row r="34" spans="2:13" x14ac:dyDescent="0.25">
      <c r="B34" s="3"/>
      <c r="C34" s="762">
        <f>CARATULA!G22</f>
        <v>0</v>
      </c>
      <c r="D34" s="762"/>
      <c r="E34" s="762"/>
      <c r="F34" s="5"/>
      <c r="G34" s="5"/>
      <c r="H34" s="5"/>
      <c r="I34" s="763">
        <f>CARATULA!G24</f>
        <v>0</v>
      </c>
      <c r="J34" s="763"/>
      <c r="K34" s="763"/>
      <c r="L34" s="763"/>
      <c r="M34" s="3"/>
    </row>
    <row r="35" spans="2:13" x14ac:dyDescent="0.25">
      <c r="C35" s="4"/>
      <c r="D35" s="4"/>
      <c r="E35" s="4"/>
      <c r="F35" s="4"/>
      <c r="G35" s="4"/>
      <c r="H35" s="4"/>
      <c r="I35" s="4"/>
      <c r="J35" s="4"/>
      <c r="K35" s="4"/>
      <c r="L35" s="4"/>
    </row>
    <row r="36" spans="2:13" x14ac:dyDescent="0.25">
      <c r="C36" s="4"/>
      <c r="D36" s="4"/>
      <c r="E36" s="4"/>
      <c r="F36" s="4"/>
      <c r="G36" s="4"/>
      <c r="H36" s="4"/>
      <c r="I36" s="4"/>
      <c r="J36" s="4"/>
      <c r="K36" s="4"/>
      <c r="L36" s="4"/>
    </row>
    <row r="37" spans="2:13" x14ac:dyDescent="0.25">
      <c r="C37" s="4"/>
      <c r="D37" s="4"/>
      <c r="E37" s="4"/>
      <c r="F37" s="4"/>
      <c r="G37" s="4"/>
      <c r="H37" s="4"/>
      <c r="I37" s="4"/>
      <c r="J37" s="4"/>
      <c r="K37" s="4"/>
      <c r="L37" s="4"/>
    </row>
  </sheetData>
  <sheetProtection password="D989" sheet="1" objects="1" scenarios="1"/>
  <mergeCells count="12">
    <mergeCell ref="C3:L3"/>
    <mergeCell ref="C34:E34"/>
    <mergeCell ref="I34:L34"/>
    <mergeCell ref="C19:L20"/>
    <mergeCell ref="C10:L10"/>
    <mergeCell ref="D12:E12"/>
    <mergeCell ref="D13:E13"/>
    <mergeCell ref="D14:E14"/>
    <mergeCell ref="D15:E15"/>
    <mergeCell ref="D16:E16"/>
    <mergeCell ref="D31:F31"/>
    <mergeCell ref="H31:J31"/>
  </mergeCells>
  <pageMargins left="0.7" right="0.7" top="0.75" bottom="0.75" header="0.3" footer="0.3"/>
  <pageSetup orientation="portrait" r:id="rId1"/>
  <drawing r:id="rId2"/>
  <legacyDrawing r:id="rId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>
    <tabColor rgb="FFFFFF00"/>
    <pageSetUpPr fitToPage="1"/>
  </sheetPr>
  <dimension ref="A1:BX107"/>
  <sheetViews>
    <sheetView showZeros="0" zoomScale="80" zoomScaleNormal="80" workbookViewId="0">
      <pane xSplit="3" ySplit="13" topLeftCell="D14" activePane="bottomRight" state="frozen"/>
      <selection pane="topRight" activeCell="D1" sqref="D1"/>
      <selection pane="bottomLeft" activeCell="A14" sqref="A14"/>
      <selection pane="bottomRight" activeCell="P68" sqref="P68"/>
    </sheetView>
  </sheetViews>
  <sheetFormatPr baseColWidth="10" defaultColWidth="11.42578125" defaultRowHeight="15" x14ac:dyDescent="0.25"/>
  <cols>
    <col min="1" max="1" width="1.28515625" style="66" customWidth="1"/>
    <col min="2" max="2" width="3.28515625" style="66" customWidth="1"/>
    <col min="3" max="3" width="33.5703125" style="66" customWidth="1"/>
    <col min="4" max="16" width="5.7109375" style="66" customWidth="1"/>
    <col min="17" max="17" width="7.42578125" style="66" customWidth="1"/>
    <col min="18" max="18" width="0.85546875" style="66" hidden="1" customWidth="1"/>
    <col min="19" max="19" width="1" style="66" hidden="1" customWidth="1"/>
    <col min="20" max="20" width="3.28515625" style="66" customWidth="1"/>
    <col min="21" max="33" width="5.7109375" style="66" customWidth="1"/>
    <col min="34" max="34" width="7.42578125" style="66" customWidth="1"/>
    <col min="35" max="36" width="6.7109375" style="66" hidden="1" customWidth="1"/>
    <col min="37" max="37" width="3.28515625" style="66" customWidth="1"/>
    <col min="38" max="50" width="5.7109375" style="66" customWidth="1"/>
    <col min="51" max="51" width="7.42578125" style="66" customWidth="1"/>
    <col min="52" max="53" width="6.5703125" style="66" hidden="1" customWidth="1"/>
    <col min="54" max="54" width="3.28515625" style="66" customWidth="1"/>
    <col min="55" max="67" width="5.7109375" style="66" customWidth="1"/>
    <col min="68" max="68" width="7.42578125" style="66" customWidth="1"/>
    <col min="69" max="70" width="6.42578125" style="66" hidden="1" customWidth="1"/>
    <col min="71" max="71" width="3.28515625" style="66" customWidth="1"/>
    <col min="72" max="72" width="8.28515625" style="66" customWidth="1"/>
    <col min="73" max="73" width="6" style="66" hidden="1" customWidth="1"/>
    <col min="74" max="74" width="4.140625" style="66" customWidth="1"/>
    <col min="75" max="16384" width="11.42578125" style="66"/>
  </cols>
  <sheetData>
    <row r="1" spans="1:76" ht="7.5" customHeight="1" x14ac:dyDescent="0.25">
      <c r="A1" s="72"/>
      <c r="B1" s="72"/>
      <c r="C1" s="72"/>
      <c r="D1" s="72"/>
      <c r="E1" s="72"/>
      <c r="F1" s="72"/>
      <c r="G1" s="72"/>
      <c r="H1" s="72"/>
      <c r="I1" s="72"/>
      <c r="J1" s="72"/>
      <c r="K1" s="72"/>
      <c r="L1" s="72"/>
      <c r="M1" s="72"/>
      <c r="N1" s="72"/>
      <c r="O1" s="72"/>
      <c r="P1" s="72"/>
      <c r="Q1" s="72"/>
      <c r="R1" s="72"/>
      <c r="S1" s="72"/>
      <c r="T1" s="72"/>
      <c r="U1" s="72"/>
      <c r="V1" s="72"/>
      <c r="W1" s="72"/>
      <c r="X1" s="72"/>
      <c r="Y1" s="72"/>
      <c r="Z1" s="7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2"/>
      <c r="AT1" s="72"/>
      <c r="AU1" s="7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2"/>
      <c r="BO1" s="72"/>
      <c r="BP1" s="72"/>
      <c r="BQ1" s="72"/>
      <c r="BR1" s="72"/>
      <c r="BS1" s="72"/>
      <c r="BT1" s="72"/>
      <c r="BU1" s="72"/>
      <c r="BV1" s="72"/>
      <c r="BW1" s="72"/>
      <c r="BX1" s="72"/>
    </row>
    <row r="2" spans="1:76" ht="22.5" customHeight="1" thickBot="1" x14ac:dyDescent="0.3">
      <c r="A2" s="72"/>
      <c r="B2" s="769" t="s">
        <v>205</v>
      </c>
      <c r="C2" s="770"/>
      <c r="D2" s="770"/>
      <c r="E2" s="770"/>
      <c r="F2" s="770"/>
      <c r="G2" s="770"/>
      <c r="H2" s="770"/>
      <c r="I2" s="770"/>
      <c r="J2" s="770"/>
      <c r="K2" s="770"/>
      <c r="L2" s="770"/>
      <c r="M2" s="770"/>
      <c r="N2" s="770"/>
      <c r="O2" s="770"/>
      <c r="P2" s="770"/>
      <c r="Q2" s="770"/>
      <c r="R2" s="770"/>
      <c r="S2" s="770"/>
      <c r="T2" s="770"/>
      <c r="U2" s="770"/>
      <c r="V2" s="770"/>
      <c r="W2" s="770"/>
      <c r="X2" s="770"/>
      <c r="Y2" s="770"/>
      <c r="Z2" s="770"/>
      <c r="AA2" s="770"/>
      <c r="AB2" s="770"/>
      <c r="AC2" s="770"/>
      <c r="AD2" s="770"/>
      <c r="AE2" s="770"/>
      <c r="AF2" s="770"/>
      <c r="AG2" s="770"/>
      <c r="AH2" s="770"/>
      <c r="AI2" s="770"/>
      <c r="AJ2" s="770"/>
      <c r="AK2" s="770"/>
      <c r="AL2" s="770"/>
      <c r="AM2" s="770"/>
      <c r="AN2" s="770"/>
      <c r="AO2" s="770"/>
      <c r="AP2" s="770"/>
      <c r="AQ2" s="770"/>
      <c r="AR2" s="770"/>
      <c r="AS2" s="770"/>
      <c r="AT2" s="770"/>
      <c r="AU2" s="770"/>
      <c r="AV2" s="770"/>
      <c r="AW2" s="770"/>
      <c r="AX2" s="770"/>
      <c r="AY2" s="770"/>
      <c r="AZ2" s="770"/>
      <c r="BA2" s="770"/>
      <c r="BB2" s="770"/>
      <c r="BC2" s="770"/>
      <c r="BD2" s="770"/>
      <c r="BE2" s="770"/>
      <c r="BF2" s="770"/>
      <c r="BG2" s="770"/>
      <c r="BH2" s="770"/>
      <c r="BI2" s="770"/>
      <c r="BJ2" s="770"/>
      <c r="BK2" s="770"/>
      <c r="BL2" s="770"/>
      <c r="BM2" s="770"/>
      <c r="BN2" s="770"/>
      <c r="BO2" s="770"/>
      <c r="BP2" s="770"/>
      <c r="BQ2" s="770"/>
      <c r="BR2" s="770"/>
      <c r="BS2" s="770"/>
      <c r="BT2" s="770"/>
      <c r="BU2" s="770"/>
      <c r="BV2" s="770"/>
      <c r="BW2" s="72"/>
      <c r="BX2" s="72"/>
    </row>
    <row r="3" spans="1:76" ht="19.5" customHeight="1" x14ac:dyDescent="0.25">
      <c r="A3" s="72"/>
      <c r="B3" s="156"/>
      <c r="C3" s="74" t="s">
        <v>1</v>
      </c>
      <c r="D3" s="791">
        <f>CARATULA!G20</f>
        <v>0</v>
      </c>
      <c r="E3" s="791"/>
      <c r="F3" s="791"/>
      <c r="G3" s="791"/>
      <c r="H3" s="791"/>
      <c r="I3" s="791"/>
      <c r="J3" s="791"/>
      <c r="K3" s="791"/>
      <c r="L3" s="791"/>
      <c r="M3" s="791"/>
      <c r="N3" s="791"/>
      <c r="O3" s="791"/>
      <c r="P3" s="157"/>
      <c r="Q3" s="157"/>
      <c r="R3" s="157"/>
      <c r="S3" s="157"/>
      <c r="T3" s="157"/>
      <c r="U3" s="157"/>
      <c r="V3" s="157"/>
      <c r="W3" s="157"/>
      <c r="X3" s="157"/>
      <c r="Y3" s="157"/>
      <c r="Z3" s="157"/>
      <c r="AA3" s="157"/>
      <c r="AB3" s="157"/>
      <c r="AC3" s="157"/>
      <c r="AD3" s="157"/>
      <c r="AE3" s="157"/>
      <c r="AF3" s="157"/>
      <c r="AG3" s="157"/>
      <c r="AH3" s="157"/>
      <c r="AI3" s="157"/>
      <c r="AJ3" s="157"/>
      <c r="AK3" s="157"/>
      <c r="AL3" s="157"/>
      <c r="AM3" s="157"/>
      <c r="AN3" s="157"/>
      <c r="AO3" s="157"/>
      <c r="AP3" s="157"/>
      <c r="AQ3" s="157"/>
      <c r="AR3" s="157"/>
      <c r="AS3" s="157"/>
      <c r="AT3" s="157"/>
      <c r="AU3" s="157"/>
      <c r="AV3" s="157"/>
      <c r="AW3" s="157"/>
      <c r="AX3" s="157"/>
      <c r="AY3" s="157"/>
      <c r="AZ3" s="157"/>
      <c r="BA3" s="157"/>
      <c r="BB3" s="157"/>
      <c r="BC3" s="157"/>
      <c r="BD3" s="157"/>
      <c r="BE3" s="157"/>
      <c r="BF3" s="157"/>
      <c r="BG3" s="157"/>
      <c r="BH3" s="157"/>
      <c r="BI3" s="157"/>
      <c r="BJ3" s="157"/>
      <c r="BK3" s="157"/>
      <c r="BL3" s="157"/>
      <c r="BM3" s="157"/>
      <c r="BN3" s="157"/>
      <c r="BO3" s="157"/>
      <c r="BP3" s="157"/>
      <c r="BQ3" s="157"/>
      <c r="BR3" s="157"/>
      <c r="BS3" s="157"/>
      <c r="BT3" s="157"/>
      <c r="BU3" s="157"/>
      <c r="BV3" s="157"/>
      <c r="BW3" s="72"/>
      <c r="BX3" s="72"/>
    </row>
    <row r="4" spans="1:76" x14ac:dyDescent="0.25">
      <c r="A4" s="72"/>
      <c r="B4" s="158"/>
      <c r="C4" s="74" t="s">
        <v>2</v>
      </c>
      <c r="D4" s="780">
        <f>CARATULA!G26</f>
        <v>0</v>
      </c>
      <c r="E4" s="780"/>
      <c r="F4" s="780"/>
      <c r="G4" s="780"/>
      <c r="H4" s="780"/>
      <c r="I4" s="780"/>
      <c r="J4" s="780"/>
      <c r="K4" s="780"/>
      <c r="L4" s="780"/>
      <c r="M4" s="780"/>
      <c r="N4" s="780"/>
      <c r="O4" s="780"/>
      <c r="P4" s="159"/>
      <c r="Q4" s="159"/>
      <c r="R4" s="159"/>
      <c r="S4" s="159"/>
      <c r="T4" s="159"/>
      <c r="U4" s="160"/>
      <c r="V4" s="160"/>
      <c r="W4" s="160"/>
      <c r="X4" s="160"/>
      <c r="Y4" s="160"/>
      <c r="Z4" s="161"/>
      <c r="AA4" s="161"/>
      <c r="AB4" s="161"/>
      <c r="AC4" s="161"/>
      <c r="AD4" s="161"/>
      <c r="AE4" s="161"/>
      <c r="AF4" s="161"/>
      <c r="AG4" s="161"/>
      <c r="AH4" s="161"/>
      <c r="AI4" s="161"/>
      <c r="AJ4" s="161"/>
      <c r="AK4" s="161"/>
      <c r="AL4" s="161"/>
      <c r="AM4" s="161"/>
      <c r="AN4" s="161"/>
      <c r="AO4" s="161"/>
      <c r="AP4" s="161"/>
      <c r="AQ4" s="161"/>
      <c r="AR4" s="161"/>
      <c r="AS4" s="161"/>
      <c r="AT4" s="161"/>
      <c r="AU4" s="161"/>
      <c r="AV4" s="161"/>
      <c r="AW4" s="161"/>
      <c r="AX4" s="161"/>
      <c r="AY4" s="161"/>
      <c r="AZ4" s="161"/>
      <c r="BA4" s="161"/>
      <c r="BB4" s="161"/>
      <c r="BC4" s="161"/>
      <c r="BD4" s="161"/>
      <c r="BE4" s="161"/>
      <c r="BF4" s="161"/>
      <c r="BG4" s="161"/>
      <c r="BH4" s="161"/>
      <c r="BI4" s="161"/>
      <c r="BJ4" s="161"/>
      <c r="BK4" s="161"/>
      <c r="BL4" s="161"/>
      <c r="BM4" s="161"/>
      <c r="BN4" s="161"/>
      <c r="BO4" s="161"/>
      <c r="BP4" s="161"/>
      <c r="BQ4" s="161"/>
      <c r="BR4" s="161"/>
      <c r="BS4" s="161"/>
      <c r="BT4" s="161"/>
      <c r="BU4" s="161"/>
      <c r="BV4" s="161"/>
      <c r="BW4" s="72"/>
      <c r="BX4" s="72"/>
    </row>
    <row r="5" spans="1:76" x14ac:dyDescent="0.25">
      <c r="A5" s="72"/>
      <c r="B5" s="158"/>
      <c r="C5" s="74" t="s">
        <v>98</v>
      </c>
      <c r="D5" s="780" t="str">
        <f>CONCATENATE(CARATULA!G28," ",CARATULA!H28)</f>
        <v xml:space="preserve"> </v>
      </c>
      <c r="E5" s="780"/>
      <c r="F5" s="780"/>
      <c r="G5" s="780"/>
      <c r="H5" s="780"/>
      <c r="I5" s="780"/>
      <c r="J5" s="780"/>
      <c r="K5" s="780"/>
      <c r="L5" s="780"/>
      <c r="M5" s="780"/>
      <c r="N5" s="780"/>
      <c r="O5" s="780"/>
      <c r="P5" s="160"/>
      <c r="Q5" s="160"/>
      <c r="R5" s="160"/>
      <c r="S5" s="160"/>
      <c r="T5" s="160"/>
      <c r="U5" s="160"/>
      <c r="V5" s="160"/>
      <c r="W5" s="160"/>
      <c r="X5" s="160"/>
      <c r="Y5" s="160"/>
      <c r="Z5" s="161"/>
      <c r="AA5" s="161"/>
      <c r="AB5" s="161"/>
      <c r="AC5" s="161"/>
      <c r="AD5" s="161"/>
      <c r="AE5" s="161"/>
      <c r="AF5" s="161"/>
      <c r="AG5" s="161"/>
      <c r="AH5" s="161"/>
      <c r="AI5" s="161"/>
      <c r="AJ5" s="161"/>
      <c r="AK5" s="161"/>
      <c r="AL5" s="161"/>
      <c r="AM5" s="161"/>
      <c r="AN5" s="161"/>
      <c r="AO5" s="161"/>
      <c r="AP5" s="161"/>
      <c r="AQ5" s="161"/>
      <c r="AR5" s="161"/>
      <c r="AS5" s="161"/>
      <c r="AT5" s="161"/>
      <c r="AU5" s="161"/>
      <c r="AV5" s="161"/>
      <c r="AW5" s="161"/>
      <c r="AX5" s="161"/>
      <c r="AY5" s="161"/>
      <c r="AZ5" s="161"/>
      <c r="BA5" s="161"/>
      <c r="BB5" s="161"/>
      <c r="BC5" s="161"/>
      <c r="BD5" s="161"/>
      <c r="BE5" s="161"/>
      <c r="BF5" s="161"/>
      <c r="BG5" s="161"/>
      <c r="BH5" s="161"/>
      <c r="BI5" s="161"/>
      <c r="BJ5" s="161"/>
      <c r="BK5" s="161"/>
      <c r="BL5" s="161"/>
      <c r="BM5" s="161"/>
      <c r="BN5" s="161"/>
      <c r="BO5" s="161"/>
      <c r="BP5" s="161"/>
      <c r="BQ5" s="161"/>
      <c r="BR5" s="161"/>
      <c r="BS5" s="161"/>
      <c r="BT5" s="161"/>
      <c r="BU5" s="161"/>
      <c r="BV5" s="161"/>
      <c r="BW5" s="72"/>
      <c r="BX5" s="72"/>
    </row>
    <row r="6" spans="1:76" ht="15.75" customHeight="1" x14ac:dyDescent="0.25">
      <c r="A6" s="72"/>
      <c r="B6" s="158"/>
      <c r="C6" s="74" t="s">
        <v>382</v>
      </c>
      <c r="D6" s="780">
        <f>CARATULA!G22</f>
        <v>0</v>
      </c>
      <c r="E6" s="780"/>
      <c r="F6" s="780"/>
      <c r="G6" s="780"/>
      <c r="H6" s="780"/>
      <c r="I6" s="780"/>
      <c r="J6" s="780"/>
      <c r="K6" s="780"/>
      <c r="L6" s="780"/>
      <c r="M6" s="780"/>
      <c r="N6" s="780"/>
      <c r="O6" s="554"/>
      <c r="P6" s="160"/>
      <c r="Q6" s="160"/>
      <c r="R6" s="160"/>
      <c r="S6" s="160"/>
      <c r="T6" s="160"/>
      <c r="U6" s="160"/>
      <c r="V6" s="160"/>
      <c r="W6" s="160"/>
      <c r="X6" s="160"/>
      <c r="Y6" s="160"/>
      <c r="Z6" s="161"/>
      <c r="AA6" s="161"/>
      <c r="AB6" s="161"/>
      <c r="AC6" s="161"/>
      <c r="AD6" s="161"/>
      <c r="AE6" s="161"/>
      <c r="AF6" s="161"/>
      <c r="AG6" s="161"/>
      <c r="AH6" s="161"/>
      <c r="AI6" s="161"/>
      <c r="AJ6" s="161"/>
      <c r="AK6" s="161"/>
      <c r="AL6" s="161"/>
      <c r="AM6" s="161"/>
      <c r="AN6" s="161"/>
      <c r="AO6" s="161"/>
      <c r="AP6" s="161"/>
      <c r="AQ6" s="161"/>
      <c r="AR6" s="161"/>
      <c r="AS6" s="161"/>
      <c r="AT6" s="161"/>
      <c r="AU6" s="161"/>
      <c r="AV6" s="161"/>
      <c r="AW6" s="161"/>
      <c r="AX6" s="161"/>
      <c r="AY6" s="161"/>
      <c r="AZ6" s="161"/>
      <c r="BA6" s="161"/>
      <c r="BB6" s="161"/>
      <c r="BC6" s="161"/>
      <c r="BD6" s="161"/>
      <c r="BE6" s="161"/>
      <c r="BF6" s="161"/>
      <c r="BG6" s="161"/>
      <c r="BH6" s="161"/>
      <c r="BI6" s="161"/>
      <c r="BJ6" s="161"/>
      <c r="BK6" s="161"/>
      <c r="BL6" s="161"/>
      <c r="BM6" s="161"/>
      <c r="BN6" s="161"/>
      <c r="BO6" s="161"/>
      <c r="BP6" s="161"/>
      <c r="BQ6" s="161"/>
      <c r="BR6" s="161"/>
      <c r="BS6" s="161"/>
      <c r="BT6" s="161"/>
      <c r="BU6" s="161"/>
      <c r="BV6" s="161"/>
      <c r="BW6" s="72"/>
      <c r="BX6" s="72"/>
    </row>
    <row r="7" spans="1:76" x14ac:dyDescent="0.25">
      <c r="A7" s="72"/>
      <c r="B7" s="158"/>
      <c r="C7" s="74" t="s">
        <v>383</v>
      </c>
      <c r="D7" s="778">
        <f>CARATULA!G24</f>
        <v>0</v>
      </c>
      <c r="E7" s="778"/>
      <c r="F7" s="778"/>
      <c r="G7" s="778"/>
      <c r="H7" s="778"/>
      <c r="I7" s="778"/>
      <c r="J7" s="778"/>
      <c r="K7" s="778"/>
      <c r="L7" s="778"/>
      <c r="M7" s="778"/>
      <c r="N7" s="778"/>
      <c r="O7" s="778"/>
      <c r="P7" s="162"/>
      <c r="Q7" s="162"/>
      <c r="R7" s="162"/>
      <c r="S7" s="162"/>
      <c r="T7" s="162"/>
      <c r="U7" s="162"/>
      <c r="V7" s="162"/>
      <c r="W7" s="162"/>
      <c r="X7" s="162"/>
      <c r="Y7" s="162"/>
      <c r="Z7" s="161"/>
      <c r="AA7" s="161"/>
      <c r="AB7" s="161"/>
      <c r="AC7" s="161"/>
      <c r="AD7" s="161"/>
      <c r="AE7" s="161"/>
      <c r="AF7" s="161"/>
      <c r="AG7" s="161"/>
      <c r="AH7" s="161"/>
      <c r="AI7" s="161"/>
      <c r="AJ7" s="161"/>
      <c r="AK7" s="161"/>
      <c r="AL7" s="161"/>
      <c r="AM7" s="161"/>
      <c r="AN7" s="161"/>
      <c r="AO7" s="161"/>
      <c r="AP7" s="161"/>
      <c r="AQ7" s="161"/>
      <c r="AR7" s="161"/>
      <c r="AS7" s="161"/>
      <c r="AT7" s="161"/>
      <c r="AU7" s="161"/>
      <c r="AV7" s="161"/>
      <c r="AW7" s="161"/>
      <c r="AX7" s="161"/>
      <c r="AY7" s="161"/>
      <c r="AZ7" s="161"/>
      <c r="BA7" s="161"/>
      <c r="BB7" s="161"/>
      <c r="BC7" s="161"/>
      <c r="BD7" s="161"/>
      <c r="BE7" s="161"/>
      <c r="BF7" s="161"/>
      <c r="BG7" s="161"/>
      <c r="BH7" s="161"/>
      <c r="BI7" s="161"/>
      <c r="BJ7" s="161"/>
      <c r="BK7" s="161"/>
      <c r="BL7" s="161"/>
      <c r="BM7" s="161"/>
      <c r="BN7" s="161"/>
      <c r="BO7" s="161"/>
      <c r="BP7" s="161"/>
      <c r="BQ7" s="161"/>
      <c r="BR7" s="161"/>
      <c r="BS7" s="161"/>
      <c r="BT7" s="161"/>
      <c r="BU7" s="161"/>
      <c r="BV7" s="161"/>
      <c r="BW7" s="72"/>
      <c r="BX7" s="72"/>
    </row>
    <row r="8" spans="1:76" x14ac:dyDescent="0.25">
      <c r="A8" s="72"/>
      <c r="B8" s="158"/>
      <c r="C8" s="74" t="s">
        <v>3</v>
      </c>
      <c r="D8" s="778">
        <f>CARATULA!G30</f>
        <v>0</v>
      </c>
      <c r="E8" s="778"/>
      <c r="F8" s="778"/>
      <c r="G8" s="778"/>
      <c r="H8" s="778"/>
      <c r="I8" s="778"/>
      <c r="J8" s="778"/>
      <c r="K8" s="778"/>
      <c r="L8" s="778"/>
      <c r="M8" s="778"/>
      <c r="N8" s="778"/>
      <c r="O8" s="778"/>
      <c r="P8" s="162"/>
      <c r="Q8" s="162"/>
      <c r="R8" s="162"/>
      <c r="S8" s="162"/>
      <c r="T8" s="162"/>
      <c r="U8" s="162"/>
      <c r="V8" s="162"/>
      <c r="W8" s="162"/>
      <c r="X8" s="162"/>
      <c r="Y8" s="162"/>
      <c r="Z8" s="161"/>
      <c r="AA8" s="161"/>
      <c r="AB8" s="161"/>
      <c r="AC8" s="161"/>
      <c r="AD8" s="161"/>
      <c r="AE8" s="161"/>
      <c r="AF8" s="161"/>
      <c r="AG8" s="161"/>
      <c r="AH8" s="161"/>
      <c r="AI8" s="161"/>
      <c r="AJ8" s="161"/>
      <c r="AK8" s="161"/>
      <c r="AL8" s="161"/>
      <c r="AM8" s="161"/>
      <c r="AN8" s="161"/>
      <c r="AO8" s="161"/>
      <c r="AP8" s="161"/>
      <c r="AQ8" s="161"/>
      <c r="AR8" s="161"/>
      <c r="AS8" s="161"/>
      <c r="AT8" s="161"/>
      <c r="AU8" s="161"/>
      <c r="AV8" s="161"/>
      <c r="AW8" s="161"/>
      <c r="AX8" s="161"/>
      <c r="AY8" s="161"/>
      <c r="AZ8" s="161"/>
      <c r="BA8" s="161"/>
      <c r="BB8" s="161"/>
      <c r="BC8" s="161"/>
      <c r="BD8" s="161"/>
      <c r="BE8" s="161"/>
      <c r="BF8" s="161"/>
      <c r="BG8" s="161"/>
      <c r="BH8" s="161"/>
      <c r="BI8" s="161"/>
      <c r="BJ8" s="161"/>
      <c r="BK8" s="161"/>
      <c r="BL8" s="161"/>
      <c r="BM8" s="161"/>
      <c r="BN8" s="161"/>
      <c r="BO8" s="161"/>
      <c r="BP8" s="161"/>
      <c r="BQ8" s="161"/>
      <c r="BR8" s="161"/>
      <c r="BS8" s="161"/>
      <c r="BT8" s="161"/>
      <c r="BU8" s="161"/>
      <c r="BV8" s="161"/>
      <c r="BW8" s="72"/>
      <c r="BX8" s="72"/>
    </row>
    <row r="9" spans="1:76" x14ac:dyDescent="0.25">
      <c r="A9" s="72"/>
      <c r="B9" s="158"/>
      <c r="C9" s="74" t="s">
        <v>21</v>
      </c>
      <c r="D9" s="778">
        <f>CARATULA!G32</f>
        <v>0</v>
      </c>
      <c r="E9" s="778"/>
      <c r="F9" s="778"/>
      <c r="G9" s="778"/>
      <c r="H9" s="778"/>
      <c r="I9" s="778"/>
      <c r="J9" s="778"/>
      <c r="K9" s="778"/>
      <c r="L9" s="778"/>
      <c r="M9" s="778"/>
      <c r="N9" s="778"/>
      <c r="O9" s="778"/>
      <c r="P9" s="162"/>
      <c r="Q9" s="162"/>
      <c r="R9" s="162"/>
      <c r="S9" s="162"/>
      <c r="T9" s="162"/>
      <c r="U9" s="162"/>
      <c r="V9" s="162"/>
      <c r="W9" s="162"/>
      <c r="X9" s="162"/>
      <c r="Y9" s="162"/>
      <c r="Z9" s="161"/>
      <c r="AA9" s="161"/>
      <c r="AB9" s="161"/>
      <c r="AC9" s="161"/>
      <c r="AD9" s="161"/>
      <c r="AE9" s="161"/>
      <c r="AF9" s="161"/>
      <c r="AG9" s="161"/>
      <c r="AH9" s="161"/>
      <c r="AI9" s="161"/>
      <c r="AJ9" s="161"/>
      <c r="AK9" s="161"/>
      <c r="AL9" s="161"/>
      <c r="AM9" s="161"/>
      <c r="AN9" s="161"/>
      <c r="AO9" s="161"/>
      <c r="AP9" s="161"/>
      <c r="AQ9" s="161"/>
      <c r="AR9" s="161"/>
      <c r="AS9" s="161"/>
      <c r="AT9" s="161"/>
      <c r="AU9" s="161"/>
      <c r="AV9" s="161"/>
      <c r="AW9" s="161"/>
      <c r="AX9" s="161"/>
      <c r="AY9" s="161"/>
      <c r="AZ9" s="161"/>
      <c r="BA9" s="161"/>
      <c r="BB9" s="161"/>
      <c r="BC9" s="161"/>
      <c r="BD9" s="161"/>
      <c r="BE9" s="161"/>
      <c r="BF9" s="161"/>
      <c r="BG9" s="161"/>
      <c r="BH9" s="161"/>
      <c r="BI9" s="161"/>
      <c r="BJ9" s="161"/>
      <c r="BK9" s="161"/>
      <c r="BL9" s="161"/>
      <c r="BM9" s="161"/>
      <c r="BN9" s="161"/>
      <c r="BO9" s="161"/>
      <c r="BP9" s="161"/>
      <c r="BQ9" s="161"/>
      <c r="BR9" s="161"/>
      <c r="BS9" s="161"/>
      <c r="BT9" s="161"/>
      <c r="BU9" s="161"/>
      <c r="BV9" s="161"/>
      <c r="BW9" s="72"/>
      <c r="BX9" s="72"/>
    </row>
    <row r="10" spans="1:76" ht="15.75" thickBot="1" x14ac:dyDescent="0.3">
      <c r="A10" s="72"/>
      <c r="B10" s="163"/>
      <c r="C10" s="553" t="s">
        <v>377</v>
      </c>
      <c r="D10" s="779" t="s">
        <v>358</v>
      </c>
      <c r="E10" s="779"/>
      <c r="F10" s="779"/>
      <c r="G10" s="779"/>
      <c r="H10" s="779"/>
      <c r="I10" s="779"/>
      <c r="J10" s="779"/>
      <c r="K10" s="779"/>
      <c r="L10" s="779"/>
      <c r="M10" s="779"/>
      <c r="N10" s="779"/>
      <c r="O10" s="779"/>
      <c r="P10" s="164"/>
      <c r="Q10" s="164"/>
      <c r="R10" s="164"/>
      <c r="S10" s="164"/>
      <c r="T10" s="164"/>
      <c r="U10" s="164"/>
      <c r="V10" s="164"/>
      <c r="W10" s="164"/>
      <c r="X10" s="164"/>
      <c r="Y10" s="164"/>
      <c r="Z10" s="165"/>
      <c r="AA10" s="165"/>
      <c r="AB10" s="165"/>
      <c r="AC10" s="165"/>
      <c r="AD10" s="165"/>
      <c r="AE10" s="165"/>
      <c r="AF10" s="165"/>
      <c r="AG10" s="165"/>
      <c r="AH10" s="165"/>
      <c r="AI10" s="165"/>
      <c r="AJ10" s="165"/>
      <c r="AK10" s="165"/>
      <c r="AL10" s="165"/>
      <c r="AM10" s="165"/>
      <c r="AN10" s="165"/>
      <c r="AO10" s="165"/>
      <c r="AP10" s="165"/>
      <c r="AQ10" s="165"/>
      <c r="AR10" s="165"/>
      <c r="AS10" s="165"/>
      <c r="AT10" s="165"/>
      <c r="AU10" s="165"/>
      <c r="AV10" s="165"/>
      <c r="AW10" s="165"/>
      <c r="AX10" s="165"/>
      <c r="AY10" s="165"/>
      <c r="AZ10" s="165"/>
      <c r="BA10" s="165"/>
      <c r="BB10" s="165"/>
      <c r="BC10" s="165"/>
      <c r="BD10" s="165"/>
      <c r="BE10" s="165"/>
      <c r="BF10" s="165"/>
      <c r="BG10" s="165"/>
      <c r="BH10" s="165"/>
      <c r="BI10" s="165"/>
      <c r="BJ10" s="165"/>
      <c r="BK10" s="165"/>
      <c r="BL10" s="165"/>
      <c r="BM10" s="165"/>
      <c r="BN10" s="165"/>
      <c r="BO10" s="165"/>
      <c r="BP10" s="165"/>
      <c r="BQ10" s="165"/>
      <c r="BR10" s="165"/>
      <c r="BS10" s="165"/>
      <c r="BT10" s="165"/>
      <c r="BU10" s="165"/>
      <c r="BV10" s="165"/>
      <c r="BW10" s="72"/>
      <c r="BX10" s="72"/>
    </row>
    <row r="11" spans="1:76" ht="4.5" customHeight="1" thickBot="1" x14ac:dyDescent="0.3">
      <c r="A11" s="72"/>
      <c r="B11" s="129"/>
      <c r="C11" s="129"/>
      <c r="D11" s="129"/>
      <c r="E11" s="129"/>
      <c r="F11" s="129"/>
      <c r="G11" s="129"/>
      <c r="H11" s="129"/>
      <c r="I11" s="129"/>
      <c r="J11" s="129"/>
      <c r="K11" s="129"/>
      <c r="L11" s="129"/>
      <c r="M11" s="129"/>
      <c r="N11" s="129"/>
      <c r="O11" s="129"/>
      <c r="P11" s="129"/>
      <c r="Q11" s="129"/>
      <c r="R11" s="129"/>
      <c r="S11" s="129"/>
      <c r="T11" s="129"/>
      <c r="U11" s="129"/>
      <c r="V11" s="129"/>
      <c r="W11" s="129"/>
      <c r="X11" s="129"/>
      <c r="Y11" s="129"/>
      <c r="Z11" s="129"/>
      <c r="AA11" s="129"/>
      <c r="AB11" s="129"/>
      <c r="AC11" s="129"/>
      <c r="AD11" s="129"/>
      <c r="AE11" s="129"/>
      <c r="AF11" s="129"/>
      <c r="AG11" s="129"/>
      <c r="AH11" s="129"/>
      <c r="AI11" s="129"/>
      <c r="AJ11" s="129"/>
      <c r="AK11" s="129"/>
      <c r="AL11" s="129"/>
      <c r="AM11" s="129"/>
      <c r="AN11" s="129"/>
      <c r="AO11" s="129"/>
      <c r="AP11" s="129"/>
      <c r="AQ11" s="129"/>
      <c r="AR11" s="129"/>
      <c r="AS11" s="129"/>
      <c r="AT11" s="129"/>
      <c r="AU11" s="129"/>
      <c r="AV11" s="129"/>
      <c r="AW11" s="129"/>
      <c r="AX11" s="129"/>
      <c r="AY11" s="129"/>
      <c r="AZ11" s="129"/>
      <c r="BA11" s="129"/>
      <c r="BB11" s="129"/>
      <c r="BC11" s="129"/>
      <c r="BD11" s="129"/>
      <c r="BE11" s="129"/>
      <c r="BF11" s="129"/>
      <c r="BG11" s="129"/>
      <c r="BH11" s="129"/>
      <c r="BI11" s="129"/>
      <c r="BJ11" s="129"/>
      <c r="BK11" s="129"/>
      <c r="BL11" s="129"/>
      <c r="BM11" s="129"/>
      <c r="BN11" s="129"/>
      <c r="BO11" s="129"/>
      <c r="BP11" s="129"/>
      <c r="BQ11" s="129"/>
      <c r="BR11" s="129"/>
      <c r="BS11" s="129"/>
      <c r="BT11" s="129"/>
      <c r="BU11" s="129"/>
      <c r="BV11" s="166"/>
      <c r="BW11" s="72"/>
      <c r="BX11" s="72"/>
    </row>
    <row r="12" spans="1:76" ht="15.75" customHeight="1" thickBot="1" x14ac:dyDescent="0.3">
      <c r="A12" s="72"/>
      <c r="B12" s="781"/>
      <c r="C12" s="782"/>
      <c r="D12" s="783" t="s">
        <v>91</v>
      </c>
      <c r="E12" s="784"/>
      <c r="F12" s="784"/>
      <c r="G12" s="784"/>
      <c r="H12" s="784"/>
      <c r="I12" s="784"/>
      <c r="J12" s="784"/>
      <c r="K12" s="784"/>
      <c r="L12" s="784"/>
      <c r="M12" s="784"/>
      <c r="N12" s="784"/>
      <c r="O12" s="784"/>
      <c r="P12" s="784"/>
      <c r="Q12" s="784"/>
      <c r="R12" s="784"/>
      <c r="S12" s="784"/>
      <c r="T12" s="785"/>
      <c r="U12" s="786" t="s">
        <v>92</v>
      </c>
      <c r="V12" s="787"/>
      <c r="W12" s="787"/>
      <c r="X12" s="787"/>
      <c r="Y12" s="787"/>
      <c r="Z12" s="787"/>
      <c r="AA12" s="787"/>
      <c r="AB12" s="787"/>
      <c r="AC12" s="787"/>
      <c r="AD12" s="787"/>
      <c r="AE12" s="787"/>
      <c r="AF12" s="787"/>
      <c r="AG12" s="787"/>
      <c r="AH12" s="787"/>
      <c r="AI12" s="787"/>
      <c r="AJ12" s="787"/>
      <c r="AK12" s="788"/>
      <c r="AL12" s="789" t="s">
        <v>93</v>
      </c>
      <c r="AM12" s="789"/>
      <c r="AN12" s="789"/>
      <c r="AO12" s="789"/>
      <c r="AP12" s="789"/>
      <c r="AQ12" s="789"/>
      <c r="AR12" s="789"/>
      <c r="AS12" s="789"/>
      <c r="AT12" s="789"/>
      <c r="AU12" s="789"/>
      <c r="AV12" s="789"/>
      <c r="AW12" s="789"/>
      <c r="AX12" s="789"/>
      <c r="AY12" s="789"/>
      <c r="AZ12" s="789"/>
      <c r="BA12" s="789"/>
      <c r="BB12" s="790"/>
      <c r="BC12" s="773" t="s">
        <v>94</v>
      </c>
      <c r="BD12" s="774"/>
      <c r="BE12" s="774"/>
      <c r="BF12" s="774"/>
      <c r="BG12" s="774"/>
      <c r="BH12" s="774"/>
      <c r="BI12" s="774"/>
      <c r="BJ12" s="774"/>
      <c r="BK12" s="774"/>
      <c r="BL12" s="774"/>
      <c r="BM12" s="774"/>
      <c r="BN12" s="774"/>
      <c r="BO12" s="774"/>
      <c r="BP12" s="774"/>
      <c r="BQ12" s="774"/>
      <c r="BR12" s="774"/>
      <c r="BS12" s="775"/>
      <c r="BT12" s="376"/>
      <c r="BU12" s="376"/>
      <c r="BV12" s="771" t="s">
        <v>208</v>
      </c>
      <c r="BW12" s="72"/>
    </row>
    <row r="13" spans="1:76" ht="162" customHeight="1" thickBot="1" x14ac:dyDescent="0.3">
      <c r="A13" s="72"/>
      <c r="B13" s="776" t="s">
        <v>298</v>
      </c>
      <c r="C13" s="777"/>
      <c r="D13" s="364" t="s">
        <v>304</v>
      </c>
      <c r="E13" s="361" t="s">
        <v>16</v>
      </c>
      <c r="F13" s="361" t="s">
        <v>17</v>
      </c>
      <c r="G13" s="361" t="s">
        <v>97</v>
      </c>
      <c r="H13" s="361" t="s">
        <v>266</v>
      </c>
      <c r="I13" s="361" t="s">
        <v>248</v>
      </c>
      <c r="J13" s="361" t="s">
        <v>95</v>
      </c>
      <c r="K13" s="361" t="str">
        <f>D10</f>
        <v>ESPECIALIDAD: AGROECOLOGÍA</v>
      </c>
      <c r="L13" s="362" t="s">
        <v>268</v>
      </c>
      <c r="M13" s="362" t="s">
        <v>302</v>
      </c>
      <c r="N13" s="363" t="s">
        <v>299</v>
      </c>
      <c r="O13" s="363" t="s">
        <v>305</v>
      </c>
      <c r="P13" s="363" t="s">
        <v>303</v>
      </c>
      <c r="Q13" s="353" t="s">
        <v>204</v>
      </c>
      <c r="R13" s="354"/>
      <c r="S13" s="354"/>
      <c r="T13" s="355" t="s">
        <v>300</v>
      </c>
      <c r="U13" s="364" t="s">
        <v>304</v>
      </c>
      <c r="V13" s="361" t="s">
        <v>16</v>
      </c>
      <c r="W13" s="361" t="s">
        <v>17</v>
      </c>
      <c r="X13" s="361" t="s">
        <v>97</v>
      </c>
      <c r="Y13" s="361" t="s">
        <v>266</v>
      </c>
      <c r="Z13" s="361" t="s">
        <v>248</v>
      </c>
      <c r="AA13" s="361" t="s">
        <v>95</v>
      </c>
      <c r="AB13" s="361" t="str">
        <f>D10</f>
        <v>ESPECIALIDAD: AGROECOLOGÍA</v>
      </c>
      <c r="AC13" s="362" t="s">
        <v>268</v>
      </c>
      <c r="AD13" s="362" t="s">
        <v>302</v>
      </c>
      <c r="AE13" s="363" t="s">
        <v>299</v>
      </c>
      <c r="AF13" s="363" t="s">
        <v>305</v>
      </c>
      <c r="AG13" s="363" t="s">
        <v>303</v>
      </c>
      <c r="AH13" s="353" t="s">
        <v>204</v>
      </c>
      <c r="AI13" s="354"/>
      <c r="AJ13" s="354"/>
      <c r="AK13" s="355" t="s">
        <v>300</v>
      </c>
      <c r="AL13" s="364" t="s">
        <v>304</v>
      </c>
      <c r="AM13" s="361" t="s">
        <v>16</v>
      </c>
      <c r="AN13" s="361" t="s">
        <v>17</v>
      </c>
      <c r="AO13" s="361" t="s">
        <v>97</v>
      </c>
      <c r="AP13" s="361" t="s">
        <v>266</v>
      </c>
      <c r="AQ13" s="361" t="s">
        <v>248</v>
      </c>
      <c r="AR13" s="361" t="s">
        <v>95</v>
      </c>
      <c r="AS13" s="361" t="str">
        <f>D10</f>
        <v>ESPECIALIDAD: AGROECOLOGÍA</v>
      </c>
      <c r="AT13" s="362" t="s">
        <v>268</v>
      </c>
      <c r="AU13" s="362" t="s">
        <v>302</v>
      </c>
      <c r="AV13" s="363" t="s">
        <v>299</v>
      </c>
      <c r="AW13" s="363" t="s">
        <v>305</v>
      </c>
      <c r="AX13" s="363" t="s">
        <v>303</v>
      </c>
      <c r="AY13" s="353" t="s">
        <v>204</v>
      </c>
      <c r="AZ13" s="356"/>
      <c r="BA13" s="356"/>
      <c r="BB13" s="357" t="s">
        <v>300</v>
      </c>
      <c r="BC13" s="364" t="s">
        <v>304</v>
      </c>
      <c r="BD13" s="361" t="s">
        <v>16</v>
      </c>
      <c r="BE13" s="361" t="s">
        <v>17</v>
      </c>
      <c r="BF13" s="361" t="s">
        <v>97</v>
      </c>
      <c r="BG13" s="361" t="s">
        <v>266</v>
      </c>
      <c r="BH13" s="361" t="s">
        <v>248</v>
      </c>
      <c r="BI13" s="361" t="s">
        <v>95</v>
      </c>
      <c r="BJ13" s="361" t="str">
        <f>D10</f>
        <v>ESPECIALIDAD: AGROECOLOGÍA</v>
      </c>
      <c r="BK13" s="362" t="s">
        <v>268</v>
      </c>
      <c r="BL13" s="362" t="s">
        <v>302</v>
      </c>
      <c r="BM13" s="363" t="s">
        <v>299</v>
      </c>
      <c r="BN13" s="363" t="s">
        <v>305</v>
      </c>
      <c r="BO13" s="363" t="s">
        <v>303</v>
      </c>
      <c r="BP13" s="353" t="s">
        <v>204</v>
      </c>
      <c r="BQ13" s="356"/>
      <c r="BR13" s="356"/>
      <c r="BS13" s="357" t="s">
        <v>300</v>
      </c>
      <c r="BT13" s="378" t="s">
        <v>301</v>
      </c>
      <c r="BU13" s="377"/>
      <c r="BV13" s="772"/>
      <c r="BW13" s="72"/>
    </row>
    <row r="14" spans="1:76" ht="18.75" thickBot="1" x14ac:dyDescent="0.3">
      <c r="A14" s="87" t="s">
        <v>104</v>
      </c>
      <c r="B14" s="167">
        <v>1</v>
      </c>
      <c r="C14" s="550" t="str">
        <f>'C. FILIACION'!C14:D14</f>
        <v>SUAREZ EVELIN ISELA</v>
      </c>
      <c r="D14" s="365"/>
      <c r="E14" s="366"/>
      <c r="F14" s="366"/>
      <c r="G14" s="366"/>
      <c r="H14" s="366"/>
      <c r="I14" s="366"/>
      <c r="J14" s="366"/>
      <c r="K14" s="366"/>
      <c r="L14" s="366"/>
      <c r="M14" s="366"/>
      <c r="N14" s="367"/>
      <c r="O14" s="367"/>
      <c r="P14" s="368"/>
      <c r="Q14" s="539" t="str">
        <f>IFERROR(AVERAGE(D14:P14),"")</f>
        <v/>
      </c>
      <c r="R14" s="540" t="str">
        <f t="shared" ref="R14:R58" si="0">IF((COUNTIF(D14:K14,"&lt;51"))=0,"",COUNTIF(D14:K14,"&lt;51"))</f>
        <v/>
      </c>
      <c r="S14" s="540" t="str">
        <f t="shared" ref="S14:S58" si="1">IF((COUNTIF(N14:P14,"&lt;51"))=0,"",COUNTIF(N14:P14,"&lt;51"))</f>
        <v/>
      </c>
      <c r="T14" s="541" t="str">
        <f t="shared" ref="T14:T58" si="2">IF(SUM(R14:S14)=0," ",SUM(R14:S14))</f>
        <v xml:space="preserve"> </v>
      </c>
      <c r="U14" s="375"/>
      <c r="V14" s="367"/>
      <c r="W14" s="367"/>
      <c r="X14" s="367"/>
      <c r="Y14" s="367"/>
      <c r="Z14" s="367"/>
      <c r="AA14" s="367"/>
      <c r="AB14" s="367"/>
      <c r="AC14" s="367"/>
      <c r="AD14" s="367"/>
      <c r="AE14" s="367"/>
      <c r="AF14" s="367"/>
      <c r="AG14" s="368"/>
      <c r="AH14" s="539" t="str">
        <f>IFERROR(AVERAGE(U14:AG14),"")</f>
        <v/>
      </c>
      <c r="AI14" s="540" t="str">
        <f t="shared" ref="AI14:AI58" si="3">IF((COUNTIF(U14:AB14,"&lt;51"))=0,"",COUNTIF(U14:AB14,"&lt;51"))</f>
        <v/>
      </c>
      <c r="AJ14" s="540" t="str">
        <f t="shared" ref="AJ14:AJ58" si="4">IF((COUNTIF(AE14:AG14,"&lt;51"))=0,"",COUNTIF(AE14:AG14,"&lt;51"))</f>
        <v/>
      </c>
      <c r="AK14" s="541" t="str">
        <f>IF(SUM(AI14:AJ14)=0," ",SUM(AI14:AJ14))</f>
        <v xml:space="preserve"> </v>
      </c>
      <c r="AL14" s="375"/>
      <c r="AM14" s="367"/>
      <c r="AN14" s="367"/>
      <c r="AO14" s="367"/>
      <c r="AP14" s="367"/>
      <c r="AQ14" s="367"/>
      <c r="AR14" s="367"/>
      <c r="AS14" s="367"/>
      <c r="AT14" s="367"/>
      <c r="AU14" s="367"/>
      <c r="AV14" s="367"/>
      <c r="AW14" s="367"/>
      <c r="AX14" s="368"/>
      <c r="AY14" s="539" t="str">
        <f>IFERROR(AVERAGE(AL14:AX14),"")</f>
        <v/>
      </c>
      <c r="AZ14" s="540" t="str">
        <f t="shared" ref="AZ14:AZ58" si="5">IF((COUNTIF(AL14:AS14,"&lt;51"))=0,"",COUNTIF(AL14:AS14,"&lt;51"))</f>
        <v/>
      </c>
      <c r="BA14" s="540" t="str">
        <f t="shared" ref="BA14:BA58" si="6">IF((COUNTIF(AV14:AX14,"&lt;51"))=0,"",COUNTIF(AV14:AX14,"&lt;51"))</f>
        <v/>
      </c>
      <c r="BB14" s="541" t="str">
        <f>IF(SUM(AZ14:BA14)=0," ",SUM(AZ14:BA14))</f>
        <v xml:space="preserve"> </v>
      </c>
      <c r="BC14" s="375"/>
      <c r="BD14" s="367"/>
      <c r="BE14" s="367"/>
      <c r="BF14" s="367"/>
      <c r="BG14" s="367"/>
      <c r="BH14" s="367"/>
      <c r="BI14" s="367"/>
      <c r="BJ14" s="367"/>
      <c r="BK14" s="367"/>
      <c r="BL14" s="367"/>
      <c r="BM14" s="367"/>
      <c r="BN14" s="367"/>
      <c r="BO14" s="368"/>
      <c r="BP14" s="539" t="str">
        <f>IFERROR(AVERAGE(BC14:BO14),"")</f>
        <v/>
      </c>
      <c r="BQ14" s="540" t="str">
        <f t="shared" ref="BQ14:BQ58" si="7">IF((COUNTIF(BC14:BJ14,"&lt;51"))=0,"",COUNTIF(BC14:BJ14,"&lt;51"))</f>
        <v/>
      </c>
      <c r="BR14" s="540" t="str">
        <f t="shared" ref="BR14:BR58" si="8">IF((COUNTIF(BM14:BO14,"&lt;51"))=0,"",COUNTIF(BM14:BO14,"&lt;51"))</f>
        <v/>
      </c>
      <c r="BS14" s="541" t="str">
        <f>IF(SUM(BQ14:BR14)=0," ",SUM(BQ14:BR14))</f>
        <v xml:space="preserve"> </v>
      </c>
      <c r="BT14" s="545" t="str">
        <f t="shared" ref="BT14:BT58" si="9">IFERROR(AVERAGE(Q14,AH14,AY14,BP14),"")</f>
        <v/>
      </c>
      <c r="BU14" s="546" t="str">
        <f>IFERROR(ROUND(AVERAGE(Q14,AH14,AY14,BP14),3),"")</f>
        <v/>
      </c>
      <c r="BV14" s="547">
        <f t="shared" ref="BV14:BV58" si="10">SUM(T14,AK14,BB14,BS14)</f>
        <v>0</v>
      </c>
    </row>
    <row r="15" spans="1:76" ht="15.75" thickBot="1" x14ac:dyDescent="0.3">
      <c r="A15" s="87" t="s">
        <v>100</v>
      </c>
      <c r="B15" s="167">
        <v>2</v>
      </c>
      <c r="C15" s="550" t="str">
        <f>'C. FILIACION'!C15:D15</f>
        <v>ALARCON  VARGAS JAIR ALEXIS</v>
      </c>
      <c r="D15" s="369"/>
      <c r="E15" s="370"/>
      <c r="F15" s="370"/>
      <c r="G15" s="370"/>
      <c r="H15" s="370"/>
      <c r="I15" s="370"/>
      <c r="J15" s="370"/>
      <c r="K15" s="370"/>
      <c r="L15" s="370"/>
      <c r="M15" s="370"/>
      <c r="N15" s="370"/>
      <c r="O15" s="370"/>
      <c r="P15" s="371"/>
      <c r="Q15" s="539" t="str">
        <f t="shared" ref="Q15:Q58" si="11">IFERROR(AVERAGE(D15:P15),"")</f>
        <v/>
      </c>
      <c r="R15" s="540" t="str">
        <f t="shared" si="0"/>
        <v/>
      </c>
      <c r="S15" s="540" t="str">
        <f t="shared" si="1"/>
        <v/>
      </c>
      <c r="T15" s="541" t="str">
        <f t="shared" si="2"/>
        <v xml:space="preserve"> </v>
      </c>
      <c r="U15" s="369"/>
      <c r="V15" s="370"/>
      <c r="W15" s="370"/>
      <c r="X15" s="370"/>
      <c r="Y15" s="370"/>
      <c r="Z15" s="370"/>
      <c r="AA15" s="370"/>
      <c r="AB15" s="370"/>
      <c r="AC15" s="370"/>
      <c r="AD15" s="370"/>
      <c r="AE15" s="370"/>
      <c r="AF15" s="370"/>
      <c r="AG15" s="371"/>
      <c r="AH15" s="539" t="str">
        <f t="shared" ref="AH15:AH58" si="12">IFERROR(AVERAGE(U15:AG15),"")</f>
        <v/>
      </c>
      <c r="AI15" s="540" t="str">
        <f t="shared" si="3"/>
        <v/>
      </c>
      <c r="AJ15" s="540" t="str">
        <f t="shared" si="4"/>
        <v/>
      </c>
      <c r="AK15" s="541" t="str">
        <f t="shared" ref="AK15:AK58" si="13">IF(SUM(AI15:AJ15)=0," ",SUM(AI15:AJ15))</f>
        <v xml:space="preserve"> </v>
      </c>
      <c r="AL15" s="369"/>
      <c r="AM15" s="370"/>
      <c r="AN15" s="370"/>
      <c r="AO15" s="370"/>
      <c r="AP15" s="370"/>
      <c r="AQ15" s="370"/>
      <c r="AR15" s="370"/>
      <c r="AS15" s="370"/>
      <c r="AT15" s="370"/>
      <c r="AU15" s="370"/>
      <c r="AV15" s="370"/>
      <c r="AW15" s="370"/>
      <c r="AX15" s="371"/>
      <c r="AY15" s="539" t="str">
        <f t="shared" ref="AY15:AY58" si="14">IFERROR(AVERAGE(AL15:AX15),"")</f>
        <v/>
      </c>
      <c r="AZ15" s="540" t="str">
        <f t="shared" si="5"/>
        <v/>
      </c>
      <c r="BA15" s="540" t="str">
        <f t="shared" si="6"/>
        <v/>
      </c>
      <c r="BB15" s="541" t="str">
        <f t="shared" ref="BB15:BB58" si="15">IF(SUM(AZ15:BA15)=0," ",SUM(AZ15:BA15))</f>
        <v xml:space="preserve"> </v>
      </c>
      <c r="BC15" s="369"/>
      <c r="BD15" s="370"/>
      <c r="BE15" s="370"/>
      <c r="BF15" s="370"/>
      <c r="BG15" s="370"/>
      <c r="BH15" s="370"/>
      <c r="BI15" s="370"/>
      <c r="BJ15" s="370"/>
      <c r="BK15" s="370"/>
      <c r="BL15" s="370"/>
      <c r="BM15" s="370"/>
      <c r="BN15" s="370"/>
      <c r="BO15" s="371"/>
      <c r="BP15" s="539" t="str">
        <f t="shared" ref="BP15:BP58" si="16">IFERROR(AVERAGE(BC15:BO15),"")</f>
        <v/>
      </c>
      <c r="BQ15" s="540" t="str">
        <f t="shared" si="7"/>
        <v/>
      </c>
      <c r="BR15" s="540" t="str">
        <f t="shared" si="8"/>
        <v/>
      </c>
      <c r="BS15" s="541" t="str">
        <f t="shared" ref="BS15:BS58" si="17">IF(SUM(BQ15:BR15)=0," ",SUM(BQ15:BR15))</f>
        <v xml:space="preserve"> </v>
      </c>
      <c r="BT15" s="545" t="str">
        <f t="shared" si="9"/>
        <v/>
      </c>
      <c r="BU15" s="548" t="str">
        <f t="shared" ref="BU15:BU58" si="18">IFERROR(ROUND(AVERAGE(Q15,AH15,AY15,BP15),4),"")</f>
        <v/>
      </c>
      <c r="BV15" s="547">
        <f t="shared" si="10"/>
        <v>0</v>
      </c>
    </row>
    <row r="16" spans="1:76" ht="15.75" thickBot="1" x14ac:dyDescent="0.3">
      <c r="A16" s="87" t="s">
        <v>105</v>
      </c>
      <c r="B16" s="167">
        <v>3</v>
      </c>
      <c r="C16" s="550" t="str">
        <f>'C. FILIACION'!C16:D16</f>
        <v>AÑAZGO  VARGAS NOELIA</v>
      </c>
      <c r="D16" s="369"/>
      <c r="E16" s="370"/>
      <c r="F16" s="370"/>
      <c r="G16" s="370"/>
      <c r="H16" s="370"/>
      <c r="I16" s="370"/>
      <c r="J16" s="370"/>
      <c r="K16" s="370"/>
      <c r="L16" s="370"/>
      <c r="M16" s="370"/>
      <c r="N16" s="370"/>
      <c r="O16" s="370"/>
      <c r="P16" s="371"/>
      <c r="Q16" s="539" t="str">
        <f t="shared" si="11"/>
        <v/>
      </c>
      <c r="R16" s="540" t="str">
        <f t="shared" si="0"/>
        <v/>
      </c>
      <c r="S16" s="540" t="str">
        <f t="shared" si="1"/>
        <v/>
      </c>
      <c r="T16" s="541" t="str">
        <f t="shared" si="2"/>
        <v xml:space="preserve"> </v>
      </c>
      <c r="U16" s="369"/>
      <c r="V16" s="370"/>
      <c r="W16" s="370"/>
      <c r="X16" s="370"/>
      <c r="Y16" s="370"/>
      <c r="Z16" s="370"/>
      <c r="AA16" s="370"/>
      <c r="AB16" s="370"/>
      <c r="AC16" s="370"/>
      <c r="AD16" s="370"/>
      <c r="AE16" s="370"/>
      <c r="AF16" s="370"/>
      <c r="AG16" s="371"/>
      <c r="AH16" s="539" t="str">
        <f t="shared" si="12"/>
        <v/>
      </c>
      <c r="AI16" s="540" t="str">
        <f t="shared" si="3"/>
        <v/>
      </c>
      <c r="AJ16" s="540" t="str">
        <f t="shared" si="4"/>
        <v/>
      </c>
      <c r="AK16" s="541" t="str">
        <f t="shared" si="13"/>
        <v xml:space="preserve"> </v>
      </c>
      <c r="AL16" s="369"/>
      <c r="AM16" s="370"/>
      <c r="AN16" s="370"/>
      <c r="AO16" s="370"/>
      <c r="AP16" s="370"/>
      <c r="AQ16" s="370"/>
      <c r="AR16" s="370"/>
      <c r="AS16" s="370"/>
      <c r="AT16" s="370"/>
      <c r="AU16" s="370"/>
      <c r="AV16" s="370"/>
      <c r="AW16" s="370"/>
      <c r="AX16" s="371"/>
      <c r="AY16" s="539" t="str">
        <f t="shared" si="14"/>
        <v/>
      </c>
      <c r="AZ16" s="540" t="str">
        <f t="shared" si="5"/>
        <v/>
      </c>
      <c r="BA16" s="540" t="str">
        <f t="shared" si="6"/>
        <v/>
      </c>
      <c r="BB16" s="541" t="str">
        <f t="shared" si="15"/>
        <v xml:space="preserve"> </v>
      </c>
      <c r="BC16" s="369"/>
      <c r="BD16" s="370"/>
      <c r="BE16" s="370"/>
      <c r="BF16" s="370"/>
      <c r="BG16" s="370"/>
      <c r="BH16" s="370"/>
      <c r="BI16" s="370"/>
      <c r="BJ16" s="370"/>
      <c r="BK16" s="370"/>
      <c r="BL16" s="370"/>
      <c r="BM16" s="370"/>
      <c r="BN16" s="370"/>
      <c r="BO16" s="371"/>
      <c r="BP16" s="539" t="str">
        <f t="shared" si="16"/>
        <v/>
      </c>
      <c r="BQ16" s="540" t="str">
        <f t="shared" si="7"/>
        <v/>
      </c>
      <c r="BR16" s="540" t="str">
        <f t="shared" si="8"/>
        <v/>
      </c>
      <c r="BS16" s="541" t="str">
        <f t="shared" si="17"/>
        <v xml:space="preserve"> </v>
      </c>
      <c r="BT16" s="545" t="str">
        <f t="shared" si="9"/>
        <v/>
      </c>
      <c r="BU16" s="548" t="str">
        <f t="shared" si="18"/>
        <v/>
      </c>
      <c r="BV16" s="547">
        <f t="shared" si="10"/>
        <v>0</v>
      </c>
    </row>
    <row r="17" spans="1:74" ht="15.75" thickBot="1" x14ac:dyDescent="0.3">
      <c r="A17" s="87" t="s">
        <v>106</v>
      </c>
      <c r="B17" s="167">
        <v>4</v>
      </c>
      <c r="C17" s="550" t="str">
        <f>'C. FILIACION'!C17:D17</f>
        <v>AQUISE HINOJOSA YHAMIR FABIO</v>
      </c>
      <c r="D17" s="369"/>
      <c r="E17" s="370"/>
      <c r="F17" s="370"/>
      <c r="G17" s="370"/>
      <c r="H17" s="370"/>
      <c r="I17" s="370"/>
      <c r="J17" s="370"/>
      <c r="K17" s="370"/>
      <c r="L17" s="370"/>
      <c r="M17" s="370"/>
      <c r="N17" s="370"/>
      <c r="O17" s="370"/>
      <c r="P17" s="371"/>
      <c r="Q17" s="539" t="str">
        <f t="shared" si="11"/>
        <v/>
      </c>
      <c r="R17" s="540" t="str">
        <f t="shared" si="0"/>
        <v/>
      </c>
      <c r="S17" s="540" t="str">
        <f t="shared" si="1"/>
        <v/>
      </c>
      <c r="T17" s="541" t="str">
        <f t="shared" si="2"/>
        <v xml:space="preserve"> </v>
      </c>
      <c r="U17" s="369"/>
      <c r="V17" s="370"/>
      <c r="W17" s="370"/>
      <c r="X17" s="370"/>
      <c r="Y17" s="370"/>
      <c r="Z17" s="370"/>
      <c r="AA17" s="370"/>
      <c r="AB17" s="370"/>
      <c r="AC17" s="370"/>
      <c r="AD17" s="370"/>
      <c r="AE17" s="370"/>
      <c r="AF17" s="370"/>
      <c r="AG17" s="371"/>
      <c r="AH17" s="539" t="str">
        <f t="shared" si="12"/>
        <v/>
      </c>
      <c r="AI17" s="540" t="str">
        <f t="shared" si="3"/>
        <v/>
      </c>
      <c r="AJ17" s="540" t="str">
        <f t="shared" si="4"/>
        <v/>
      </c>
      <c r="AK17" s="541" t="str">
        <f t="shared" si="13"/>
        <v xml:space="preserve"> </v>
      </c>
      <c r="AL17" s="369"/>
      <c r="AM17" s="370"/>
      <c r="AN17" s="370"/>
      <c r="AO17" s="370"/>
      <c r="AP17" s="370"/>
      <c r="AQ17" s="370"/>
      <c r="AR17" s="370"/>
      <c r="AS17" s="370"/>
      <c r="AT17" s="370"/>
      <c r="AU17" s="370"/>
      <c r="AV17" s="370"/>
      <c r="AW17" s="370"/>
      <c r="AX17" s="371"/>
      <c r="AY17" s="539" t="str">
        <f t="shared" si="14"/>
        <v/>
      </c>
      <c r="AZ17" s="540" t="str">
        <f t="shared" si="5"/>
        <v/>
      </c>
      <c r="BA17" s="540" t="str">
        <f t="shared" si="6"/>
        <v/>
      </c>
      <c r="BB17" s="541" t="str">
        <f t="shared" si="15"/>
        <v xml:space="preserve"> </v>
      </c>
      <c r="BC17" s="369"/>
      <c r="BD17" s="370"/>
      <c r="BE17" s="370"/>
      <c r="BF17" s="370"/>
      <c r="BG17" s="370"/>
      <c r="BH17" s="370"/>
      <c r="BI17" s="370"/>
      <c r="BJ17" s="370"/>
      <c r="BK17" s="370"/>
      <c r="BL17" s="370"/>
      <c r="BM17" s="370"/>
      <c r="BN17" s="370"/>
      <c r="BO17" s="371"/>
      <c r="BP17" s="539" t="str">
        <f t="shared" si="16"/>
        <v/>
      </c>
      <c r="BQ17" s="540" t="str">
        <f t="shared" si="7"/>
        <v/>
      </c>
      <c r="BR17" s="540" t="str">
        <f t="shared" si="8"/>
        <v/>
      </c>
      <c r="BS17" s="541" t="str">
        <f t="shared" si="17"/>
        <v xml:space="preserve"> </v>
      </c>
      <c r="BT17" s="545" t="str">
        <f t="shared" si="9"/>
        <v/>
      </c>
      <c r="BU17" s="548" t="str">
        <f t="shared" si="18"/>
        <v/>
      </c>
      <c r="BV17" s="547">
        <f t="shared" si="10"/>
        <v>0</v>
      </c>
    </row>
    <row r="18" spans="1:74" ht="15.75" thickBot="1" x14ac:dyDescent="0.3">
      <c r="A18" s="87" t="s">
        <v>107</v>
      </c>
      <c r="B18" s="167">
        <v>5</v>
      </c>
      <c r="C18" s="550" t="str">
        <f>'C. FILIACION'!C18:D18</f>
        <v>ARGANI  LAREDO MARIA JESUS</v>
      </c>
      <c r="D18" s="369"/>
      <c r="E18" s="370"/>
      <c r="F18" s="370"/>
      <c r="G18" s="370"/>
      <c r="H18" s="370"/>
      <c r="I18" s="370"/>
      <c r="J18" s="370"/>
      <c r="K18" s="370"/>
      <c r="L18" s="370"/>
      <c r="M18" s="370"/>
      <c r="N18" s="370"/>
      <c r="O18" s="370"/>
      <c r="P18" s="371"/>
      <c r="Q18" s="539" t="str">
        <f t="shared" si="11"/>
        <v/>
      </c>
      <c r="R18" s="540" t="str">
        <f t="shared" si="0"/>
        <v/>
      </c>
      <c r="S18" s="540" t="str">
        <f t="shared" si="1"/>
        <v/>
      </c>
      <c r="T18" s="541" t="str">
        <f t="shared" si="2"/>
        <v xml:space="preserve"> </v>
      </c>
      <c r="U18" s="369"/>
      <c r="V18" s="370"/>
      <c r="W18" s="370"/>
      <c r="X18" s="370"/>
      <c r="Y18" s="370"/>
      <c r="Z18" s="370"/>
      <c r="AA18" s="370"/>
      <c r="AB18" s="370"/>
      <c r="AC18" s="370"/>
      <c r="AD18" s="370"/>
      <c r="AE18" s="370"/>
      <c r="AF18" s="370"/>
      <c r="AG18" s="371"/>
      <c r="AH18" s="539" t="str">
        <f t="shared" si="12"/>
        <v/>
      </c>
      <c r="AI18" s="540" t="str">
        <f t="shared" si="3"/>
        <v/>
      </c>
      <c r="AJ18" s="540" t="str">
        <f t="shared" si="4"/>
        <v/>
      </c>
      <c r="AK18" s="541" t="str">
        <f t="shared" si="13"/>
        <v xml:space="preserve"> </v>
      </c>
      <c r="AL18" s="369"/>
      <c r="AM18" s="370"/>
      <c r="AN18" s="370"/>
      <c r="AO18" s="370"/>
      <c r="AP18" s="370"/>
      <c r="AQ18" s="370"/>
      <c r="AR18" s="370"/>
      <c r="AS18" s="370"/>
      <c r="AT18" s="370"/>
      <c r="AU18" s="370"/>
      <c r="AV18" s="370"/>
      <c r="AW18" s="370"/>
      <c r="AX18" s="371"/>
      <c r="AY18" s="539" t="str">
        <f t="shared" si="14"/>
        <v/>
      </c>
      <c r="AZ18" s="540" t="str">
        <f t="shared" si="5"/>
        <v/>
      </c>
      <c r="BA18" s="540" t="str">
        <f t="shared" si="6"/>
        <v/>
      </c>
      <c r="BB18" s="541" t="str">
        <f t="shared" si="15"/>
        <v xml:space="preserve"> </v>
      </c>
      <c r="BC18" s="369"/>
      <c r="BD18" s="370"/>
      <c r="BE18" s="370"/>
      <c r="BF18" s="370"/>
      <c r="BG18" s="370"/>
      <c r="BH18" s="370"/>
      <c r="BI18" s="370"/>
      <c r="BJ18" s="370"/>
      <c r="BK18" s="370"/>
      <c r="BL18" s="370"/>
      <c r="BM18" s="370"/>
      <c r="BN18" s="370"/>
      <c r="BO18" s="371"/>
      <c r="BP18" s="539" t="str">
        <f t="shared" si="16"/>
        <v/>
      </c>
      <c r="BQ18" s="540" t="str">
        <f t="shared" si="7"/>
        <v/>
      </c>
      <c r="BR18" s="540" t="str">
        <f t="shared" si="8"/>
        <v/>
      </c>
      <c r="BS18" s="541" t="str">
        <f t="shared" si="17"/>
        <v xml:space="preserve"> </v>
      </c>
      <c r="BT18" s="545" t="str">
        <f t="shared" si="9"/>
        <v/>
      </c>
      <c r="BU18" s="548" t="str">
        <f t="shared" si="18"/>
        <v/>
      </c>
      <c r="BV18" s="547">
        <f t="shared" si="10"/>
        <v>0</v>
      </c>
    </row>
    <row r="19" spans="1:74" ht="15.75" thickBot="1" x14ac:dyDescent="0.3">
      <c r="A19" s="87" t="s">
        <v>108</v>
      </c>
      <c r="B19" s="167">
        <v>6</v>
      </c>
      <c r="C19" s="550" t="str">
        <f>'C. FILIACION'!C19:D19</f>
        <v>AYLLON MOLLO RONNY BRUCE</v>
      </c>
      <c r="D19" s="369"/>
      <c r="E19" s="370"/>
      <c r="F19" s="370"/>
      <c r="G19" s="370"/>
      <c r="H19" s="370"/>
      <c r="I19" s="370"/>
      <c r="J19" s="370"/>
      <c r="K19" s="370"/>
      <c r="L19" s="370"/>
      <c r="M19" s="370"/>
      <c r="N19" s="370"/>
      <c r="O19" s="370"/>
      <c r="P19" s="371"/>
      <c r="Q19" s="539" t="str">
        <f t="shared" si="11"/>
        <v/>
      </c>
      <c r="R19" s="540" t="str">
        <f t="shared" si="0"/>
        <v/>
      </c>
      <c r="S19" s="540" t="str">
        <f t="shared" si="1"/>
        <v/>
      </c>
      <c r="T19" s="541" t="str">
        <f t="shared" si="2"/>
        <v xml:space="preserve"> </v>
      </c>
      <c r="U19" s="369"/>
      <c r="V19" s="370"/>
      <c r="W19" s="370"/>
      <c r="X19" s="370"/>
      <c r="Y19" s="370"/>
      <c r="Z19" s="370"/>
      <c r="AA19" s="370"/>
      <c r="AB19" s="370"/>
      <c r="AC19" s="370"/>
      <c r="AD19" s="370"/>
      <c r="AE19" s="370"/>
      <c r="AF19" s="370"/>
      <c r="AG19" s="371"/>
      <c r="AH19" s="539" t="str">
        <f t="shared" si="12"/>
        <v/>
      </c>
      <c r="AI19" s="540" t="str">
        <f t="shared" si="3"/>
        <v/>
      </c>
      <c r="AJ19" s="540" t="str">
        <f t="shared" si="4"/>
        <v/>
      </c>
      <c r="AK19" s="541" t="str">
        <f t="shared" si="13"/>
        <v xml:space="preserve"> </v>
      </c>
      <c r="AL19" s="369"/>
      <c r="AM19" s="370"/>
      <c r="AN19" s="370"/>
      <c r="AO19" s="370"/>
      <c r="AP19" s="370"/>
      <c r="AQ19" s="370"/>
      <c r="AR19" s="370"/>
      <c r="AS19" s="370"/>
      <c r="AT19" s="370"/>
      <c r="AU19" s="370"/>
      <c r="AV19" s="370"/>
      <c r="AW19" s="370"/>
      <c r="AX19" s="371"/>
      <c r="AY19" s="539" t="str">
        <f t="shared" si="14"/>
        <v/>
      </c>
      <c r="AZ19" s="540" t="str">
        <f t="shared" si="5"/>
        <v/>
      </c>
      <c r="BA19" s="540" t="str">
        <f t="shared" si="6"/>
        <v/>
      </c>
      <c r="BB19" s="541" t="str">
        <f t="shared" si="15"/>
        <v xml:space="preserve"> </v>
      </c>
      <c r="BC19" s="369"/>
      <c r="BD19" s="370"/>
      <c r="BE19" s="370"/>
      <c r="BF19" s="370"/>
      <c r="BG19" s="370"/>
      <c r="BH19" s="370"/>
      <c r="BI19" s="370"/>
      <c r="BJ19" s="370"/>
      <c r="BK19" s="370"/>
      <c r="BL19" s="370"/>
      <c r="BM19" s="370"/>
      <c r="BN19" s="370"/>
      <c r="BO19" s="371"/>
      <c r="BP19" s="539" t="str">
        <f t="shared" si="16"/>
        <v/>
      </c>
      <c r="BQ19" s="540" t="str">
        <f t="shared" si="7"/>
        <v/>
      </c>
      <c r="BR19" s="540" t="str">
        <f t="shared" si="8"/>
        <v/>
      </c>
      <c r="BS19" s="541" t="str">
        <f t="shared" si="17"/>
        <v xml:space="preserve"> </v>
      </c>
      <c r="BT19" s="545" t="str">
        <f t="shared" si="9"/>
        <v/>
      </c>
      <c r="BU19" s="548" t="str">
        <f t="shared" si="18"/>
        <v/>
      </c>
      <c r="BV19" s="547">
        <f t="shared" si="10"/>
        <v>0</v>
      </c>
    </row>
    <row r="20" spans="1:74" ht="15.75" thickBot="1" x14ac:dyDescent="0.3">
      <c r="A20" s="87" t="s">
        <v>109</v>
      </c>
      <c r="B20" s="167">
        <v>7</v>
      </c>
      <c r="C20" s="550" t="str">
        <f>'C. FILIACION'!C20:D20</f>
        <v>BALBOA  PAZ ANTHONY JR</v>
      </c>
      <c r="D20" s="369"/>
      <c r="E20" s="370"/>
      <c r="F20" s="370"/>
      <c r="G20" s="370"/>
      <c r="H20" s="370"/>
      <c r="I20" s="370"/>
      <c r="J20" s="370"/>
      <c r="K20" s="370"/>
      <c r="L20" s="370"/>
      <c r="M20" s="370"/>
      <c r="N20" s="370"/>
      <c r="O20" s="370"/>
      <c r="P20" s="371"/>
      <c r="Q20" s="539" t="str">
        <f t="shared" si="11"/>
        <v/>
      </c>
      <c r="R20" s="540" t="str">
        <f t="shared" si="0"/>
        <v/>
      </c>
      <c r="S20" s="540" t="str">
        <f t="shared" si="1"/>
        <v/>
      </c>
      <c r="T20" s="541" t="str">
        <f t="shared" si="2"/>
        <v xml:space="preserve"> </v>
      </c>
      <c r="U20" s="369"/>
      <c r="V20" s="370"/>
      <c r="W20" s="370"/>
      <c r="X20" s="370"/>
      <c r="Y20" s="370"/>
      <c r="Z20" s="370"/>
      <c r="AA20" s="370"/>
      <c r="AB20" s="370"/>
      <c r="AC20" s="370"/>
      <c r="AD20" s="370"/>
      <c r="AE20" s="370"/>
      <c r="AF20" s="370"/>
      <c r="AG20" s="371"/>
      <c r="AH20" s="539" t="str">
        <f t="shared" si="12"/>
        <v/>
      </c>
      <c r="AI20" s="540" t="str">
        <f t="shared" si="3"/>
        <v/>
      </c>
      <c r="AJ20" s="540" t="str">
        <f t="shared" si="4"/>
        <v/>
      </c>
      <c r="AK20" s="541" t="str">
        <f t="shared" si="13"/>
        <v xml:space="preserve"> </v>
      </c>
      <c r="AL20" s="369"/>
      <c r="AM20" s="370"/>
      <c r="AN20" s="370"/>
      <c r="AO20" s="370"/>
      <c r="AP20" s="370"/>
      <c r="AQ20" s="370"/>
      <c r="AR20" s="370"/>
      <c r="AS20" s="370"/>
      <c r="AT20" s="370"/>
      <c r="AU20" s="370"/>
      <c r="AV20" s="370"/>
      <c r="AW20" s="370"/>
      <c r="AX20" s="371"/>
      <c r="AY20" s="539" t="str">
        <f t="shared" si="14"/>
        <v/>
      </c>
      <c r="AZ20" s="540" t="str">
        <f t="shared" si="5"/>
        <v/>
      </c>
      <c r="BA20" s="540" t="str">
        <f t="shared" si="6"/>
        <v/>
      </c>
      <c r="BB20" s="541" t="str">
        <f t="shared" si="15"/>
        <v xml:space="preserve"> </v>
      </c>
      <c r="BC20" s="369"/>
      <c r="BD20" s="370"/>
      <c r="BE20" s="370"/>
      <c r="BF20" s="370"/>
      <c r="BG20" s="370"/>
      <c r="BH20" s="370"/>
      <c r="BI20" s="370"/>
      <c r="BJ20" s="370"/>
      <c r="BK20" s="370"/>
      <c r="BL20" s="370"/>
      <c r="BM20" s="370"/>
      <c r="BN20" s="370"/>
      <c r="BO20" s="371"/>
      <c r="BP20" s="539" t="str">
        <f t="shared" si="16"/>
        <v/>
      </c>
      <c r="BQ20" s="540" t="str">
        <f t="shared" si="7"/>
        <v/>
      </c>
      <c r="BR20" s="540" t="str">
        <f t="shared" si="8"/>
        <v/>
      </c>
      <c r="BS20" s="541" t="str">
        <f t="shared" si="17"/>
        <v xml:space="preserve"> </v>
      </c>
      <c r="BT20" s="545" t="str">
        <f t="shared" si="9"/>
        <v/>
      </c>
      <c r="BU20" s="549" t="str">
        <f t="shared" si="18"/>
        <v/>
      </c>
      <c r="BV20" s="547">
        <f t="shared" si="10"/>
        <v>0</v>
      </c>
    </row>
    <row r="21" spans="1:74" ht="15.75" thickBot="1" x14ac:dyDescent="0.3">
      <c r="A21" s="87" t="s">
        <v>110</v>
      </c>
      <c r="B21" s="167">
        <v>8</v>
      </c>
      <c r="C21" s="550" t="str">
        <f>'C. FILIACION'!C21:D21</f>
        <v>CAMACHO SALGADO LEONARDO</v>
      </c>
      <c r="D21" s="369"/>
      <c r="E21" s="370"/>
      <c r="F21" s="370"/>
      <c r="G21" s="370"/>
      <c r="H21" s="370"/>
      <c r="I21" s="370"/>
      <c r="J21" s="370"/>
      <c r="K21" s="370"/>
      <c r="L21" s="370"/>
      <c r="M21" s="370"/>
      <c r="N21" s="370"/>
      <c r="O21" s="370"/>
      <c r="P21" s="371"/>
      <c r="Q21" s="539" t="str">
        <f t="shared" si="11"/>
        <v/>
      </c>
      <c r="R21" s="540" t="str">
        <f t="shared" si="0"/>
        <v/>
      </c>
      <c r="S21" s="540" t="str">
        <f t="shared" si="1"/>
        <v/>
      </c>
      <c r="T21" s="541" t="str">
        <f t="shared" si="2"/>
        <v xml:space="preserve"> </v>
      </c>
      <c r="U21" s="369"/>
      <c r="V21" s="370"/>
      <c r="W21" s="370"/>
      <c r="X21" s="370"/>
      <c r="Y21" s="370"/>
      <c r="Z21" s="370"/>
      <c r="AA21" s="370"/>
      <c r="AB21" s="370"/>
      <c r="AC21" s="370"/>
      <c r="AD21" s="370"/>
      <c r="AE21" s="370"/>
      <c r="AF21" s="370"/>
      <c r="AG21" s="371"/>
      <c r="AH21" s="539" t="str">
        <f t="shared" si="12"/>
        <v/>
      </c>
      <c r="AI21" s="540" t="str">
        <f t="shared" si="3"/>
        <v/>
      </c>
      <c r="AJ21" s="540" t="str">
        <f t="shared" si="4"/>
        <v/>
      </c>
      <c r="AK21" s="541" t="str">
        <f t="shared" si="13"/>
        <v xml:space="preserve"> </v>
      </c>
      <c r="AL21" s="369"/>
      <c r="AM21" s="370"/>
      <c r="AN21" s="370"/>
      <c r="AO21" s="370"/>
      <c r="AP21" s="370"/>
      <c r="AQ21" s="370"/>
      <c r="AR21" s="370"/>
      <c r="AS21" s="370"/>
      <c r="AT21" s="370"/>
      <c r="AU21" s="370"/>
      <c r="AV21" s="370"/>
      <c r="AW21" s="370"/>
      <c r="AX21" s="371"/>
      <c r="AY21" s="539" t="str">
        <f t="shared" si="14"/>
        <v/>
      </c>
      <c r="AZ21" s="540" t="str">
        <f t="shared" si="5"/>
        <v/>
      </c>
      <c r="BA21" s="540" t="str">
        <f t="shared" si="6"/>
        <v/>
      </c>
      <c r="BB21" s="541" t="str">
        <f t="shared" si="15"/>
        <v xml:space="preserve"> </v>
      </c>
      <c r="BC21" s="369"/>
      <c r="BD21" s="370"/>
      <c r="BE21" s="370"/>
      <c r="BF21" s="370"/>
      <c r="BG21" s="370"/>
      <c r="BH21" s="370"/>
      <c r="BI21" s="370"/>
      <c r="BJ21" s="370"/>
      <c r="BK21" s="370"/>
      <c r="BL21" s="370"/>
      <c r="BM21" s="370"/>
      <c r="BN21" s="370"/>
      <c r="BO21" s="371"/>
      <c r="BP21" s="539" t="str">
        <f t="shared" si="16"/>
        <v/>
      </c>
      <c r="BQ21" s="540" t="str">
        <f t="shared" si="7"/>
        <v/>
      </c>
      <c r="BR21" s="540" t="str">
        <f t="shared" si="8"/>
        <v/>
      </c>
      <c r="BS21" s="541" t="str">
        <f t="shared" si="17"/>
        <v xml:space="preserve"> </v>
      </c>
      <c r="BT21" s="545" t="str">
        <f t="shared" si="9"/>
        <v/>
      </c>
      <c r="BU21" s="548" t="str">
        <f t="shared" si="18"/>
        <v/>
      </c>
      <c r="BV21" s="547">
        <f t="shared" si="10"/>
        <v>0</v>
      </c>
    </row>
    <row r="22" spans="1:74" ht="15.75" thickBot="1" x14ac:dyDescent="0.3">
      <c r="A22" s="87" t="s">
        <v>111</v>
      </c>
      <c r="B22" s="167">
        <v>9</v>
      </c>
      <c r="C22" s="550" t="str">
        <f>'C. FILIACION'!C22:D22</f>
        <v>CARRION MARGUAY FABIANA ALEXANDRA</v>
      </c>
      <c r="D22" s="369"/>
      <c r="E22" s="370"/>
      <c r="F22" s="370"/>
      <c r="G22" s="370"/>
      <c r="H22" s="370"/>
      <c r="I22" s="370"/>
      <c r="J22" s="370"/>
      <c r="K22" s="370"/>
      <c r="L22" s="370"/>
      <c r="M22" s="370"/>
      <c r="N22" s="370"/>
      <c r="O22" s="370"/>
      <c r="P22" s="371"/>
      <c r="Q22" s="539" t="str">
        <f t="shared" si="11"/>
        <v/>
      </c>
      <c r="R22" s="540" t="str">
        <f t="shared" si="0"/>
        <v/>
      </c>
      <c r="S22" s="540" t="str">
        <f t="shared" si="1"/>
        <v/>
      </c>
      <c r="T22" s="541" t="str">
        <f t="shared" si="2"/>
        <v xml:space="preserve"> </v>
      </c>
      <c r="U22" s="369"/>
      <c r="V22" s="370"/>
      <c r="W22" s="370"/>
      <c r="X22" s="370"/>
      <c r="Y22" s="370"/>
      <c r="Z22" s="370"/>
      <c r="AA22" s="370"/>
      <c r="AB22" s="370"/>
      <c r="AC22" s="370"/>
      <c r="AD22" s="370"/>
      <c r="AE22" s="370"/>
      <c r="AF22" s="370"/>
      <c r="AG22" s="371"/>
      <c r="AH22" s="539" t="str">
        <f t="shared" si="12"/>
        <v/>
      </c>
      <c r="AI22" s="540" t="str">
        <f t="shared" si="3"/>
        <v/>
      </c>
      <c r="AJ22" s="540" t="str">
        <f t="shared" si="4"/>
        <v/>
      </c>
      <c r="AK22" s="541" t="str">
        <f t="shared" si="13"/>
        <v xml:space="preserve"> </v>
      </c>
      <c r="AL22" s="369"/>
      <c r="AM22" s="370"/>
      <c r="AN22" s="370"/>
      <c r="AO22" s="370"/>
      <c r="AP22" s="370"/>
      <c r="AQ22" s="370"/>
      <c r="AR22" s="370"/>
      <c r="AS22" s="370"/>
      <c r="AT22" s="370"/>
      <c r="AU22" s="370"/>
      <c r="AV22" s="370"/>
      <c r="AW22" s="370"/>
      <c r="AX22" s="371"/>
      <c r="AY22" s="539" t="str">
        <f t="shared" si="14"/>
        <v/>
      </c>
      <c r="AZ22" s="540" t="str">
        <f t="shared" si="5"/>
        <v/>
      </c>
      <c r="BA22" s="540" t="str">
        <f t="shared" si="6"/>
        <v/>
      </c>
      <c r="BB22" s="541" t="str">
        <f t="shared" si="15"/>
        <v xml:space="preserve"> </v>
      </c>
      <c r="BC22" s="369"/>
      <c r="BD22" s="370"/>
      <c r="BE22" s="370"/>
      <c r="BF22" s="370"/>
      <c r="BG22" s="370"/>
      <c r="BH22" s="370"/>
      <c r="BI22" s="370"/>
      <c r="BJ22" s="370"/>
      <c r="BK22" s="370"/>
      <c r="BL22" s="370"/>
      <c r="BM22" s="370"/>
      <c r="BN22" s="370"/>
      <c r="BO22" s="371"/>
      <c r="BP22" s="539" t="str">
        <f t="shared" si="16"/>
        <v/>
      </c>
      <c r="BQ22" s="540" t="str">
        <f t="shared" si="7"/>
        <v/>
      </c>
      <c r="BR22" s="540" t="str">
        <f t="shared" si="8"/>
        <v/>
      </c>
      <c r="BS22" s="541" t="str">
        <f t="shared" si="17"/>
        <v xml:space="preserve"> </v>
      </c>
      <c r="BT22" s="545" t="str">
        <f t="shared" si="9"/>
        <v/>
      </c>
      <c r="BU22" s="548" t="str">
        <f t="shared" si="18"/>
        <v/>
      </c>
      <c r="BV22" s="547">
        <f t="shared" si="10"/>
        <v>0</v>
      </c>
    </row>
    <row r="23" spans="1:74" ht="15.75" thickBot="1" x14ac:dyDescent="0.3">
      <c r="A23" s="87" t="s">
        <v>112</v>
      </c>
      <c r="B23" s="167">
        <v>10</v>
      </c>
      <c r="C23" s="550" t="str">
        <f>'C. FILIACION'!C23:D23</f>
        <v>CAYO CALLE JUAN PABLO</v>
      </c>
      <c r="D23" s="369"/>
      <c r="E23" s="370"/>
      <c r="F23" s="370"/>
      <c r="G23" s="370"/>
      <c r="H23" s="370"/>
      <c r="I23" s="370"/>
      <c r="J23" s="370"/>
      <c r="K23" s="370"/>
      <c r="L23" s="370"/>
      <c r="M23" s="370"/>
      <c r="N23" s="370"/>
      <c r="O23" s="370"/>
      <c r="P23" s="371"/>
      <c r="Q23" s="539" t="str">
        <f t="shared" si="11"/>
        <v/>
      </c>
      <c r="R23" s="540" t="str">
        <f t="shared" si="0"/>
        <v/>
      </c>
      <c r="S23" s="540" t="str">
        <f t="shared" si="1"/>
        <v/>
      </c>
      <c r="T23" s="541" t="str">
        <f t="shared" si="2"/>
        <v xml:space="preserve"> </v>
      </c>
      <c r="U23" s="369"/>
      <c r="V23" s="370"/>
      <c r="W23" s="370"/>
      <c r="X23" s="370"/>
      <c r="Y23" s="370"/>
      <c r="Z23" s="370"/>
      <c r="AA23" s="370"/>
      <c r="AB23" s="370"/>
      <c r="AC23" s="370"/>
      <c r="AD23" s="370"/>
      <c r="AE23" s="370"/>
      <c r="AF23" s="370"/>
      <c r="AG23" s="371"/>
      <c r="AH23" s="539" t="str">
        <f t="shared" si="12"/>
        <v/>
      </c>
      <c r="AI23" s="540" t="str">
        <f t="shared" si="3"/>
        <v/>
      </c>
      <c r="AJ23" s="540" t="str">
        <f t="shared" si="4"/>
        <v/>
      </c>
      <c r="AK23" s="541" t="str">
        <f t="shared" si="13"/>
        <v xml:space="preserve"> </v>
      </c>
      <c r="AL23" s="369"/>
      <c r="AM23" s="370"/>
      <c r="AN23" s="370"/>
      <c r="AO23" s="370"/>
      <c r="AP23" s="370"/>
      <c r="AQ23" s="370"/>
      <c r="AR23" s="370"/>
      <c r="AS23" s="370"/>
      <c r="AT23" s="370"/>
      <c r="AU23" s="370"/>
      <c r="AV23" s="370"/>
      <c r="AW23" s="370"/>
      <c r="AX23" s="371"/>
      <c r="AY23" s="539" t="str">
        <f t="shared" si="14"/>
        <v/>
      </c>
      <c r="AZ23" s="540" t="str">
        <f t="shared" si="5"/>
        <v/>
      </c>
      <c r="BA23" s="540" t="str">
        <f t="shared" si="6"/>
        <v/>
      </c>
      <c r="BB23" s="541" t="str">
        <f t="shared" si="15"/>
        <v xml:space="preserve"> </v>
      </c>
      <c r="BC23" s="369"/>
      <c r="BD23" s="370"/>
      <c r="BE23" s="370"/>
      <c r="BF23" s="370"/>
      <c r="BG23" s="370"/>
      <c r="BH23" s="370"/>
      <c r="BI23" s="370"/>
      <c r="BJ23" s="370"/>
      <c r="BK23" s="370"/>
      <c r="BL23" s="370"/>
      <c r="BM23" s="370"/>
      <c r="BN23" s="370"/>
      <c r="BO23" s="371"/>
      <c r="BP23" s="539" t="str">
        <f t="shared" si="16"/>
        <v/>
      </c>
      <c r="BQ23" s="540" t="str">
        <f t="shared" si="7"/>
        <v/>
      </c>
      <c r="BR23" s="540" t="str">
        <f t="shared" si="8"/>
        <v/>
      </c>
      <c r="BS23" s="541" t="str">
        <f t="shared" si="17"/>
        <v xml:space="preserve"> </v>
      </c>
      <c r="BT23" s="545" t="str">
        <f t="shared" si="9"/>
        <v/>
      </c>
      <c r="BU23" s="548" t="str">
        <f t="shared" si="18"/>
        <v/>
      </c>
      <c r="BV23" s="547">
        <f t="shared" si="10"/>
        <v>0</v>
      </c>
    </row>
    <row r="24" spans="1:74" ht="15.75" thickBot="1" x14ac:dyDescent="0.3">
      <c r="A24" s="87" t="s">
        <v>113</v>
      </c>
      <c r="B24" s="167">
        <v>11</v>
      </c>
      <c r="C24" s="550" t="str">
        <f>'C. FILIACION'!C24:D24</f>
        <v>CONDE ZARATE ASHLY OTHANY</v>
      </c>
      <c r="D24" s="369"/>
      <c r="E24" s="370"/>
      <c r="F24" s="370"/>
      <c r="G24" s="370"/>
      <c r="H24" s="370"/>
      <c r="I24" s="370"/>
      <c r="J24" s="370"/>
      <c r="K24" s="370"/>
      <c r="L24" s="370"/>
      <c r="M24" s="370"/>
      <c r="N24" s="370"/>
      <c r="O24" s="370"/>
      <c r="P24" s="371"/>
      <c r="Q24" s="539" t="str">
        <f t="shared" si="11"/>
        <v/>
      </c>
      <c r="R24" s="540" t="str">
        <f t="shared" si="0"/>
        <v/>
      </c>
      <c r="S24" s="540" t="str">
        <f t="shared" si="1"/>
        <v/>
      </c>
      <c r="T24" s="541" t="str">
        <f t="shared" si="2"/>
        <v xml:space="preserve"> </v>
      </c>
      <c r="U24" s="369"/>
      <c r="V24" s="370"/>
      <c r="W24" s="370"/>
      <c r="X24" s="370"/>
      <c r="Y24" s="370"/>
      <c r="Z24" s="370"/>
      <c r="AA24" s="370"/>
      <c r="AB24" s="370"/>
      <c r="AC24" s="370"/>
      <c r="AD24" s="370"/>
      <c r="AE24" s="370"/>
      <c r="AF24" s="370"/>
      <c r="AG24" s="371"/>
      <c r="AH24" s="539" t="str">
        <f t="shared" si="12"/>
        <v/>
      </c>
      <c r="AI24" s="540" t="str">
        <f t="shared" si="3"/>
        <v/>
      </c>
      <c r="AJ24" s="540" t="str">
        <f t="shared" si="4"/>
        <v/>
      </c>
      <c r="AK24" s="541" t="str">
        <f t="shared" si="13"/>
        <v xml:space="preserve"> </v>
      </c>
      <c r="AL24" s="369"/>
      <c r="AM24" s="370"/>
      <c r="AN24" s="370"/>
      <c r="AO24" s="370"/>
      <c r="AP24" s="370"/>
      <c r="AQ24" s="370"/>
      <c r="AR24" s="370"/>
      <c r="AS24" s="370"/>
      <c r="AT24" s="370"/>
      <c r="AU24" s="370"/>
      <c r="AV24" s="370"/>
      <c r="AW24" s="370"/>
      <c r="AX24" s="371"/>
      <c r="AY24" s="539" t="str">
        <f t="shared" si="14"/>
        <v/>
      </c>
      <c r="AZ24" s="540" t="str">
        <f t="shared" si="5"/>
        <v/>
      </c>
      <c r="BA24" s="540" t="str">
        <f t="shared" si="6"/>
        <v/>
      </c>
      <c r="BB24" s="541" t="str">
        <f t="shared" si="15"/>
        <v xml:space="preserve"> </v>
      </c>
      <c r="BC24" s="369"/>
      <c r="BD24" s="370"/>
      <c r="BE24" s="370"/>
      <c r="BF24" s="370"/>
      <c r="BG24" s="370"/>
      <c r="BH24" s="370"/>
      <c r="BI24" s="370"/>
      <c r="BJ24" s="370"/>
      <c r="BK24" s="370"/>
      <c r="BL24" s="370"/>
      <c r="BM24" s="370"/>
      <c r="BN24" s="370"/>
      <c r="BO24" s="371"/>
      <c r="BP24" s="539" t="str">
        <f t="shared" si="16"/>
        <v/>
      </c>
      <c r="BQ24" s="540" t="str">
        <f t="shared" si="7"/>
        <v/>
      </c>
      <c r="BR24" s="540" t="str">
        <f t="shared" si="8"/>
        <v/>
      </c>
      <c r="BS24" s="541" t="str">
        <f t="shared" si="17"/>
        <v xml:space="preserve"> </v>
      </c>
      <c r="BT24" s="545" t="str">
        <f t="shared" si="9"/>
        <v/>
      </c>
      <c r="BU24" s="548" t="str">
        <f t="shared" si="18"/>
        <v/>
      </c>
      <c r="BV24" s="547">
        <f t="shared" si="10"/>
        <v>0</v>
      </c>
    </row>
    <row r="25" spans="1:74" ht="15.75" thickBot="1" x14ac:dyDescent="0.3">
      <c r="A25" s="87" t="s">
        <v>114</v>
      </c>
      <c r="B25" s="167">
        <v>12</v>
      </c>
      <c r="C25" s="550" t="str">
        <f>'C. FILIACION'!C25:D25</f>
        <v>CORTEZ RODRIGUEZ  GONZALO AXCELL</v>
      </c>
      <c r="D25" s="369"/>
      <c r="E25" s="370"/>
      <c r="F25" s="370"/>
      <c r="G25" s="370"/>
      <c r="H25" s="370"/>
      <c r="I25" s="370"/>
      <c r="J25" s="370"/>
      <c r="K25" s="370"/>
      <c r="L25" s="370"/>
      <c r="M25" s="370"/>
      <c r="N25" s="370"/>
      <c r="O25" s="370"/>
      <c r="P25" s="371"/>
      <c r="Q25" s="539" t="str">
        <f t="shared" si="11"/>
        <v/>
      </c>
      <c r="R25" s="540" t="str">
        <f t="shared" si="0"/>
        <v/>
      </c>
      <c r="S25" s="540" t="str">
        <f t="shared" si="1"/>
        <v/>
      </c>
      <c r="T25" s="541" t="str">
        <f t="shared" si="2"/>
        <v xml:space="preserve"> </v>
      </c>
      <c r="U25" s="369"/>
      <c r="V25" s="370"/>
      <c r="W25" s="370"/>
      <c r="X25" s="370"/>
      <c r="Y25" s="370"/>
      <c r="Z25" s="370"/>
      <c r="AA25" s="370"/>
      <c r="AB25" s="370"/>
      <c r="AC25" s="370"/>
      <c r="AD25" s="370"/>
      <c r="AE25" s="370"/>
      <c r="AF25" s="370"/>
      <c r="AG25" s="371"/>
      <c r="AH25" s="539" t="str">
        <f t="shared" si="12"/>
        <v/>
      </c>
      <c r="AI25" s="540" t="str">
        <f t="shared" si="3"/>
        <v/>
      </c>
      <c r="AJ25" s="540" t="str">
        <f t="shared" si="4"/>
        <v/>
      </c>
      <c r="AK25" s="541" t="str">
        <f t="shared" si="13"/>
        <v xml:space="preserve"> </v>
      </c>
      <c r="AL25" s="369"/>
      <c r="AM25" s="370"/>
      <c r="AN25" s="370"/>
      <c r="AO25" s="370"/>
      <c r="AP25" s="370"/>
      <c r="AQ25" s="370"/>
      <c r="AR25" s="370"/>
      <c r="AS25" s="370"/>
      <c r="AT25" s="370"/>
      <c r="AU25" s="370"/>
      <c r="AV25" s="370"/>
      <c r="AW25" s="370"/>
      <c r="AX25" s="371"/>
      <c r="AY25" s="539" t="str">
        <f t="shared" si="14"/>
        <v/>
      </c>
      <c r="AZ25" s="540" t="str">
        <f t="shared" si="5"/>
        <v/>
      </c>
      <c r="BA25" s="540" t="str">
        <f t="shared" si="6"/>
        <v/>
      </c>
      <c r="BB25" s="541" t="str">
        <f t="shared" si="15"/>
        <v xml:space="preserve"> </v>
      </c>
      <c r="BC25" s="369"/>
      <c r="BD25" s="370"/>
      <c r="BE25" s="370"/>
      <c r="BF25" s="370"/>
      <c r="BG25" s="370"/>
      <c r="BH25" s="370"/>
      <c r="BI25" s="370"/>
      <c r="BJ25" s="370"/>
      <c r="BK25" s="370"/>
      <c r="BL25" s="370"/>
      <c r="BM25" s="370"/>
      <c r="BN25" s="370"/>
      <c r="BO25" s="371"/>
      <c r="BP25" s="539" t="str">
        <f t="shared" si="16"/>
        <v/>
      </c>
      <c r="BQ25" s="540" t="str">
        <f t="shared" si="7"/>
        <v/>
      </c>
      <c r="BR25" s="540" t="str">
        <f t="shared" si="8"/>
        <v/>
      </c>
      <c r="BS25" s="541" t="str">
        <f t="shared" si="17"/>
        <v xml:space="preserve"> </v>
      </c>
      <c r="BT25" s="545" t="str">
        <f t="shared" si="9"/>
        <v/>
      </c>
      <c r="BU25" s="548" t="str">
        <f t="shared" si="18"/>
        <v/>
      </c>
      <c r="BV25" s="547">
        <f t="shared" si="10"/>
        <v>0</v>
      </c>
    </row>
    <row r="26" spans="1:74" ht="15.75" thickBot="1" x14ac:dyDescent="0.3">
      <c r="A26" s="87" t="s">
        <v>115</v>
      </c>
      <c r="B26" s="167">
        <v>13</v>
      </c>
      <c r="C26" s="550" t="str">
        <f>'C. FILIACION'!C26:D26</f>
        <v>HILAYA  TORREZ CARLA JHULIANA</v>
      </c>
      <c r="D26" s="369"/>
      <c r="E26" s="370"/>
      <c r="F26" s="370"/>
      <c r="G26" s="370"/>
      <c r="H26" s="370"/>
      <c r="I26" s="370"/>
      <c r="J26" s="370"/>
      <c r="K26" s="370"/>
      <c r="L26" s="370"/>
      <c r="M26" s="370"/>
      <c r="N26" s="370"/>
      <c r="O26" s="370"/>
      <c r="P26" s="371"/>
      <c r="Q26" s="539" t="str">
        <f t="shared" si="11"/>
        <v/>
      </c>
      <c r="R26" s="540" t="str">
        <f t="shared" si="0"/>
        <v/>
      </c>
      <c r="S26" s="540" t="str">
        <f t="shared" si="1"/>
        <v/>
      </c>
      <c r="T26" s="541" t="str">
        <f t="shared" si="2"/>
        <v xml:space="preserve"> </v>
      </c>
      <c r="U26" s="369"/>
      <c r="V26" s="370"/>
      <c r="W26" s="370"/>
      <c r="X26" s="370"/>
      <c r="Y26" s="370"/>
      <c r="Z26" s="370"/>
      <c r="AA26" s="370"/>
      <c r="AB26" s="370"/>
      <c r="AC26" s="370"/>
      <c r="AD26" s="370"/>
      <c r="AE26" s="370"/>
      <c r="AF26" s="370"/>
      <c r="AG26" s="371"/>
      <c r="AH26" s="539" t="str">
        <f t="shared" si="12"/>
        <v/>
      </c>
      <c r="AI26" s="540" t="str">
        <f t="shared" si="3"/>
        <v/>
      </c>
      <c r="AJ26" s="540" t="str">
        <f t="shared" si="4"/>
        <v/>
      </c>
      <c r="AK26" s="541" t="str">
        <f t="shared" si="13"/>
        <v xml:space="preserve"> </v>
      </c>
      <c r="AL26" s="369"/>
      <c r="AM26" s="370"/>
      <c r="AN26" s="370"/>
      <c r="AO26" s="370"/>
      <c r="AP26" s="370"/>
      <c r="AQ26" s="370"/>
      <c r="AR26" s="370"/>
      <c r="AS26" s="370"/>
      <c r="AT26" s="370"/>
      <c r="AU26" s="370"/>
      <c r="AV26" s="370"/>
      <c r="AW26" s="370"/>
      <c r="AX26" s="371"/>
      <c r="AY26" s="539" t="str">
        <f t="shared" si="14"/>
        <v/>
      </c>
      <c r="AZ26" s="540" t="str">
        <f t="shared" si="5"/>
        <v/>
      </c>
      <c r="BA26" s="540" t="str">
        <f t="shared" si="6"/>
        <v/>
      </c>
      <c r="BB26" s="541" t="str">
        <f t="shared" si="15"/>
        <v xml:space="preserve"> </v>
      </c>
      <c r="BC26" s="369"/>
      <c r="BD26" s="370"/>
      <c r="BE26" s="370"/>
      <c r="BF26" s="370"/>
      <c r="BG26" s="370"/>
      <c r="BH26" s="370"/>
      <c r="BI26" s="370"/>
      <c r="BJ26" s="370"/>
      <c r="BK26" s="370"/>
      <c r="BL26" s="370"/>
      <c r="BM26" s="370"/>
      <c r="BN26" s="370"/>
      <c r="BO26" s="371"/>
      <c r="BP26" s="539" t="str">
        <f t="shared" si="16"/>
        <v/>
      </c>
      <c r="BQ26" s="540" t="str">
        <f t="shared" si="7"/>
        <v/>
      </c>
      <c r="BR26" s="540" t="str">
        <f t="shared" si="8"/>
        <v/>
      </c>
      <c r="BS26" s="541" t="str">
        <f t="shared" si="17"/>
        <v xml:space="preserve"> </v>
      </c>
      <c r="BT26" s="545" t="str">
        <f t="shared" si="9"/>
        <v/>
      </c>
      <c r="BU26" s="548" t="str">
        <f t="shared" si="18"/>
        <v/>
      </c>
      <c r="BV26" s="547">
        <f t="shared" si="10"/>
        <v>0</v>
      </c>
    </row>
    <row r="27" spans="1:74" ht="15.75" thickBot="1" x14ac:dyDescent="0.3">
      <c r="A27" s="87" t="s">
        <v>116</v>
      </c>
      <c r="B27" s="167">
        <v>14</v>
      </c>
      <c r="C27" s="550" t="str">
        <f>'C. FILIACION'!C27:D27</f>
        <v>HUANCA CALLISAYA  PATRICIA</v>
      </c>
      <c r="D27" s="369"/>
      <c r="E27" s="370"/>
      <c r="F27" s="370"/>
      <c r="G27" s="370"/>
      <c r="H27" s="370"/>
      <c r="I27" s="370"/>
      <c r="J27" s="370"/>
      <c r="K27" s="370"/>
      <c r="L27" s="370"/>
      <c r="M27" s="370"/>
      <c r="N27" s="370"/>
      <c r="O27" s="370"/>
      <c r="P27" s="371"/>
      <c r="Q27" s="539" t="str">
        <f t="shared" si="11"/>
        <v/>
      </c>
      <c r="R27" s="540" t="str">
        <f t="shared" si="0"/>
        <v/>
      </c>
      <c r="S27" s="540" t="str">
        <f t="shared" si="1"/>
        <v/>
      </c>
      <c r="T27" s="541" t="str">
        <f t="shared" si="2"/>
        <v xml:space="preserve"> </v>
      </c>
      <c r="U27" s="369"/>
      <c r="V27" s="370"/>
      <c r="W27" s="370"/>
      <c r="X27" s="370"/>
      <c r="Y27" s="370"/>
      <c r="Z27" s="370"/>
      <c r="AA27" s="370"/>
      <c r="AB27" s="370"/>
      <c r="AC27" s="370"/>
      <c r="AD27" s="370"/>
      <c r="AE27" s="370"/>
      <c r="AF27" s="370"/>
      <c r="AG27" s="371"/>
      <c r="AH27" s="539" t="str">
        <f t="shared" si="12"/>
        <v/>
      </c>
      <c r="AI27" s="540" t="str">
        <f t="shared" si="3"/>
        <v/>
      </c>
      <c r="AJ27" s="540" t="str">
        <f t="shared" si="4"/>
        <v/>
      </c>
      <c r="AK27" s="541" t="str">
        <f t="shared" si="13"/>
        <v xml:space="preserve"> </v>
      </c>
      <c r="AL27" s="369"/>
      <c r="AM27" s="370"/>
      <c r="AN27" s="370"/>
      <c r="AO27" s="370"/>
      <c r="AP27" s="370"/>
      <c r="AQ27" s="370"/>
      <c r="AR27" s="370"/>
      <c r="AS27" s="370"/>
      <c r="AT27" s="370"/>
      <c r="AU27" s="370"/>
      <c r="AV27" s="370"/>
      <c r="AW27" s="370"/>
      <c r="AX27" s="371"/>
      <c r="AY27" s="539" t="str">
        <f t="shared" si="14"/>
        <v/>
      </c>
      <c r="AZ27" s="540" t="str">
        <f t="shared" si="5"/>
        <v/>
      </c>
      <c r="BA27" s="540" t="str">
        <f t="shared" si="6"/>
        <v/>
      </c>
      <c r="BB27" s="541" t="str">
        <f t="shared" si="15"/>
        <v xml:space="preserve"> </v>
      </c>
      <c r="BC27" s="369"/>
      <c r="BD27" s="370"/>
      <c r="BE27" s="370"/>
      <c r="BF27" s="370"/>
      <c r="BG27" s="370"/>
      <c r="BH27" s="370"/>
      <c r="BI27" s="370"/>
      <c r="BJ27" s="370"/>
      <c r="BK27" s="370"/>
      <c r="BL27" s="370"/>
      <c r="BM27" s="370"/>
      <c r="BN27" s="370"/>
      <c r="BO27" s="371"/>
      <c r="BP27" s="539" t="str">
        <f t="shared" si="16"/>
        <v/>
      </c>
      <c r="BQ27" s="540" t="str">
        <f t="shared" si="7"/>
        <v/>
      </c>
      <c r="BR27" s="540" t="str">
        <f t="shared" si="8"/>
        <v/>
      </c>
      <c r="BS27" s="541" t="str">
        <f t="shared" si="17"/>
        <v xml:space="preserve"> </v>
      </c>
      <c r="BT27" s="545" t="str">
        <f t="shared" si="9"/>
        <v/>
      </c>
      <c r="BU27" s="548" t="str">
        <f t="shared" si="18"/>
        <v/>
      </c>
      <c r="BV27" s="547">
        <f t="shared" si="10"/>
        <v>0</v>
      </c>
    </row>
    <row r="28" spans="1:74" ht="15.75" thickBot="1" x14ac:dyDescent="0.3">
      <c r="A28" s="87" t="s">
        <v>117</v>
      </c>
      <c r="B28" s="167">
        <v>15</v>
      </c>
      <c r="C28" s="550" t="str">
        <f>'C. FILIACION'!C28:D28</f>
        <v>LIMACHI RADA GERMAN DOMINGO</v>
      </c>
      <c r="D28" s="369"/>
      <c r="E28" s="370"/>
      <c r="F28" s="370"/>
      <c r="G28" s="370"/>
      <c r="H28" s="370"/>
      <c r="I28" s="370"/>
      <c r="J28" s="370"/>
      <c r="K28" s="370"/>
      <c r="L28" s="370"/>
      <c r="M28" s="370"/>
      <c r="N28" s="370"/>
      <c r="O28" s="370"/>
      <c r="P28" s="371"/>
      <c r="Q28" s="539" t="str">
        <f t="shared" si="11"/>
        <v/>
      </c>
      <c r="R28" s="540" t="str">
        <f t="shared" si="0"/>
        <v/>
      </c>
      <c r="S28" s="540" t="str">
        <f t="shared" si="1"/>
        <v/>
      </c>
      <c r="T28" s="541" t="str">
        <f t="shared" si="2"/>
        <v xml:space="preserve"> </v>
      </c>
      <c r="U28" s="369"/>
      <c r="V28" s="370"/>
      <c r="W28" s="370"/>
      <c r="X28" s="370"/>
      <c r="Y28" s="370"/>
      <c r="Z28" s="370"/>
      <c r="AA28" s="370"/>
      <c r="AB28" s="370"/>
      <c r="AC28" s="370"/>
      <c r="AD28" s="370"/>
      <c r="AE28" s="370"/>
      <c r="AF28" s="370"/>
      <c r="AG28" s="371"/>
      <c r="AH28" s="539" t="str">
        <f t="shared" si="12"/>
        <v/>
      </c>
      <c r="AI28" s="540" t="str">
        <f t="shared" si="3"/>
        <v/>
      </c>
      <c r="AJ28" s="540" t="str">
        <f t="shared" si="4"/>
        <v/>
      </c>
      <c r="AK28" s="541" t="str">
        <f t="shared" si="13"/>
        <v xml:space="preserve"> </v>
      </c>
      <c r="AL28" s="369"/>
      <c r="AM28" s="370"/>
      <c r="AN28" s="370"/>
      <c r="AO28" s="370"/>
      <c r="AP28" s="370"/>
      <c r="AQ28" s="370"/>
      <c r="AR28" s="370"/>
      <c r="AS28" s="370"/>
      <c r="AT28" s="370"/>
      <c r="AU28" s="370"/>
      <c r="AV28" s="370"/>
      <c r="AW28" s="370"/>
      <c r="AX28" s="371"/>
      <c r="AY28" s="539" t="str">
        <f t="shared" si="14"/>
        <v/>
      </c>
      <c r="AZ28" s="540" t="str">
        <f t="shared" si="5"/>
        <v/>
      </c>
      <c r="BA28" s="540" t="str">
        <f t="shared" si="6"/>
        <v/>
      </c>
      <c r="BB28" s="541" t="str">
        <f t="shared" si="15"/>
        <v xml:space="preserve"> </v>
      </c>
      <c r="BC28" s="369"/>
      <c r="BD28" s="370"/>
      <c r="BE28" s="370"/>
      <c r="BF28" s="370"/>
      <c r="BG28" s="370"/>
      <c r="BH28" s="370"/>
      <c r="BI28" s="370"/>
      <c r="BJ28" s="370"/>
      <c r="BK28" s="370"/>
      <c r="BL28" s="370"/>
      <c r="BM28" s="370"/>
      <c r="BN28" s="370"/>
      <c r="BO28" s="371"/>
      <c r="BP28" s="539" t="str">
        <f t="shared" si="16"/>
        <v/>
      </c>
      <c r="BQ28" s="540" t="str">
        <f t="shared" si="7"/>
        <v/>
      </c>
      <c r="BR28" s="540" t="str">
        <f t="shared" si="8"/>
        <v/>
      </c>
      <c r="BS28" s="541" t="str">
        <f t="shared" si="17"/>
        <v xml:space="preserve"> </v>
      </c>
      <c r="BT28" s="545" t="str">
        <f t="shared" si="9"/>
        <v/>
      </c>
      <c r="BU28" s="548" t="str">
        <f t="shared" si="18"/>
        <v/>
      </c>
      <c r="BV28" s="547">
        <f t="shared" si="10"/>
        <v>0</v>
      </c>
    </row>
    <row r="29" spans="1:74" ht="15.75" thickBot="1" x14ac:dyDescent="0.3">
      <c r="A29" s="87" t="s">
        <v>118</v>
      </c>
      <c r="B29" s="167">
        <v>16</v>
      </c>
      <c r="C29" s="550" t="str">
        <f>'C. FILIACION'!C29:D29</f>
        <v>MANTILLA SANCHEZ CAROLINA VALERIA</v>
      </c>
      <c r="D29" s="369"/>
      <c r="E29" s="370"/>
      <c r="F29" s="370"/>
      <c r="G29" s="370"/>
      <c r="H29" s="370"/>
      <c r="I29" s="370"/>
      <c r="J29" s="370"/>
      <c r="K29" s="370"/>
      <c r="L29" s="370"/>
      <c r="M29" s="370"/>
      <c r="N29" s="370"/>
      <c r="O29" s="370"/>
      <c r="P29" s="371"/>
      <c r="Q29" s="539" t="str">
        <f t="shared" si="11"/>
        <v/>
      </c>
      <c r="R29" s="540" t="str">
        <f t="shared" si="0"/>
        <v/>
      </c>
      <c r="S29" s="540" t="str">
        <f t="shared" si="1"/>
        <v/>
      </c>
      <c r="T29" s="541" t="str">
        <f t="shared" si="2"/>
        <v xml:space="preserve"> </v>
      </c>
      <c r="U29" s="369"/>
      <c r="V29" s="370"/>
      <c r="W29" s="370"/>
      <c r="X29" s="370"/>
      <c r="Y29" s="370"/>
      <c r="Z29" s="370"/>
      <c r="AA29" s="370"/>
      <c r="AB29" s="370"/>
      <c r="AC29" s="370"/>
      <c r="AD29" s="370"/>
      <c r="AE29" s="370"/>
      <c r="AF29" s="370"/>
      <c r="AG29" s="371"/>
      <c r="AH29" s="539" t="str">
        <f t="shared" si="12"/>
        <v/>
      </c>
      <c r="AI29" s="540" t="str">
        <f t="shared" si="3"/>
        <v/>
      </c>
      <c r="AJ29" s="540" t="str">
        <f t="shared" si="4"/>
        <v/>
      </c>
      <c r="AK29" s="541" t="str">
        <f t="shared" si="13"/>
        <v xml:space="preserve"> </v>
      </c>
      <c r="AL29" s="369"/>
      <c r="AM29" s="370"/>
      <c r="AN29" s="370"/>
      <c r="AO29" s="370"/>
      <c r="AP29" s="370"/>
      <c r="AQ29" s="370"/>
      <c r="AR29" s="370"/>
      <c r="AS29" s="370"/>
      <c r="AT29" s="370"/>
      <c r="AU29" s="370"/>
      <c r="AV29" s="370"/>
      <c r="AW29" s="370"/>
      <c r="AX29" s="371"/>
      <c r="AY29" s="539" t="str">
        <f t="shared" si="14"/>
        <v/>
      </c>
      <c r="AZ29" s="540" t="str">
        <f t="shared" si="5"/>
        <v/>
      </c>
      <c r="BA29" s="540" t="str">
        <f t="shared" si="6"/>
        <v/>
      </c>
      <c r="BB29" s="541" t="str">
        <f t="shared" si="15"/>
        <v xml:space="preserve"> </v>
      </c>
      <c r="BC29" s="369"/>
      <c r="BD29" s="370"/>
      <c r="BE29" s="370"/>
      <c r="BF29" s="370"/>
      <c r="BG29" s="370"/>
      <c r="BH29" s="370"/>
      <c r="BI29" s="370"/>
      <c r="BJ29" s="370"/>
      <c r="BK29" s="370"/>
      <c r="BL29" s="370"/>
      <c r="BM29" s="370"/>
      <c r="BN29" s="370"/>
      <c r="BO29" s="371"/>
      <c r="BP29" s="539" t="str">
        <f t="shared" si="16"/>
        <v/>
      </c>
      <c r="BQ29" s="540" t="str">
        <f t="shared" si="7"/>
        <v/>
      </c>
      <c r="BR29" s="540" t="str">
        <f t="shared" si="8"/>
        <v/>
      </c>
      <c r="BS29" s="541" t="str">
        <f t="shared" si="17"/>
        <v xml:space="preserve"> </v>
      </c>
      <c r="BT29" s="545" t="str">
        <f t="shared" si="9"/>
        <v/>
      </c>
      <c r="BU29" s="548" t="str">
        <f t="shared" si="18"/>
        <v/>
      </c>
      <c r="BV29" s="547">
        <f t="shared" si="10"/>
        <v>0</v>
      </c>
    </row>
    <row r="30" spans="1:74" ht="15.75" thickBot="1" x14ac:dyDescent="0.3">
      <c r="A30" s="87" t="s">
        <v>119</v>
      </c>
      <c r="B30" s="167">
        <v>17</v>
      </c>
      <c r="C30" s="550" t="str">
        <f>'C. FILIACION'!C30:D30</f>
        <v>MULLER  ESCOBAR MARCIA BIBIANA</v>
      </c>
      <c r="D30" s="369"/>
      <c r="E30" s="370"/>
      <c r="F30" s="370"/>
      <c r="G30" s="370"/>
      <c r="H30" s="370"/>
      <c r="I30" s="370"/>
      <c r="J30" s="370"/>
      <c r="K30" s="370"/>
      <c r="L30" s="370"/>
      <c r="M30" s="370"/>
      <c r="N30" s="370"/>
      <c r="O30" s="370"/>
      <c r="P30" s="371"/>
      <c r="Q30" s="539" t="str">
        <f t="shared" si="11"/>
        <v/>
      </c>
      <c r="R30" s="540" t="str">
        <f t="shared" si="0"/>
        <v/>
      </c>
      <c r="S30" s="540" t="str">
        <f t="shared" si="1"/>
        <v/>
      </c>
      <c r="T30" s="541" t="str">
        <f t="shared" si="2"/>
        <v xml:space="preserve"> </v>
      </c>
      <c r="U30" s="369"/>
      <c r="V30" s="370"/>
      <c r="W30" s="370"/>
      <c r="X30" s="370"/>
      <c r="Y30" s="370"/>
      <c r="Z30" s="370"/>
      <c r="AA30" s="370"/>
      <c r="AB30" s="370"/>
      <c r="AC30" s="370"/>
      <c r="AD30" s="370"/>
      <c r="AE30" s="370"/>
      <c r="AF30" s="370"/>
      <c r="AG30" s="371"/>
      <c r="AH30" s="539" t="str">
        <f t="shared" si="12"/>
        <v/>
      </c>
      <c r="AI30" s="540" t="str">
        <f t="shared" si="3"/>
        <v/>
      </c>
      <c r="AJ30" s="540" t="str">
        <f t="shared" si="4"/>
        <v/>
      </c>
      <c r="AK30" s="541" t="str">
        <f t="shared" si="13"/>
        <v xml:space="preserve"> </v>
      </c>
      <c r="AL30" s="369"/>
      <c r="AM30" s="370"/>
      <c r="AN30" s="370"/>
      <c r="AO30" s="370"/>
      <c r="AP30" s="370"/>
      <c r="AQ30" s="370"/>
      <c r="AR30" s="370"/>
      <c r="AS30" s="370"/>
      <c r="AT30" s="370"/>
      <c r="AU30" s="370"/>
      <c r="AV30" s="370"/>
      <c r="AW30" s="370"/>
      <c r="AX30" s="371"/>
      <c r="AY30" s="539" t="str">
        <f t="shared" si="14"/>
        <v/>
      </c>
      <c r="AZ30" s="540" t="str">
        <f t="shared" si="5"/>
        <v/>
      </c>
      <c r="BA30" s="540" t="str">
        <f t="shared" si="6"/>
        <v/>
      </c>
      <c r="BB30" s="541" t="str">
        <f t="shared" si="15"/>
        <v xml:space="preserve"> </v>
      </c>
      <c r="BC30" s="369"/>
      <c r="BD30" s="370"/>
      <c r="BE30" s="370"/>
      <c r="BF30" s="370"/>
      <c r="BG30" s="370"/>
      <c r="BH30" s="370"/>
      <c r="BI30" s="370"/>
      <c r="BJ30" s="370"/>
      <c r="BK30" s="370"/>
      <c r="BL30" s="370"/>
      <c r="BM30" s="370"/>
      <c r="BN30" s="370"/>
      <c r="BO30" s="371"/>
      <c r="BP30" s="539" t="str">
        <f t="shared" si="16"/>
        <v/>
      </c>
      <c r="BQ30" s="540" t="str">
        <f t="shared" si="7"/>
        <v/>
      </c>
      <c r="BR30" s="540" t="str">
        <f t="shared" si="8"/>
        <v/>
      </c>
      <c r="BS30" s="541" t="str">
        <f t="shared" si="17"/>
        <v xml:space="preserve"> </v>
      </c>
      <c r="BT30" s="545" t="str">
        <f t="shared" si="9"/>
        <v/>
      </c>
      <c r="BU30" s="548" t="str">
        <f t="shared" si="18"/>
        <v/>
      </c>
      <c r="BV30" s="547">
        <f t="shared" si="10"/>
        <v>0</v>
      </c>
    </row>
    <row r="31" spans="1:74" ht="15.75" thickBot="1" x14ac:dyDescent="0.3">
      <c r="A31" s="87" t="s">
        <v>120</v>
      </c>
      <c r="B31" s="167">
        <v>18</v>
      </c>
      <c r="C31" s="550" t="str">
        <f>'C. FILIACION'!C31:D31</f>
        <v xml:space="preserve">POMA MAMANI ADRIAN </v>
      </c>
      <c r="D31" s="369"/>
      <c r="E31" s="370"/>
      <c r="F31" s="370"/>
      <c r="G31" s="370"/>
      <c r="H31" s="370"/>
      <c r="I31" s="370"/>
      <c r="J31" s="370"/>
      <c r="K31" s="370"/>
      <c r="L31" s="370"/>
      <c r="M31" s="370"/>
      <c r="N31" s="370"/>
      <c r="O31" s="370"/>
      <c r="P31" s="371"/>
      <c r="Q31" s="539" t="str">
        <f t="shared" si="11"/>
        <v/>
      </c>
      <c r="R31" s="540" t="str">
        <f t="shared" si="0"/>
        <v/>
      </c>
      <c r="S31" s="540" t="str">
        <f t="shared" si="1"/>
        <v/>
      </c>
      <c r="T31" s="541" t="str">
        <f t="shared" si="2"/>
        <v xml:space="preserve"> </v>
      </c>
      <c r="U31" s="369"/>
      <c r="V31" s="370"/>
      <c r="W31" s="370"/>
      <c r="X31" s="370"/>
      <c r="Y31" s="370"/>
      <c r="Z31" s="370"/>
      <c r="AA31" s="370"/>
      <c r="AB31" s="370"/>
      <c r="AC31" s="370"/>
      <c r="AD31" s="370"/>
      <c r="AE31" s="370"/>
      <c r="AF31" s="370"/>
      <c r="AG31" s="371"/>
      <c r="AH31" s="539" t="str">
        <f t="shared" si="12"/>
        <v/>
      </c>
      <c r="AI31" s="540" t="str">
        <f t="shared" si="3"/>
        <v/>
      </c>
      <c r="AJ31" s="540" t="str">
        <f t="shared" si="4"/>
        <v/>
      </c>
      <c r="AK31" s="541" t="str">
        <f t="shared" si="13"/>
        <v xml:space="preserve"> </v>
      </c>
      <c r="AL31" s="369"/>
      <c r="AM31" s="370"/>
      <c r="AN31" s="370"/>
      <c r="AO31" s="370"/>
      <c r="AP31" s="370"/>
      <c r="AQ31" s="370"/>
      <c r="AR31" s="370"/>
      <c r="AS31" s="370"/>
      <c r="AT31" s="370"/>
      <c r="AU31" s="370"/>
      <c r="AV31" s="370"/>
      <c r="AW31" s="370"/>
      <c r="AX31" s="371"/>
      <c r="AY31" s="539" t="str">
        <f t="shared" si="14"/>
        <v/>
      </c>
      <c r="AZ31" s="540" t="str">
        <f t="shared" si="5"/>
        <v/>
      </c>
      <c r="BA31" s="540" t="str">
        <f t="shared" si="6"/>
        <v/>
      </c>
      <c r="BB31" s="541" t="str">
        <f t="shared" si="15"/>
        <v xml:space="preserve"> </v>
      </c>
      <c r="BC31" s="369"/>
      <c r="BD31" s="370"/>
      <c r="BE31" s="370"/>
      <c r="BF31" s="370"/>
      <c r="BG31" s="370"/>
      <c r="BH31" s="370"/>
      <c r="BI31" s="370"/>
      <c r="BJ31" s="370"/>
      <c r="BK31" s="370"/>
      <c r="BL31" s="370"/>
      <c r="BM31" s="370"/>
      <c r="BN31" s="370"/>
      <c r="BO31" s="371"/>
      <c r="BP31" s="539" t="str">
        <f t="shared" si="16"/>
        <v/>
      </c>
      <c r="BQ31" s="540" t="str">
        <f t="shared" si="7"/>
        <v/>
      </c>
      <c r="BR31" s="540" t="str">
        <f t="shared" si="8"/>
        <v/>
      </c>
      <c r="BS31" s="541" t="str">
        <f t="shared" si="17"/>
        <v xml:space="preserve"> </v>
      </c>
      <c r="BT31" s="545" t="str">
        <f t="shared" si="9"/>
        <v/>
      </c>
      <c r="BU31" s="548" t="str">
        <f t="shared" si="18"/>
        <v/>
      </c>
      <c r="BV31" s="547">
        <f t="shared" si="10"/>
        <v>0</v>
      </c>
    </row>
    <row r="32" spans="1:74" ht="15.75" thickBot="1" x14ac:dyDescent="0.3">
      <c r="A32" s="87" t="s">
        <v>121</v>
      </c>
      <c r="B32" s="167">
        <v>19</v>
      </c>
      <c r="C32" s="550" t="str">
        <f>'C. FILIACION'!C32:D32</f>
        <v>PORTILLO  JALJA JHOSEP ERLAN</v>
      </c>
      <c r="D32" s="369"/>
      <c r="E32" s="370"/>
      <c r="F32" s="370"/>
      <c r="G32" s="370"/>
      <c r="H32" s="370"/>
      <c r="I32" s="370"/>
      <c r="J32" s="370"/>
      <c r="K32" s="370"/>
      <c r="L32" s="370"/>
      <c r="M32" s="370"/>
      <c r="N32" s="370"/>
      <c r="O32" s="370"/>
      <c r="P32" s="371"/>
      <c r="Q32" s="539" t="str">
        <f t="shared" si="11"/>
        <v/>
      </c>
      <c r="R32" s="540" t="str">
        <f t="shared" si="0"/>
        <v/>
      </c>
      <c r="S32" s="540" t="str">
        <f t="shared" si="1"/>
        <v/>
      </c>
      <c r="T32" s="541" t="str">
        <f t="shared" si="2"/>
        <v xml:space="preserve"> </v>
      </c>
      <c r="U32" s="369"/>
      <c r="V32" s="370"/>
      <c r="W32" s="370"/>
      <c r="X32" s="370"/>
      <c r="Y32" s="370"/>
      <c r="Z32" s="370"/>
      <c r="AA32" s="370"/>
      <c r="AB32" s="370"/>
      <c r="AC32" s="370"/>
      <c r="AD32" s="370"/>
      <c r="AE32" s="370"/>
      <c r="AF32" s="370"/>
      <c r="AG32" s="371"/>
      <c r="AH32" s="539" t="str">
        <f t="shared" si="12"/>
        <v/>
      </c>
      <c r="AI32" s="540" t="str">
        <f t="shared" si="3"/>
        <v/>
      </c>
      <c r="AJ32" s="540" t="str">
        <f t="shared" si="4"/>
        <v/>
      </c>
      <c r="AK32" s="541" t="str">
        <f t="shared" si="13"/>
        <v xml:space="preserve"> </v>
      </c>
      <c r="AL32" s="369"/>
      <c r="AM32" s="370"/>
      <c r="AN32" s="370"/>
      <c r="AO32" s="370"/>
      <c r="AP32" s="370"/>
      <c r="AQ32" s="370"/>
      <c r="AR32" s="370"/>
      <c r="AS32" s="370"/>
      <c r="AT32" s="370"/>
      <c r="AU32" s="370"/>
      <c r="AV32" s="370"/>
      <c r="AW32" s="370"/>
      <c r="AX32" s="371"/>
      <c r="AY32" s="539" t="str">
        <f t="shared" si="14"/>
        <v/>
      </c>
      <c r="AZ32" s="540" t="str">
        <f t="shared" si="5"/>
        <v/>
      </c>
      <c r="BA32" s="540" t="str">
        <f t="shared" si="6"/>
        <v/>
      </c>
      <c r="BB32" s="541" t="str">
        <f t="shared" si="15"/>
        <v xml:space="preserve"> </v>
      </c>
      <c r="BC32" s="369"/>
      <c r="BD32" s="370"/>
      <c r="BE32" s="370"/>
      <c r="BF32" s="370"/>
      <c r="BG32" s="370"/>
      <c r="BH32" s="370"/>
      <c r="BI32" s="370"/>
      <c r="BJ32" s="370"/>
      <c r="BK32" s="370"/>
      <c r="BL32" s="370"/>
      <c r="BM32" s="370"/>
      <c r="BN32" s="370"/>
      <c r="BO32" s="371"/>
      <c r="BP32" s="539" t="str">
        <f t="shared" si="16"/>
        <v/>
      </c>
      <c r="BQ32" s="540" t="str">
        <f t="shared" si="7"/>
        <v/>
      </c>
      <c r="BR32" s="540" t="str">
        <f t="shared" si="8"/>
        <v/>
      </c>
      <c r="BS32" s="541" t="str">
        <f t="shared" si="17"/>
        <v xml:space="preserve"> </v>
      </c>
      <c r="BT32" s="545" t="str">
        <f t="shared" si="9"/>
        <v/>
      </c>
      <c r="BU32" s="548" t="str">
        <f t="shared" si="18"/>
        <v/>
      </c>
      <c r="BV32" s="547">
        <f t="shared" si="10"/>
        <v>0</v>
      </c>
    </row>
    <row r="33" spans="1:74" ht="15.75" thickBot="1" x14ac:dyDescent="0.3">
      <c r="A33" s="87" t="s">
        <v>122</v>
      </c>
      <c r="B33" s="167">
        <v>20</v>
      </c>
      <c r="C33" s="550" t="str">
        <f>'C. FILIACION'!C33:D33</f>
        <v>PUJRO  CHAUCA DIANA MARIBEL</v>
      </c>
      <c r="D33" s="369"/>
      <c r="E33" s="370"/>
      <c r="F33" s="370"/>
      <c r="G33" s="370"/>
      <c r="H33" s="370"/>
      <c r="I33" s="370"/>
      <c r="J33" s="370"/>
      <c r="K33" s="370"/>
      <c r="L33" s="370"/>
      <c r="M33" s="370"/>
      <c r="N33" s="370"/>
      <c r="O33" s="370"/>
      <c r="P33" s="371"/>
      <c r="Q33" s="539" t="str">
        <f t="shared" si="11"/>
        <v/>
      </c>
      <c r="R33" s="540" t="str">
        <f t="shared" si="0"/>
        <v/>
      </c>
      <c r="S33" s="540" t="str">
        <f t="shared" si="1"/>
        <v/>
      </c>
      <c r="T33" s="541" t="str">
        <f t="shared" si="2"/>
        <v xml:space="preserve"> </v>
      </c>
      <c r="U33" s="369"/>
      <c r="V33" s="370"/>
      <c r="W33" s="370"/>
      <c r="X33" s="370"/>
      <c r="Y33" s="370"/>
      <c r="Z33" s="370"/>
      <c r="AA33" s="370"/>
      <c r="AB33" s="370"/>
      <c r="AC33" s="370"/>
      <c r="AD33" s="370"/>
      <c r="AE33" s="370"/>
      <c r="AF33" s="370"/>
      <c r="AG33" s="371"/>
      <c r="AH33" s="539" t="str">
        <f t="shared" si="12"/>
        <v/>
      </c>
      <c r="AI33" s="540" t="str">
        <f t="shared" si="3"/>
        <v/>
      </c>
      <c r="AJ33" s="540" t="str">
        <f t="shared" si="4"/>
        <v/>
      </c>
      <c r="AK33" s="541" t="str">
        <f t="shared" si="13"/>
        <v xml:space="preserve"> </v>
      </c>
      <c r="AL33" s="369"/>
      <c r="AM33" s="370"/>
      <c r="AN33" s="370"/>
      <c r="AO33" s="370"/>
      <c r="AP33" s="370"/>
      <c r="AQ33" s="370"/>
      <c r="AR33" s="370"/>
      <c r="AS33" s="370"/>
      <c r="AT33" s="370"/>
      <c r="AU33" s="370"/>
      <c r="AV33" s="370"/>
      <c r="AW33" s="370"/>
      <c r="AX33" s="371"/>
      <c r="AY33" s="539" t="str">
        <f t="shared" si="14"/>
        <v/>
      </c>
      <c r="AZ33" s="540" t="str">
        <f t="shared" si="5"/>
        <v/>
      </c>
      <c r="BA33" s="540" t="str">
        <f t="shared" si="6"/>
        <v/>
      </c>
      <c r="BB33" s="541" t="str">
        <f t="shared" si="15"/>
        <v xml:space="preserve"> </v>
      </c>
      <c r="BC33" s="369"/>
      <c r="BD33" s="370"/>
      <c r="BE33" s="370"/>
      <c r="BF33" s="370"/>
      <c r="BG33" s="370"/>
      <c r="BH33" s="370"/>
      <c r="BI33" s="370"/>
      <c r="BJ33" s="370"/>
      <c r="BK33" s="370"/>
      <c r="BL33" s="370"/>
      <c r="BM33" s="370"/>
      <c r="BN33" s="370"/>
      <c r="BO33" s="371"/>
      <c r="BP33" s="539" t="str">
        <f t="shared" si="16"/>
        <v/>
      </c>
      <c r="BQ33" s="540" t="str">
        <f t="shared" si="7"/>
        <v/>
      </c>
      <c r="BR33" s="540" t="str">
        <f t="shared" si="8"/>
        <v/>
      </c>
      <c r="BS33" s="541" t="str">
        <f t="shared" si="17"/>
        <v xml:space="preserve"> </v>
      </c>
      <c r="BT33" s="545" t="str">
        <f t="shared" si="9"/>
        <v/>
      </c>
      <c r="BU33" s="548" t="str">
        <f t="shared" si="18"/>
        <v/>
      </c>
      <c r="BV33" s="547">
        <f t="shared" si="10"/>
        <v>0</v>
      </c>
    </row>
    <row r="34" spans="1:74" ht="15.75" thickBot="1" x14ac:dyDescent="0.3">
      <c r="A34" s="87" t="s">
        <v>123</v>
      </c>
      <c r="B34" s="167">
        <v>21</v>
      </c>
      <c r="C34" s="550" t="str">
        <f>'C. FILIACION'!C34:D34</f>
        <v>SANCHEZ  MOLINA ALEXIS VHADIR</v>
      </c>
      <c r="D34" s="369"/>
      <c r="E34" s="370"/>
      <c r="F34" s="370"/>
      <c r="G34" s="370"/>
      <c r="H34" s="370"/>
      <c r="I34" s="370"/>
      <c r="J34" s="370"/>
      <c r="K34" s="370"/>
      <c r="L34" s="370"/>
      <c r="M34" s="370"/>
      <c r="N34" s="370"/>
      <c r="O34" s="370"/>
      <c r="P34" s="371"/>
      <c r="Q34" s="539" t="str">
        <f t="shared" si="11"/>
        <v/>
      </c>
      <c r="R34" s="540" t="str">
        <f t="shared" si="0"/>
        <v/>
      </c>
      <c r="S34" s="540" t="str">
        <f t="shared" si="1"/>
        <v/>
      </c>
      <c r="T34" s="541" t="str">
        <f t="shared" si="2"/>
        <v xml:space="preserve"> </v>
      </c>
      <c r="U34" s="369"/>
      <c r="V34" s="370"/>
      <c r="W34" s="370"/>
      <c r="X34" s="370"/>
      <c r="Y34" s="370"/>
      <c r="Z34" s="370"/>
      <c r="AA34" s="370"/>
      <c r="AB34" s="370"/>
      <c r="AC34" s="370"/>
      <c r="AD34" s="370"/>
      <c r="AE34" s="370"/>
      <c r="AF34" s="370"/>
      <c r="AG34" s="371"/>
      <c r="AH34" s="539" t="str">
        <f t="shared" si="12"/>
        <v/>
      </c>
      <c r="AI34" s="540" t="str">
        <f t="shared" si="3"/>
        <v/>
      </c>
      <c r="AJ34" s="540" t="str">
        <f t="shared" si="4"/>
        <v/>
      </c>
      <c r="AK34" s="541" t="str">
        <f t="shared" si="13"/>
        <v xml:space="preserve"> </v>
      </c>
      <c r="AL34" s="369"/>
      <c r="AM34" s="370"/>
      <c r="AN34" s="370"/>
      <c r="AO34" s="370"/>
      <c r="AP34" s="370"/>
      <c r="AQ34" s="370"/>
      <c r="AR34" s="370"/>
      <c r="AS34" s="370"/>
      <c r="AT34" s="370"/>
      <c r="AU34" s="370"/>
      <c r="AV34" s="370"/>
      <c r="AW34" s="370"/>
      <c r="AX34" s="371"/>
      <c r="AY34" s="539" t="str">
        <f t="shared" si="14"/>
        <v/>
      </c>
      <c r="AZ34" s="540" t="str">
        <f t="shared" si="5"/>
        <v/>
      </c>
      <c r="BA34" s="540" t="str">
        <f t="shared" si="6"/>
        <v/>
      </c>
      <c r="BB34" s="541" t="str">
        <f t="shared" si="15"/>
        <v xml:space="preserve"> </v>
      </c>
      <c r="BC34" s="369"/>
      <c r="BD34" s="370"/>
      <c r="BE34" s="370"/>
      <c r="BF34" s="370"/>
      <c r="BG34" s="370"/>
      <c r="BH34" s="370"/>
      <c r="BI34" s="370"/>
      <c r="BJ34" s="370"/>
      <c r="BK34" s="370"/>
      <c r="BL34" s="370"/>
      <c r="BM34" s="370"/>
      <c r="BN34" s="370"/>
      <c r="BO34" s="371"/>
      <c r="BP34" s="539" t="str">
        <f t="shared" si="16"/>
        <v/>
      </c>
      <c r="BQ34" s="540" t="str">
        <f t="shared" si="7"/>
        <v/>
      </c>
      <c r="BR34" s="540" t="str">
        <f t="shared" si="8"/>
        <v/>
      </c>
      <c r="BS34" s="541" t="str">
        <f t="shared" si="17"/>
        <v xml:space="preserve"> </v>
      </c>
      <c r="BT34" s="545" t="str">
        <f t="shared" si="9"/>
        <v/>
      </c>
      <c r="BU34" s="548" t="str">
        <f t="shared" si="18"/>
        <v/>
      </c>
      <c r="BV34" s="547">
        <f t="shared" si="10"/>
        <v>0</v>
      </c>
    </row>
    <row r="35" spans="1:74" ht="15.75" thickBot="1" x14ac:dyDescent="0.3">
      <c r="A35" s="87" t="s">
        <v>124</v>
      </c>
      <c r="B35" s="167">
        <v>22</v>
      </c>
      <c r="C35" s="550" t="str">
        <f>'C. FILIACION'!C35:D35</f>
        <v>SARAVIA SALVATIERRA JOSSE AMED</v>
      </c>
      <c r="D35" s="369"/>
      <c r="E35" s="370"/>
      <c r="F35" s="370"/>
      <c r="G35" s="370"/>
      <c r="H35" s="370"/>
      <c r="I35" s="370"/>
      <c r="J35" s="370"/>
      <c r="K35" s="370"/>
      <c r="L35" s="370"/>
      <c r="M35" s="370"/>
      <c r="N35" s="370"/>
      <c r="O35" s="370"/>
      <c r="P35" s="371"/>
      <c r="Q35" s="539" t="str">
        <f t="shared" si="11"/>
        <v/>
      </c>
      <c r="R35" s="540" t="str">
        <f t="shared" si="0"/>
        <v/>
      </c>
      <c r="S35" s="540" t="str">
        <f t="shared" si="1"/>
        <v/>
      </c>
      <c r="T35" s="541" t="str">
        <f t="shared" si="2"/>
        <v xml:space="preserve"> </v>
      </c>
      <c r="U35" s="369"/>
      <c r="V35" s="370"/>
      <c r="W35" s="370"/>
      <c r="X35" s="370"/>
      <c r="Y35" s="370"/>
      <c r="Z35" s="370"/>
      <c r="AA35" s="370"/>
      <c r="AB35" s="370"/>
      <c r="AC35" s="370"/>
      <c r="AD35" s="370"/>
      <c r="AE35" s="370"/>
      <c r="AF35" s="370"/>
      <c r="AG35" s="371"/>
      <c r="AH35" s="539" t="str">
        <f t="shared" si="12"/>
        <v/>
      </c>
      <c r="AI35" s="540" t="str">
        <f t="shared" si="3"/>
        <v/>
      </c>
      <c r="AJ35" s="540" t="str">
        <f t="shared" si="4"/>
        <v/>
      </c>
      <c r="AK35" s="541" t="str">
        <f t="shared" si="13"/>
        <v xml:space="preserve"> </v>
      </c>
      <c r="AL35" s="369"/>
      <c r="AM35" s="370"/>
      <c r="AN35" s="370"/>
      <c r="AO35" s="370"/>
      <c r="AP35" s="370"/>
      <c r="AQ35" s="370"/>
      <c r="AR35" s="370"/>
      <c r="AS35" s="370"/>
      <c r="AT35" s="370"/>
      <c r="AU35" s="370"/>
      <c r="AV35" s="370"/>
      <c r="AW35" s="370"/>
      <c r="AX35" s="371"/>
      <c r="AY35" s="539" t="str">
        <f t="shared" si="14"/>
        <v/>
      </c>
      <c r="AZ35" s="540" t="str">
        <f t="shared" si="5"/>
        <v/>
      </c>
      <c r="BA35" s="540" t="str">
        <f t="shared" si="6"/>
        <v/>
      </c>
      <c r="BB35" s="541" t="str">
        <f t="shared" si="15"/>
        <v xml:space="preserve"> </v>
      </c>
      <c r="BC35" s="369"/>
      <c r="BD35" s="370"/>
      <c r="BE35" s="370"/>
      <c r="BF35" s="370"/>
      <c r="BG35" s="370"/>
      <c r="BH35" s="370"/>
      <c r="BI35" s="370"/>
      <c r="BJ35" s="370"/>
      <c r="BK35" s="370"/>
      <c r="BL35" s="370"/>
      <c r="BM35" s="370"/>
      <c r="BN35" s="370"/>
      <c r="BO35" s="371"/>
      <c r="BP35" s="539" t="str">
        <f t="shared" si="16"/>
        <v/>
      </c>
      <c r="BQ35" s="540" t="str">
        <f t="shared" si="7"/>
        <v/>
      </c>
      <c r="BR35" s="540" t="str">
        <f t="shared" si="8"/>
        <v/>
      </c>
      <c r="BS35" s="541" t="str">
        <f t="shared" si="17"/>
        <v xml:space="preserve"> </v>
      </c>
      <c r="BT35" s="545" t="str">
        <f t="shared" si="9"/>
        <v/>
      </c>
      <c r="BU35" s="548" t="str">
        <f t="shared" si="18"/>
        <v/>
      </c>
      <c r="BV35" s="547">
        <f t="shared" si="10"/>
        <v>0</v>
      </c>
    </row>
    <row r="36" spans="1:74" ht="15.75" thickBot="1" x14ac:dyDescent="0.3">
      <c r="A36" s="87" t="s">
        <v>125</v>
      </c>
      <c r="B36" s="167">
        <v>23</v>
      </c>
      <c r="C36" s="550" t="str">
        <f>'C. FILIACION'!C36:D36</f>
        <v>SIERRA LUNA GABRIEL  GERMAN</v>
      </c>
      <c r="D36" s="369"/>
      <c r="E36" s="370"/>
      <c r="F36" s="370"/>
      <c r="G36" s="370"/>
      <c r="H36" s="370"/>
      <c r="I36" s="370"/>
      <c r="J36" s="370"/>
      <c r="K36" s="370"/>
      <c r="L36" s="370"/>
      <c r="M36" s="370"/>
      <c r="N36" s="370"/>
      <c r="O36" s="370"/>
      <c r="P36" s="371"/>
      <c r="Q36" s="539" t="str">
        <f t="shared" si="11"/>
        <v/>
      </c>
      <c r="R36" s="540" t="str">
        <f t="shared" si="0"/>
        <v/>
      </c>
      <c r="S36" s="540" t="str">
        <f t="shared" si="1"/>
        <v/>
      </c>
      <c r="T36" s="541" t="str">
        <f t="shared" si="2"/>
        <v xml:space="preserve"> </v>
      </c>
      <c r="U36" s="369"/>
      <c r="V36" s="370"/>
      <c r="W36" s="370"/>
      <c r="X36" s="370"/>
      <c r="Y36" s="370"/>
      <c r="Z36" s="370"/>
      <c r="AA36" s="370"/>
      <c r="AB36" s="370"/>
      <c r="AC36" s="370"/>
      <c r="AD36" s="370"/>
      <c r="AE36" s="370"/>
      <c r="AF36" s="370"/>
      <c r="AG36" s="371"/>
      <c r="AH36" s="539" t="str">
        <f t="shared" si="12"/>
        <v/>
      </c>
      <c r="AI36" s="540" t="str">
        <f t="shared" si="3"/>
        <v/>
      </c>
      <c r="AJ36" s="540" t="str">
        <f t="shared" si="4"/>
        <v/>
      </c>
      <c r="AK36" s="541" t="str">
        <f t="shared" si="13"/>
        <v xml:space="preserve"> </v>
      </c>
      <c r="AL36" s="369"/>
      <c r="AM36" s="370"/>
      <c r="AN36" s="370"/>
      <c r="AO36" s="370"/>
      <c r="AP36" s="370"/>
      <c r="AQ36" s="370"/>
      <c r="AR36" s="370"/>
      <c r="AS36" s="370"/>
      <c r="AT36" s="370"/>
      <c r="AU36" s="370"/>
      <c r="AV36" s="370"/>
      <c r="AW36" s="370"/>
      <c r="AX36" s="371"/>
      <c r="AY36" s="539" t="str">
        <f t="shared" si="14"/>
        <v/>
      </c>
      <c r="AZ36" s="540" t="str">
        <f t="shared" si="5"/>
        <v/>
      </c>
      <c r="BA36" s="540" t="str">
        <f t="shared" si="6"/>
        <v/>
      </c>
      <c r="BB36" s="541" t="str">
        <f t="shared" si="15"/>
        <v xml:space="preserve"> </v>
      </c>
      <c r="BC36" s="369"/>
      <c r="BD36" s="370"/>
      <c r="BE36" s="370"/>
      <c r="BF36" s="370"/>
      <c r="BG36" s="370"/>
      <c r="BH36" s="370"/>
      <c r="BI36" s="370"/>
      <c r="BJ36" s="370"/>
      <c r="BK36" s="370"/>
      <c r="BL36" s="370"/>
      <c r="BM36" s="370"/>
      <c r="BN36" s="370"/>
      <c r="BO36" s="371"/>
      <c r="BP36" s="539" t="str">
        <f t="shared" si="16"/>
        <v/>
      </c>
      <c r="BQ36" s="540" t="str">
        <f t="shared" si="7"/>
        <v/>
      </c>
      <c r="BR36" s="540" t="str">
        <f t="shared" si="8"/>
        <v/>
      </c>
      <c r="BS36" s="541" t="str">
        <f t="shared" si="17"/>
        <v xml:space="preserve"> </v>
      </c>
      <c r="BT36" s="545" t="str">
        <f t="shared" si="9"/>
        <v/>
      </c>
      <c r="BU36" s="548" t="str">
        <f t="shared" si="18"/>
        <v/>
      </c>
      <c r="BV36" s="547">
        <f t="shared" si="10"/>
        <v>0</v>
      </c>
    </row>
    <row r="37" spans="1:74" ht="15.75" thickBot="1" x14ac:dyDescent="0.3">
      <c r="A37" s="87" t="s">
        <v>126</v>
      </c>
      <c r="B37" s="167">
        <v>24</v>
      </c>
      <c r="C37" s="550" t="str">
        <f>'C. FILIACION'!C37:D37</f>
        <v>ZEWANE  MARTINEZ LINDA JHAMILETT</v>
      </c>
      <c r="D37" s="369"/>
      <c r="E37" s="370"/>
      <c r="F37" s="370"/>
      <c r="G37" s="370"/>
      <c r="H37" s="370"/>
      <c r="I37" s="370"/>
      <c r="J37" s="370"/>
      <c r="K37" s="370"/>
      <c r="L37" s="370"/>
      <c r="M37" s="370"/>
      <c r="N37" s="370"/>
      <c r="O37" s="370"/>
      <c r="P37" s="371"/>
      <c r="Q37" s="539" t="str">
        <f t="shared" si="11"/>
        <v/>
      </c>
      <c r="R37" s="540" t="str">
        <f t="shared" si="0"/>
        <v/>
      </c>
      <c r="S37" s="540" t="str">
        <f t="shared" si="1"/>
        <v/>
      </c>
      <c r="T37" s="541" t="str">
        <f t="shared" si="2"/>
        <v xml:space="preserve"> </v>
      </c>
      <c r="U37" s="369"/>
      <c r="V37" s="370"/>
      <c r="W37" s="370"/>
      <c r="X37" s="370"/>
      <c r="Y37" s="370"/>
      <c r="Z37" s="370"/>
      <c r="AA37" s="370"/>
      <c r="AB37" s="370"/>
      <c r="AC37" s="370"/>
      <c r="AD37" s="370"/>
      <c r="AE37" s="370"/>
      <c r="AF37" s="370"/>
      <c r="AG37" s="371"/>
      <c r="AH37" s="539" t="str">
        <f t="shared" si="12"/>
        <v/>
      </c>
      <c r="AI37" s="540" t="str">
        <f t="shared" si="3"/>
        <v/>
      </c>
      <c r="AJ37" s="540" t="str">
        <f t="shared" si="4"/>
        <v/>
      </c>
      <c r="AK37" s="541" t="str">
        <f t="shared" si="13"/>
        <v xml:space="preserve"> </v>
      </c>
      <c r="AL37" s="369"/>
      <c r="AM37" s="370"/>
      <c r="AN37" s="370"/>
      <c r="AO37" s="370"/>
      <c r="AP37" s="370"/>
      <c r="AQ37" s="370"/>
      <c r="AR37" s="370"/>
      <c r="AS37" s="370"/>
      <c r="AT37" s="370"/>
      <c r="AU37" s="370"/>
      <c r="AV37" s="370"/>
      <c r="AW37" s="370"/>
      <c r="AX37" s="371"/>
      <c r="AY37" s="539" t="str">
        <f t="shared" si="14"/>
        <v/>
      </c>
      <c r="AZ37" s="540" t="str">
        <f t="shared" si="5"/>
        <v/>
      </c>
      <c r="BA37" s="540" t="str">
        <f t="shared" si="6"/>
        <v/>
      </c>
      <c r="BB37" s="541" t="str">
        <f t="shared" si="15"/>
        <v xml:space="preserve"> </v>
      </c>
      <c r="BC37" s="369"/>
      <c r="BD37" s="370"/>
      <c r="BE37" s="370"/>
      <c r="BF37" s="370"/>
      <c r="BG37" s="370"/>
      <c r="BH37" s="370"/>
      <c r="BI37" s="370"/>
      <c r="BJ37" s="370"/>
      <c r="BK37" s="370"/>
      <c r="BL37" s="370"/>
      <c r="BM37" s="370"/>
      <c r="BN37" s="370"/>
      <c r="BO37" s="371"/>
      <c r="BP37" s="539" t="str">
        <f t="shared" si="16"/>
        <v/>
      </c>
      <c r="BQ37" s="540" t="str">
        <f t="shared" si="7"/>
        <v/>
      </c>
      <c r="BR37" s="540" t="str">
        <f t="shared" si="8"/>
        <v/>
      </c>
      <c r="BS37" s="541" t="str">
        <f t="shared" si="17"/>
        <v xml:space="preserve"> </v>
      </c>
      <c r="BT37" s="545" t="str">
        <f t="shared" si="9"/>
        <v/>
      </c>
      <c r="BU37" s="548" t="str">
        <f t="shared" si="18"/>
        <v/>
      </c>
      <c r="BV37" s="547">
        <f t="shared" si="10"/>
        <v>0</v>
      </c>
    </row>
    <row r="38" spans="1:74" ht="15.75" thickBot="1" x14ac:dyDescent="0.3">
      <c r="A38" s="87" t="s">
        <v>127</v>
      </c>
      <c r="B38" s="167">
        <v>25</v>
      </c>
      <c r="C38" s="550">
        <f>'C. FILIACION'!C38:D38</f>
        <v>0</v>
      </c>
      <c r="D38" s="369"/>
      <c r="E38" s="370"/>
      <c r="F38" s="370"/>
      <c r="G38" s="370"/>
      <c r="H38" s="370"/>
      <c r="I38" s="370"/>
      <c r="J38" s="370"/>
      <c r="K38" s="370"/>
      <c r="L38" s="370"/>
      <c r="M38" s="370"/>
      <c r="N38" s="370"/>
      <c r="O38" s="370"/>
      <c r="P38" s="371"/>
      <c r="Q38" s="539" t="str">
        <f t="shared" si="11"/>
        <v/>
      </c>
      <c r="R38" s="540" t="str">
        <f t="shared" si="0"/>
        <v/>
      </c>
      <c r="S38" s="540" t="str">
        <f t="shared" si="1"/>
        <v/>
      </c>
      <c r="T38" s="541" t="str">
        <f t="shared" si="2"/>
        <v xml:space="preserve"> </v>
      </c>
      <c r="U38" s="369"/>
      <c r="V38" s="370"/>
      <c r="W38" s="370"/>
      <c r="X38" s="370"/>
      <c r="Y38" s="370"/>
      <c r="Z38" s="370"/>
      <c r="AA38" s="370"/>
      <c r="AB38" s="370"/>
      <c r="AC38" s="370"/>
      <c r="AD38" s="370"/>
      <c r="AE38" s="370"/>
      <c r="AF38" s="370"/>
      <c r="AG38" s="371"/>
      <c r="AH38" s="539" t="str">
        <f t="shared" si="12"/>
        <v/>
      </c>
      <c r="AI38" s="540" t="str">
        <f t="shared" si="3"/>
        <v/>
      </c>
      <c r="AJ38" s="540" t="str">
        <f t="shared" si="4"/>
        <v/>
      </c>
      <c r="AK38" s="541" t="str">
        <f t="shared" si="13"/>
        <v xml:space="preserve"> </v>
      </c>
      <c r="AL38" s="369"/>
      <c r="AM38" s="370"/>
      <c r="AN38" s="370"/>
      <c r="AO38" s="370"/>
      <c r="AP38" s="370"/>
      <c r="AQ38" s="370"/>
      <c r="AR38" s="370"/>
      <c r="AS38" s="370"/>
      <c r="AT38" s="370"/>
      <c r="AU38" s="370"/>
      <c r="AV38" s="370"/>
      <c r="AW38" s="370"/>
      <c r="AX38" s="371"/>
      <c r="AY38" s="539" t="str">
        <f t="shared" si="14"/>
        <v/>
      </c>
      <c r="AZ38" s="540" t="str">
        <f t="shared" si="5"/>
        <v/>
      </c>
      <c r="BA38" s="540" t="str">
        <f t="shared" si="6"/>
        <v/>
      </c>
      <c r="BB38" s="541" t="str">
        <f t="shared" si="15"/>
        <v xml:space="preserve"> </v>
      </c>
      <c r="BC38" s="369"/>
      <c r="BD38" s="370"/>
      <c r="BE38" s="370"/>
      <c r="BF38" s="370"/>
      <c r="BG38" s="370"/>
      <c r="BH38" s="370"/>
      <c r="BI38" s="370"/>
      <c r="BJ38" s="370"/>
      <c r="BK38" s="370"/>
      <c r="BL38" s="370"/>
      <c r="BM38" s="370"/>
      <c r="BN38" s="370"/>
      <c r="BO38" s="371"/>
      <c r="BP38" s="539" t="str">
        <f t="shared" si="16"/>
        <v/>
      </c>
      <c r="BQ38" s="540" t="str">
        <f t="shared" si="7"/>
        <v/>
      </c>
      <c r="BR38" s="540" t="str">
        <f t="shared" si="8"/>
        <v/>
      </c>
      <c r="BS38" s="541" t="str">
        <f t="shared" si="17"/>
        <v xml:space="preserve"> </v>
      </c>
      <c r="BT38" s="545" t="str">
        <f t="shared" si="9"/>
        <v/>
      </c>
      <c r="BU38" s="548" t="str">
        <f t="shared" si="18"/>
        <v/>
      </c>
      <c r="BV38" s="547">
        <f t="shared" si="10"/>
        <v>0</v>
      </c>
    </row>
    <row r="39" spans="1:74" ht="15.75" thickBot="1" x14ac:dyDescent="0.3">
      <c r="A39" s="87" t="s">
        <v>128</v>
      </c>
      <c r="B39" s="167">
        <v>26</v>
      </c>
      <c r="C39" s="550">
        <f>'C. FILIACION'!C39:D39</f>
        <v>0</v>
      </c>
      <c r="D39" s="369"/>
      <c r="E39" s="370"/>
      <c r="F39" s="370"/>
      <c r="G39" s="370"/>
      <c r="H39" s="370"/>
      <c r="I39" s="370"/>
      <c r="J39" s="370"/>
      <c r="K39" s="370"/>
      <c r="L39" s="370"/>
      <c r="M39" s="370"/>
      <c r="N39" s="370"/>
      <c r="O39" s="370"/>
      <c r="P39" s="371"/>
      <c r="Q39" s="539" t="str">
        <f t="shared" si="11"/>
        <v/>
      </c>
      <c r="R39" s="540" t="str">
        <f t="shared" si="0"/>
        <v/>
      </c>
      <c r="S39" s="540" t="str">
        <f t="shared" si="1"/>
        <v/>
      </c>
      <c r="T39" s="541" t="str">
        <f t="shared" si="2"/>
        <v xml:space="preserve"> </v>
      </c>
      <c r="U39" s="369"/>
      <c r="V39" s="370"/>
      <c r="W39" s="370"/>
      <c r="X39" s="370"/>
      <c r="Y39" s="370"/>
      <c r="Z39" s="370"/>
      <c r="AA39" s="370"/>
      <c r="AB39" s="370"/>
      <c r="AC39" s="370"/>
      <c r="AD39" s="370"/>
      <c r="AE39" s="370"/>
      <c r="AF39" s="370"/>
      <c r="AG39" s="371"/>
      <c r="AH39" s="539" t="str">
        <f t="shared" si="12"/>
        <v/>
      </c>
      <c r="AI39" s="540" t="str">
        <f t="shared" si="3"/>
        <v/>
      </c>
      <c r="AJ39" s="540" t="str">
        <f t="shared" si="4"/>
        <v/>
      </c>
      <c r="AK39" s="541" t="str">
        <f t="shared" si="13"/>
        <v xml:space="preserve"> </v>
      </c>
      <c r="AL39" s="369"/>
      <c r="AM39" s="370"/>
      <c r="AN39" s="370"/>
      <c r="AO39" s="370"/>
      <c r="AP39" s="370"/>
      <c r="AQ39" s="370"/>
      <c r="AR39" s="370"/>
      <c r="AS39" s="370"/>
      <c r="AT39" s="370"/>
      <c r="AU39" s="370"/>
      <c r="AV39" s="370"/>
      <c r="AW39" s="370"/>
      <c r="AX39" s="371"/>
      <c r="AY39" s="539" t="str">
        <f t="shared" si="14"/>
        <v/>
      </c>
      <c r="AZ39" s="540" t="str">
        <f t="shared" si="5"/>
        <v/>
      </c>
      <c r="BA39" s="540" t="str">
        <f t="shared" si="6"/>
        <v/>
      </c>
      <c r="BB39" s="541" t="str">
        <f t="shared" si="15"/>
        <v xml:space="preserve"> </v>
      </c>
      <c r="BC39" s="369"/>
      <c r="BD39" s="370"/>
      <c r="BE39" s="370"/>
      <c r="BF39" s="370"/>
      <c r="BG39" s="370"/>
      <c r="BH39" s="370"/>
      <c r="BI39" s="370"/>
      <c r="BJ39" s="370"/>
      <c r="BK39" s="370"/>
      <c r="BL39" s="370"/>
      <c r="BM39" s="370"/>
      <c r="BN39" s="370"/>
      <c r="BO39" s="371"/>
      <c r="BP39" s="539" t="str">
        <f t="shared" si="16"/>
        <v/>
      </c>
      <c r="BQ39" s="540" t="str">
        <f t="shared" si="7"/>
        <v/>
      </c>
      <c r="BR39" s="540" t="str">
        <f t="shared" si="8"/>
        <v/>
      </c>
      <c r="BS39" s="541" t="str">
        <f t="shared" si="17"/>
        <v xml:space="preserve"> </v>
      </c>
      <c r="BT39" s="545" t="str">
        <f t="shared" si="9"/>
        <v/>
      </c>
      <c r="BU39" s="548" t="str">
        <f t="shared" si="18"/>
        <v/>
      </c>
      <c r="BV39" s="547">
        <f t="shared" si="10"/>
        <v>0</v>
      </c>
    </row>
    <row r="40" spans="1:74" ht="15.75" thickBot="1" x14ac:dyDescent="0.3">
      <c r="A40" s="87" t="s">
        <v>129</v>
      </c>
      <c r="B40" s="167">
        <v>27</v>
      </c>
      <c r="C40" s="550">
        <f>'C. FILIACION'!C40:D40</f>
        <v>0</v>
      </c>
      <c r="D40" s="369"/>
      <c r="E40" s="370"/>
      <c r="F40" s="370"/>
      <c r="G40" s="370"/>
      <c r="H40" s="370"/>
      <c r="I40" s="370"/>
      <c r="J40" s="370"/>
      <c r="K40" s="370"/>
      <c r="L40" s="370"/>
      <c r="M40" s="370"/>
      <c r="N40" s="370"/>
      <c r="O40" s="370"/>
      <c r="P40" s="371"/>
      <c r="Q40" s="539" t="str">
        <f t="shared" si="11"/>
        <v/>
      </c>
      <c r="R40" s="540" t="str">
        <f t="shared" si="0"/>
        <v/>
      </c>
      <c r="S40" s="540" t="str">
        <f t="shared" si="1"/>
        <v/>
      </c>
      <c r="T40" s="541" t="str">
        <f t="shared" si="2"/>
        <v xml:space="preserve"> </v>
      </c>
      <c r="U40" s="369"/>
      <c r="V40" s="370"/>
      <c r="W40" s="370"/>
      <c r="X40" s="370"/>
      <c r="Y40" s="370"/>
      <c r="Z40" s="370"/>
      <c r="AA40" s="370"/>
      <c r="AB40" s="370"/>
      <c r="AC40" s="370"/>
      <c r="AD40" s="370"/>
      <c r="AE40" s="370"/>
      <c r="AF40" s="370"/>
      <c r="AG40" s="371"/>
      <c r="AH40" s="539" t="str">
        <f t="shared" si="12"/>
        <v/>
      </c>
      <c r="AI40" s="540" t="str">
        <f t="shared" si="3"/>
        <v/>
      </c>
      <c r="AJ40" s="540" t="str">
        <f t="shared" si="4"/>
        <v/>
      </c>
      <c r="AK40" s="541" t="str">
        <f t="shared" si="13"/>
        <v xml:space="preserve"> </v>
      </c>
      <c r="AL40" s="369"/>
      <c r="AM40" s="370"/>
      <c r="AN40" s="370"/>
      <c r="AO40" s="370"/>
      <c r="AP40" s="370"/>
      <c r="AQ40" s="370"/>
      <c r="AR40" s="370"/>
      <c r="AS40" s="370"/>
      <c r="AT40" s="370"/>
      <c r="AU40" s="370"/>
      <c r="AV40" s="370"/>
      <c r="AW40" s="370"/>
      <c r="AX40" s="371"/>
      <c r="AY40" s="539" t="str">
        <f t="shared" si="14"/>
        <v/>
      </c>
      <c r="AZ40" s="540" t="str">
        <f t="shared" si="5"/>
        <v/>
      </c>
      <c r="BA40" s="540" t="str">
        <f t="shared" si="6"/>
        <v/>
      </c>
      <c r="BB40" s="541" t="str">
        <f t="shared" si="15"/>
        <v xml:space="preserve"> </v>
      </c>
      <c r="BC40" s="369"/>
      <c r="BD40" s="370"/>
      <c r="BE40" s="370"/>
      <c r="BF40" s="370"/>
      <c r="BG40" s="370"/>
      <c r="BH40" s="370"/>
      <c r="BI40" s="370"/>
      <c r="BJ40" s="370"/>
      <c r="BK40" s="370"/>
      <c r="BL40" s="370"/>
      <c r="BM40" s="370"/>
      <c r="BN40" s="370"/>
      <c r="BO40" s="371"/>
      <c r="BP40" s="539" t="str">
        <f t="shared" si="16"/>
        <v/>
      </c>
      <c r="BQ40" s="540" t="str">
        <f t="shared" si="7"/>
        <v/>
      </c>
      <c r="BR40" s="540" t="str">
        <f t="shared" si="8"/>
        <v/>
      </c>
      <c r="BS40" s="541" t="str">
        <f t="shared" si="17"/>
        <v xml:space="preserve"> </v>
      </c>
      <c r="BT40" s="545" t="str">
        <f t="shared" si="9"/>
        <v/>
      </c>
      <c r="BU40" s="548" t="str">
        <f t="shared" si="18"/>
        <v/>
      </c>
      <c r="BV40" s="547">
        <f t="shared" si="10"/>
        <v>0</v>
      </c>
    </row>
    <row r="41" spans="1:74" ht="15.75" thickBot="1" x14ac:dyDescent="0.3">
      <c r="A41" s="87" t="s">
        <v>130</v>
      </c>
      <c r="B41" s="167">
        <v>28</v>
      </c>
      <c r="C41" s="550">
        <f>'C. FILIACION'!C41:D41</f>
        <v>0</v>
      </c>
      <c r="D41" s="369"/>
      <c r="E41" s="370"/>
      <c r="F41" s="370"/>
      <c r="G41" s="370"/>
      <c r="H41" s="370"/>
      <c r="I41" s="370"/>
      <c r="J41" s="370"/>
      <c r="K41" s="370"/>
      <c r="L41" s="370"/>
      <c r="M41" s="370"/>
      <c r="N41" s="370"/>
      <c r="O41" s="370"/>
      <c r="P41" s="371"/>
      <c r="Q41" s="539" t="str">
        <f t="shared" si="11"/>
        <v/>
      </c>
      <c r="R41" s="540" t="str">
        <f t="shared" si="0"/>
        <v/>
      </c>
      <c r="S41" s="540" t="str">
        <f t="shared" si="1"/>
        <v/>
      </c>
      <c r="T41" s="541" t="str">
        <f t="shared" si="2"/>
        <v xml:space="preserve"> </v>
      </c>
      <c r="U41" s="369"/>
      <c r="V41" s="370"/>
      <c r="W41" s="370"/>
      <c r="X41" s="370"/>
      <c r="Y41" s="370"/>
      <c r="Z41" s="370"/>
      <c r="AA41" s="370"/>
      <c r="AB41" s="370"/>
      <c r="AC41" s="370"/>
      <c r="AD41" s="370"/>
      <c r="AE41" s="370"/>
      <c r="AF41" s="370"/>
      <c r="AG41" s="371"/>
      <c r="AH41" s="539" t="str">
        <f t="shared" si="12"/>
        <v/>
      </c>
      <c r="AI41" s="540" t="str">
        <f t="shared" si="3"/>
        <v/>
      </c>
      <c r="AJ41" s="540" t="str">
        <f t="shared" si="4"/>
        <v/>
      </c>
      <c r="AK41" s="541" t="str">
        <f t="shared" si="13"/>
        <v xml:space="preserve"> </v>
      </c>
      <c r="AL41" s="369"/>
      <c r="AM41" s="370"/>
      <c r="AN41" s="370"/>
      <c r="AO41" s="370"/>
      <c r="AP41" s="370"/>
      <c r="AQ41" s="370"/>
      <c r="AR41" s="370"/>
      <c r="AS41" s="370"/>
      <c r="AT41" s="370"/>
      <c r="AU41" s="370"/>
      <c r="AV41" s="370"/>
      <c r="AW41" s="370"/>
      <c r="AX41" s="371"/>
      <c r="AY41" s="539" t="str">
        <f t="shared" si="14"/>
        <v/>
      </c>
      <c r="AZ41" s="540" t="str">
        <f t="shared" si="5"/>
        <v/>
      </c>
      <c r="BA41" s="540" t="str">
        <f t="shared" si="6"/>
        <v/>
      </c>
      <c r="BB41" s="541" t="str">
        <f t="shared" si="15"/>
        <v xml:space="preserve"> </v>
      </c>
      <c r="BC41" s="369"/>
      <c r="BD41" s="370"/>
      <c r="BE41" s="370"/>
      <c r="BF41" s="370"/>
      <c r="BG41" s="370"/>
      <c r="BH41" s="370"/>
      <c r="BI41" s="370"/>
      <c r="BJ41" s="370"/>
      <c r="BK41" s="370"/>
      <c r="BL41" s="370"/>
      <c r="BM41" s="370"/>
      <c r="BN41" s="370"/>
      <c r="BO41" s="371"/>
      <c r="BP41" s="539" t="str">
        <f t="shared" si="16"/>
        <v/>
      </c>
      <c r="BQ41" s="540" t="str">
        <f t="shared" si="7"/>
        <v/>
      </c>
      <c r="BR41" s="540" t="str">
        <f t="shared" si="8"/>
        <v/>
      </c>
      <c r="BS41" s="541" t="str">
        <f t="shared" si="17"/>
        <v xml:space="preserve"> </v>
      </c>
      <c r="BT41" s="545" t="str">
        <f t="shared" si="9"/>
        <v/>
      </c>
      <c r="BU41" s="548" t="str">
        <f t="shared" si="18"/>
        <v/>
      </c>
      <c r="BV41" s="547">
        <f t="shared" si="10"/>
        <v>0</v>
      </c>
    </row>
    <row r="42" spans="1:74" ht="15.75" thickBot="1" x14ac:dyDescent="0.3">
      <c r="A42" s="87" t="s">
        <v>131</v>
      </c>
      <c r="B42" s="167">
        <v>29</v>
      </c>
      <c r="C42" s="550">
        <f>'C. FILIACION'!C42:D42</f>
        <v>0</v>
      </c>
      <c r="D42" s="369"/>
      <c r="E42" s="370"/>
      <c r="F42" s="370"/>
      <c r="G42" s="370"/>
      <c r="H42" s="370"/>
      <c r="I42" s="370"/>
      <c r="J42" s="370"/>
      <c r="K42" s="370"/>
      <c r="L42" s="370"/>
      <c r="M42" s="370"/>
      <c r="N42" s="370"/>
      <c r="O42" s="370"/>
      <c r="P42" s="371"/>
      <c r="Q42" s="539" t="str">
        <f t="shared" si="11"/>
        <v/>
      </c>
      <c r="R42" s="540" t="str">
        <f t="shared" si="0"/>
        <v/>
      </c>
      <c r="S42" s="540" t="str">
        <f t="shared" si="1"/>
        <v/>
      </c>
      <c r="T42" s="541" t="str">
        <f t="shared" si="2"/>
        <v xml:space="preserve"> </v>
      </c>
      <c r="U42" s="369"/>
      <c r="V42" s="370"/>
      <c r="W42" s="370"/>
      <c r="X42" s="370"/>
      <c r="Y42" s="370"/>
      <c r="Z42" s="370"/>
      <c r="AA42" s="370"/>
      <c r="AB42" s="370"/>
      <c r="AC42" s="370"/>
      <c r="AD42" s="370"/>
      <c r="AE42" s="370"/>
      <c r="AF42" s="370"/>
      <c r="AG42" s="371"/>
      <c r="AH42" s="539" t="str">
        <f t="shared" si="12"/>
        <v/>
      </c>
      <c r="AI42" s="540" t="str">
        <f t="shared" si="3"/>
        <v/>
      </c>
      <c r="AJ42" s="540" t="str">
        <f t="shared" si="4"/>
        <v/>
      </c>
      <c r="AK42" s="541" t="str">
        <f t="shared" si="13"/>
        <v xml:space="preserve"> </v>
      </c>
      <c r="AL42" s="369"/>
      <c r="AM42" s="370"/>
      <c r="AN42" s="370"/>
      <c r="AO42" s="370"/>
      <c r="AP42" s="370"/>
      <c r="AQ42" s="370"/>
      <c r="AR42" s="370"/>
      <c r="AS42" s="370"/>
      <c r="AT42" s="370"/>
      <c r="AU42" s="370"/>
      <c r="AV42" s="370"/>
      <c r="AW42" s="370"/>
      <c r="AX42" s="371"/>
      <c r="AY42" s="539" t="str">
        <f t="shared" si="14"/>
        <v/>
      </c>
      <c r="AZ42" s="540" t="str">
        <f t="shared" si="5"/>
        <v/>
      </c>
      <c r="BA42" s="540" t="str">
        <f t="shared" si="6"/>
        <v/>
      </c>
      <c r="BB42" s="541" t="str">
        <f t="shared" si="15"/>
        <v xml:space="preserve"> </v>
      </c>
      <c r="BC42" s="369"/>
      <c r="BD42" s="370"/>
      <c r="BE42" s="370"/>
      <c r="BF42" s="370"/>
      <c r="BG42" s="370"/>
      <c r="BH42" s="370"/>
      <c r="BI42" s="370"/>
      <c r="BJ42" s="370"/>
      <c r="BK42" s="370"/>
      <c r="BL42" s="370"/>
      <c r="BM42" s="370"/>
      <c r="BN42" s="370"/>
      <c r="BO42" s="371"/>
      <c r="BP42" s="539" t="str">
        <f t="shared" si="16"/>
        <v/>
      </c>
      <c r="BQ42" s="540" t="str">
        <f t="shared" si="7"/>
        <v/>
      </c>
      <c r="BR42" s="540" t="str">
        <f t="shared" si="8"/>
        <v/>
      </c>
      <c r="BS42" s="541" t="str">
        <f t="shared" si="17"/>
        <v xml:space="preserve"> </v>
      </c>
      <c r="BT42" s="545" t="str">
        <f t="shared" si="9"/>
        <v/>
      </c>
      <c r="BU42" s="548" t="str">
        <f t="shared" si="18"/>
        <v/>
      </c>
      <c r="BV42" s="547">
        <f t="shared" si="10"/>
        <v>0</v>
      </c>
    </row>
    <row r="43" spans="1:74" ht="15.75" thickBot="1" x14ac:dyDescent="0.3">
      <c r="A43" s="87" t="s">
        <v>132</v>
      </c>
      <c r="B43" s="167">
        <v>30</v>
      </c>
      <c r="C43" s="550">
        <f>'C. FILIACION'!C43:D43</f>
        <v>0</v>
      </c>
      <c r="D43" s="369"/>
      <c r="E43" s="370"/>
      <c r="F43" s="370"/>
      <c r="G43" s="370"/>
      <c r="H43" s="370"/>
      <c r="I43" s="370"/>
      <c r="J43" s="370"/>
      <c r="K43" s="370"/>
      <c r="L43" s="370"/>
      <c r="M43" s="370"/>
      <c r="N43" s="370"/>
      <c r="O43" s="370"/>
      <c r="P43" s="371"/>
      <c r="Q43" s="539" t="str">
        <f t="shared" si="11"/>
        <v/>
      </c>
      <c r="R43" s="540" t="str">
        <f t="shared" si="0"/>
        <v/>
      </c>
      <c r="S43" s="540" t="str">
        <f t="shared" si="1"/>
        <v/>
      </c>
      <c r="T43" s="541" t="str">
        <f t="shared" si="2"/>
        <v xml:space="preserve"> </v>
      </c>
      <c r="U43" s="369"/>
      <c r="V43" s="370"/>
      <c r="W43" s="370"/>
      <c r="X43" s="370"/>
      <c r="Y43" s="370"/>
      <c r="Z43" s="370"/>
      <c r="AA43" s="370"/>
      <c r="AB43" s="370"/>
      <c r="AC43" s="370"/>
      <c r="AD43" s="370"/>
      <c r="AE43" s="370"/>
      <c r="AF43" s="370"/>
      <c r="AG43" s="371"/>
      <c r="AH43" s="539" t="str">
        <f t="shared" si="12"/>
        <v/>
      </c>
      <c r="AI43" s="540" t="str">
        <f t="shared" si="3"/>
        <v/>
      </c>
      <c r="AJ43" s="540" t="str">
        <f t="shared" si="4"/>
        <v/>
      </c>
      <c r="AK43" s="541" t="str">
        <f t="shared" si="13"/>
        <v xml:space="preserve"> </v>
      </c>
      <c r="AL43" s="369"/>
      <c r="AM43" s="370"/>
      <c r="AN43" s="370"/>
      <c r="AO43" s="370"/>
      <c r="AP43" s="370"/>
      <c r="AQ43" s="370"/>
      <c r="AR43" s="370"/>
      <c r="AS43" s="370"/>
      <c r="AT43" s="370"/>
      <c r="AU43" s="370"/>
      <c r="AV43" s="370"/>
      <c r="AW43" s="370"/>
      <c r="AX43" s="371"/>
      <c r="AY43" s="539" t="str">
        <f t="shared" si="14"/>
        <v/>
      </c>
      <c r="AZ43" s="540" t="str">
        <f t="shared" si="5"/>
        <v/>
      </c>
      <c r="BA43" s="540" t="str">
        <f t="shared" si="6"/>
        <v/>
      </c>
      <c r="BB43" s="541" t="str">
        <f t="shared" si="15"/>
        <v xml:space="preserve"> </v>
      </c>
      <c r="BC43" s="369"/>
      <c r="BD43" s="370"/>
      <c r="BE43" s="370"/>
      <c r="BF43" s="370"/>
      <c r="BG43" s="370"/>
      <c r="BH43" s="370"/>
      <c r="BI43" s="370"/>
      <c r="BJ43" s="370"/>
      <c r="BK43" s="370"/>
      <c r="BL43" s="370"/>
      <c r="BM43" s="370"/>
      <c r="BN43" s="370"/>
      <c r="BO43" s="371"/>
      <c r="BP43" s="539" t="str">
        <f t="shared" si="16"/>
        <v/>
      </c>
      <c r="BQ43" s="540" t="str">
        <f t="shared" si="7"/>
        <v/>
      </c>
      <c r="BR43" s="540" t="str">
        <f t="shared" si="8"/>
        <v/>
      </c>
      <c r="BS43" s="541" t="str">
        <f t="shared" si="17"/>
        <v xml:space="preserve"> </v>
      </c>
      <c r="BT43" s="545" t="str">
        <f t="shared" si="9"/>
        <v/>
      </c>
      <c r="BU43" s="548" t="str">
        <f t="shared" si="18"/>
        <v/>
      </c>
      <c r="BV43" s="547">
        <f t="shared" si="10"/>
        <v>0</v>
      </c>
    </row>
    <row r="44" spans="1:74" ht="15.75" thickBot="1" x14ac:dyDescent="0.3">
      <c r="A44" s="87" t="s">
        <v>133</v>
      </c>
      <c r="B44" s="167">
        <v>31</v>
      </c>
      <c r="C44" s="550">
        <f>'C. FILIACION'!C44:D44</f>
        <v>0</v>
      </c>
      <c r="D44" s="369"/>
      <c r="E44" s="370"/>
      <c r="F44" s="370"/>
      <c r="G44" s="370"/>
      <c r="H44" s="370"/>
      <c r="I44" s="370"/>
      <c r="J44" s="370"/>
      <c r="K44" s="370"/>
      <c r="L44" s="370"/>
      <c r="M44" s="370"/>
      <c r="N44" s="370"/>
      <c r="O44" s="370"/>
      <c r="P44" s="371"/>
      <c r="Q44" s="539" t="str">
        <f t="shared" si="11"/>
        <v/>
      </c>
      <c r="R44" s="540" t="str">
        <f t="shared" si="0"/>
        <v/>
      </c>
      <c r="S44" s="540" t="str">
        <f t="shared" si="1"/>
        <v/>
      </c>
      <c r="T44" s="541" t="str">
        <f t="shared" si="2"/>
        <v xml:space="preserve"> </v>
      </c>
      <c r="U44" s="369"/>
      <c r="V44" s="370"/>
      <c r="W44" s="370"/>
      <c r="X44" s="370"/>
      <c r="Y44" s="370"/>
      <c r="Z44" s="370"/>
      <c r="AA44" s="370"/>
      <c r="AB44" s="370"/>
      <c r="AC44" s="370"/>
      <c r="AD44" s="370"/>
      <c r="AE44" s="370"/>
      <c r="AF44" s="370"/>
      <c r="AG44" s="371"/>
      <c r="AH44" s="539" t="str">
        <f t="shared" si="12"/>
        <v/>
      </c>
      <c r="AI44" s="540" t="str">
        <f t="shared" si="3"/>
        <v/>
      </c>
      <c r="AJ44" s="540" t="str">
        <f t="shared" si="4"/>
        <v/>
      </c>
      <c r="AK44" s="541" t="str">
        <f t="shared" si="13"/>
        <v xml:space="preserve"> </v>
      </c>
      <c r="AL44" s="369"/>
      <c r="AM44" s="370"/>
      <c r="AN44" s="370"/>
      <c r="AO44" s="370"/>
      <c r="AP44" s="370"/>
      <c r="AQ44" s="370"/>
      <c r="AR44" s="370"/>
      <c r="AS44" s="370"/>
      <c r="AT44" s="370"/>
      <c r="AU44" s="370"/>
      <c r="AV44" s="370"/>
      <c r="AW44" s="370"/>
      <c r="AX44" s="371"/>
      <c r="AY44" s="539" t="str">
        <f t="shared" si="14"/>
        <v/>
      </c>
      <c r="AZ44" s="540" t="str">
        <f t="shared" si="5"/>
        <v/>
      </c>
      <c r="BA44" s="540" t="str">
        <f t="shared" si="6"/>
        <v/>
      </c>
      <c r="BB44" s="541" t="str">
        <f t="shared" si="15"/>
        <v xml:space="preserve"> </v>
      </c>
      <c r="BC44" s="369"/>
      <c r="BD44" s="370"/>
      <c r="BE44" s="370"/>
      <c r="BF44" s="370"/>
      <c r="BG44" s="370"/>
      <c r="BH44" s="370"/>
      <c r="BI44" s="370"/>
      <c r="BJ44" s="370"/>
      <c r="BK44" s="370"/>
      <c r="BL44" s="370"/>
      <c r="BM44" s="370"/>
      <c r="BN44" s="370"/>
      <c r="BO44" s="371"/>
      <c r="BP44" s="539" t="str">
        <f t="shared" si="16"/>
        <v/>
      </c>
      <c r="BQ44" s="540" t="str">
        <f t="shared" si="7"/>
        <v/>
      </c>
      <c r="BR44" s="540" t="str">
        <f t="shared" si="8"/>
        <v/>
      </c>
      <c r="BS44" s="541" t="str">
        <f t="shared" si="17"/>
        <v xml:space="preserve"> </v>
      </c>
      <c r="BT44" s="545" t="str">
        <f t="shared" si="9"/>
        <v/>
      </c>
      <c r="BU44" s="548" t="str">
        <f t="shared" si="18"/>
        <v/>
      </c>
      <c r="BV44" s="547">
        <f t="shared" si="10"/>
        <v>0</v>
      </c>
    </row>
    <row r="45" spans="1:74" ht="15.75" thickBot="1" x14ac:dyDescent="0.3">
      <c r="A45" s="87" t="s">
        <v>134</v>
      </c>
      <c r="B45" s="167">
        <v>32</v>
      </c>
      <c r="C45" s="550">
        <f>'C. FILIACION'!C45:D45</f>
        <v>0</v>
      </c>
      <c r="D45" s="369"/>
      <c r="E45" s="370"/>
      <c r="F45" s="370"/>
      <c r="G45" s="370"/>
      <c r="H45" s="370"/>
      <c r="I45" s="370"/>
      <c r="J45" s="370"/>
      <c r="K45" s="370"/>
      <c r="L45" s="370"/>
      <c r="M45" s="370"/>
      <c r="N45" s="370"/>
      <c r="O45" s="370"/>
      <c r="P45" s="371"/>
      <c r="Q45" s="539" t="str">
        <f t="shared" si="11"/>
        <v/>
      </c>
      <c r="R45" s="540" t="str">
        <f t="shared" si="0"/>
        <v/>
      </c>
      <c r="S45" s="540" t="str">
        <f t="shared" si="1"/>
        <v/>
      </c>
      <c r="T45" s="541" t="str">
        <f t="shared" si="2"/>
        <v xml:space="preserve"> </v>
      </c>
      <c r="U45" s="369"/>
      <c r="V45" s="370"/>
      <c r="W45" s="370"/>
      <c r="X45" s="370"/>
      <c r="Y45" s="370"/>
      <c r="Z45" s="370"/>
      <c r="AA45" s="370"/>
      <c r="AB45" s="370"/>
      <c r="AC45" s="370"/>
      <c r="AD45" s="370"/>
      <c r="AE45" s="370"/>
      <c r="AF45" s="370"/>
      <c r="AG45" s="371"/>
      <c r="AH45" s="539" t="str">
        <f t="shared" si="12"/>
        <v/>
      </c>
      <c r="AI45" s="540" t="str">
        <f t="shared" si="3"/>
        <v/>
      </c>
      <c r="AJ45" s="540" t="str">
        <f t="shared" si="4"/>
        <v/>
      </c>
      <c r="AK45" s="541" t="str">
        <f t="shared" si="13"/>
        <v xml:space="preserve"> </v>
      </c>
      <c r="AL45" s="369"/>
      <c r="AM45" s="370"/>
      <c r="AN45" s="370"/>
      <c r="AO45" s="370"/>
      <c r="AP45" s="370"/>
      <c r="AQ45" s="370"/>
      <c r="AR45" s="370"/>
      <c r="AS45" s="370"/>
      <c r="AT45" s="370"/>
      <c r="AU45" s="370"/>
      <c r="AV45" s="370"/>
      <c r="AW45" s="370"/>
      <c r="AX45" s="371"/>
      <c r="AY45" s="539" t="str">
        <f t="shared" si="14"/>
        <v/>
      </c>
      <c r="AZ45" s="540" t="str">
        <f t="shared" si="5"/>
        <v/>
      </c>
      <c r="BA45" s="540" t="str">
        <f t="shared" si="6"/>
        <v/>
      </c>
      <c r="BB45" s="541" t="str">
        <f t="shared" si="15"/>
        <v xml:space="preserve"> </v>
      </c>
      <c r="BC45" s="369"/>
      <c r="BD45" s="370"/>
      <c r="BE45" s="370"/>
      <c r="BF45" s="370"/>
      <c r="BG45" s="370"/>
      <c r="BH45" s="370"/>
      <c r="BI45" s="370"/>
      <c r="BJ45" s="370"/>
      <c r="BK45" s="370"/>
      <c r="BL45" s="370"/>
      <c r="BM45" s="370"/>
      <c r="BN45" s="370"/>
      <c r="BO45" s="371"/>
      <c r="BP45" s="539" t="str">
        <f t="shared" si="16"/>
        <v/>
      </c>
      <c r="BQ45" s="540" t="str">
        <f t="shared" si="7"/>
        <v/>
      </c>
      <c r="BR45" s="540" t="str">
        <f t="shared" si="8"/>
        <v/>
      </c>
      <c r="BS45" s="541" t="str">
        <f t="shared" si="17"/>
        <v xml:space="preserve"> </v>
      </c>
      <c r="BT45" s="545" t="str">
        <f t="shared" si="9"/>
        <v/>
      </c>
      <c r="BU45" s="548" t="str">
        <f t="shared" si="18"/>
        <v/>
      </c>
      <c r="BV45" s="547">
        <f t="shared" si="10"/>
        <v>0</v>
      </c>
    </row>
    <row r="46" spans="1:74" ht="15.75" thickBot="1" x14ac:dyDescent="0.3">
      <c r="A46" s="87" t="s">
        <v>135</v>
      </c>
      <c r="B46" s="167">
        <v>33</v>
      </c>
      <c r="C46" s="550">
        <f>'C. FILIACION'!C46:D46</f>
        <v>0</v>
      </c>
      <c r="D46" s="369"/>
      <c r="E46" s="370"/>
      <c r="F46" s="370"/>
      <c r="G46" s="370"/>
      <c r="H46" s="370"/>
      <c r="I46" s="370"/>
      <c r="J46" s="370"/>
      <c r="K46" s="370"/>
      <c r="L46" s="370"/>
      <c r="M46" s="370"/>
      <c r="N46" s="370"/>
      <c r="O46" s="370"/>
      <c r="P46" s="371"/>
      <c r="Q46" s="539" t="str">
        <f t="shared" si="11"/>
        <v/>
      </c>
      <c r="R46" s="540" t="str">
        <f t="shared" si="0"/>
        <v/>
      </c>
      <c r="S46" s="540" t="str">
        <f t="shared" si="1"/>
        <v/>
      </c>
      <c r="T46" s="541" t="str">
        <f t="shared" si="2"/>
        <v xml:space="preserve"> </v>
      </c>
      <c r="U46" s="369"/>
      <c r="V46" s="370"/>
      <c r="W46" s="370"/>
      <c r="X46" s="370"/>
      <c r="Y46" s="370"/>
      <c r="Z46" s="370"/>
      <c r="AA46" s="370"/>
      <c r="AB46" s="370"/>
      <c r="AC46" s="370"/>
      <c r="AD46" s="370"/>
      <c r="AE46" s="370"/>
      <c r="AF46" s="370"/>
      <c r="AG46" s="371"/>
      <c r="AH46" s="539" t="str">
        <f t="shared" si="12"/>
        <v/>
      </c>
      <c r="AI46" s="540" t="str">
        <f t="shared" si="3"/>
        <v/>
      </c>
      <c r="AJ46" s="540" t="str">
        <f t="shared" si="4"/>
        <v/>
      </c>
      <c r="AK46" s="541" t="str">
        <f t="shared" si="13"/>
        <v xml:space="preserve"> </v>
      </c>
      <c r="AL46" s="369"/>
      <c r="AM46" s="370"/>
      <c r="AN46" s="370"/>
      <c r="AO46" s="370"/>
      <c r="AP46" s="370"/>
      <c r="AQ46" s="370"/>
      <c r="AR46" s="370"/>
      <c r="AS46" s="370"/>
      <c r="AT46" s="370"/>
      <c r="AU46" s="370"/>
      <c r="AV46" s="370"/>
      <c r="AW46" s="370"/>
      <c r="AX46" s="371"/>
      <c r="AY46" s="539" t="str">
        <f t="shared" si="14"/>
        <v/>
      </c>
      <c r="AZ46" s="540" t="str">
        <f t="shared" si="5"/>
        <v/>
      </c>
      <c r="BA46" s="540" t="str">
        <f t="shared" si="6"/>
        <v/>
      </c>
      <c r="BB46" s="541" t="str">
        <f t="shared" si="15"/>
        <v xml:space="preserve"> </v>
      </c>
      <c r="BC46" s="369"/>
      <c r="BD46" s="370"/>
      <c r="BE46" s="370"/>
      <c r="BF46" s="370"/>
      <c r="BG46" s="370"/>
      <c r="BH46" s="370"/>
      <c r="BI46" s="370"/>
      <c r="BJ46" s="370"/>
      <c r="BK46" s="370"/>
      <c r="BL46" s="370"/>
      <c r="BM46" s="370"/>
      <c r="BN46" s="370"/>
      <c r="BO46" s="371"/>
      <c r="BP46" s="539" t="str">
        <f t="shared" si="16"/>
        <v/>
      </c>
      <c r="BQ46" s="540" t="str">
        <f t="shared" si="7"/>
        <v/>
      </c>
      <c r="BR46" s="540" t="str">
        <f t="shared" si="8"/>
        <v/>
      </c>
      <c r="BS46" s="541" t="str">
        <f t="shared" si="17"/>
        <v xml:space="preserve"> </v>
      </c>
      <c r="BT46" s="545" t="str">
        <f t="shared" si="9"/>
        <v/>
      </c>
      <c r="BU46" s="548" t="str">
        <f t="shared" si="18"/>
        <v/>
      </c>
      <c r="BV46" s="547">
        <f t="shared" si="10"/>
        <v>0</v>
      </c>
    </row>
    <row r="47" spans="1:74" ht="15.75" thickBot="1" x14ac:dyDescent="0.3">
      <c r="A47" s="87" t="s">
        <v>136</v>
      </c>
      <c r="B47" s="167">
        <v>34</v>
      </c>
      <c r="C47" s="550">
        <f>'C. FILIACION'!C47:D47</f>
        <v>0</v>
      </c>
      <c r="D47" s="369"/>
      <c r="E47" s="370"/>
      <c r="F47" s="370"/>
      <c r="G47" s="370"/>
      <c r="H47" s="370"/>
      <c r="I47" s="370"/>
      <c r="J47" s="370"/>
      <c r="K47" s="370"/>
      <c r="L47" s="370"/>
      <c r="M47" s="370"/>
      <c r="N47" s="370"/>
      <c r="O47" s="370"/>
      <c r="P47" s="371"/>
      <c r="Q47" s="539" t="str">
        <f t="shared" si="11"/>
        <v/>
      </c>
      <c r="R47" s="540" t="str">
        <f t="shared" si="0"/>
        <v/>
      </c>
      <c r="S47" s="540" t="str">
        <f t="shared" si="1"/>
        <v/>
      </c>
      <c r="T47" s="541" t="str">
        <f t="shared" si="2"/>
        <v xml:space="preserve"> </v>
      </c>
      <c r="U47" s="369"/>
      <c r="V47" s="370"/>
      <c r="W47" s="370"/>
      <c r="X47" s="370"/>
      <c r="Y47" s="370"/>
      <c r="Z47" s="370"/>
      <c r="AA47" s="370"/>
      <c r="AB47" s="370"/>
      <c r="AC47" s="370"/>
      <c r="AD47" s="370"/>
      <c r="AE47" s="370"/>
      <c r="AF47" s="370"/>
      <c r="AG47" s="371"/>
      <c r="AH47" s="539" t="str">
        <f t="shared" si="12"/>
        <v/>
      </c>
      <c r="AI47" s="540" t="str">
        <f t="shared" si="3"/>
        <v/>
      </c>
      <c r="AJ47" s="540" t="str">
        <f t="shared" si="4"/>
        <v/>
      </c>
      <c r="AK47" s="541" t="str">
        <f t="shared" si="13"/>
        <v xml:space="preserve"> </v>
      </c>
      <c r="AL47" s="369"/>
      <c r="AM47" s="370"/>
      <c r="AN47" s="370"/>
      <c r="AO47" s="370"/>
      <c r="AP47" s="370"/>
      <c r="AQ47" s="370"/>
      <c r="AR47" s="370"/>
      <c r="AS47" s="370"/>
      <c r="AT47" s="370"/>
      <c r="AU47" s="370"/>
      <c r="AV47" s="370"/>
      <c r="AW47" s="370"/>
      <c r="AX47" s="371"/>
      <c r="AY47" s="539" t="str">
        <f t="shared" si="14"/>
        <v/>
      </c>
      <c r="AZ47" s="540" t="str">
        <f t="shared" si="5"/>
        <v/>
      </c>
      <c r="BA47" s="540" t="str">
        <f t="shared" si="6"/>
        <v/>
      </c>
      <c r="BB47" s="541" t="str">
        <f t="shared" si="15"/>
        <v xml:space="preserve"> </v>
      </c>
      <c r="BC47" s="369"/>
      <c r="BD47" s="370"/>
      <c r="BE47" s="370"/>
      <c r="BF47" s="370"/>
      <c r="BG47" s="370"/>
      <c r="BH47" s="370"/>
      <c r="BI47" s="370"/>
      <c r="BJ47" s="370"/>
      <c r="BK47" s="370"/>
      <c r="BL47" s="370"/>
      <c r="BM47" s="370"/>
      <c r="BN47" s="370"/>
      <c r="BO47" s="371"/>
      <c r="BP47" s="539" t="str">
        <f t="shared" si="16"/>
        <v/>
      </c>
      <c r="BQ47" s="540" t="str">
        <f t="shared" si="7"/>
        <v/>
      </c>
      <c r="BR47" s="540" t="str">
        <f t="shared" si="8"/>
        <v/>
      </c>
      <c r="BS47" s="541" t="str">
        <f t="shared" si="17"/>
        <v xml:space="preserve"> </v>
      </c>
      <c r="BT47" s="545" t="str">
        <f t="shared" si="9"/>
        <v/>
      </c>
      <c r="BU47" s="548" t="str">
        <f t="shared" si="18"/>
        <v/>
      </c>
      <c r="BV47" s="547">
        <f t="shared" si="10"/>
        <v>0</v>
      </c>
    </row>
    <row r="48" spans="1:74" ht="15.75" thickBot="1" x14ac:dyDescent="0.3">
      <c r="A48" s="87" t="s">
        <v>137</v>
      </c>
      <c r="B48" s="167">
        <v>35</v>
      </c>
      <c r="C48" s="550">
        <f>'C. FILIACION'!C48:D48</f>
        <v>0</v>
      </c>
      <c r="D48" s="369"/>
      <c r="E48" s="370"/>
      <c r="F48" s="370"/>
      <c r="G48" s="370"/>
      <c r="H48" s="370"/>
      <c r="I48" s="370"/>
      <c r="J48" s="370"/>
      <c r="K48" s="370"/>
      <c r="L48" s="370"/>
      <c r="M48" s="370"/>
      <c r="N48" s="370"/>
      <c r="O48" s="370"/>
      <c r="P48" s="371"/>
      <c r="Q48" s="539" t="str">
        <f t="shared" si="11"/>
        <v/>
      </c>
      <c r="R48" s="540" t="str">
        <f t="shared" si="0"/>
        <v/>
      </c>
      <c r="S48" s="540" t="str">
        <f t="shared" si="1"/>
        <v/>
      </c>
      <c r="T48" s="541" t="str">
        <f t="shared" si="2"/>
        <v xml:space="preserve"> </v>
      </c>
      <c r="U48" s="369"/>
      <c r="V48" s="370"/>
      <c r="W48" s="370"/>
      <c r="X48" s="370"/>
      <c r="Y48" s="370"/>
      <c r="Z48" s="370"/>
      <c r="AA48" s="370"/>
      <c r="AB48" s="370"/>
      <c r="AC48" s="370"/>
      <c r="AD48" s="370"/>
      <c r="AE48" s="370"/>
      <c r="AF48" s="370"/>
      <c r="AG48" s="371"/>
      <c r="AH48" s="539" t="str">
        <f t="shared" si="12"/>
        <v/>
      </c>
      <c r="AI48" s="540" t="str">
        <f t="shared" si="3"/>
        <v/>
      </c>
      <c r="AJ48" s="540" t="str">
        <f t="shared" si="4"/>
        <v/>
      </c>
      <c r="AK48" s="541" t="str">
        <f t="shared" si="13"/>
        <v xml:space="preserve"> </v>
      </c>
      <c r="AL48" s="369"/>
      <c r="AM48" s="370"/>
      <c r="AN48" s="370"/>
      <c r="AO48" s="370"/>
      <c r="AP48" s="370"/>
      <c r="AQ48" s="370"/>
      <c r="AR48" s="370"/>
      <c r="AS48" s="370"/>
      <c r="AT48" s="370"/>
      <c r="AU48" s="370"/>
      <c r="AV48" s="370"/>
      <c r="AW48" s="370"/>
      <c r="AX48" s="371"/>
      <c r="AY48" s="539" t="str">
        <f t="shared" si="14"/>
        <v/>
      </c>
      <c r="AZ48" s="540" t="str">
        <f t="shared" si="5"/>
        <v/>
      </c>
      <c r="BA48" s="540" t="str">
        <f t="shared" si="6"/>
        <v/>
      </c>
      <c r="BB48" s="541" t="str">
        <f t="shared" si="15"/>
        <v xml:space="preserve"> </v>
      </c>
      <c r="BC48" s="369"/>
      <c r="BD48" s="370"/>
      <c r="BE48" s="370"/>
      <c r="BF48" s="370"/>
      <c r="BG48" s="370"/>
      <c r="BH48" s="370"/>
      <c r="BI48" s="370"/>
      <c r="BJ48" s="370"/>
      <c r="BK48" s="370"/>
      <c r="BL48" s="370"/>
      <c r="BM48" s="370"/>
      <c r="BN48" s="370"/>
      <c r="BO48" s="371"/>
      <c r="BP48" s="539" t="str">
        <f t="shared" si="16"/>
        <v/>
      </c>
      <c r="BQ48" s="540" t="str">
        <f t="shared" si="7"/>
        <v/>
      </c>
      <c r="BR48" s="540" t="str">
        <f t="shared" si="8"/>
        <v/>
      </c>
      <c r="BS48" s="541" t="str">
        <f t="shared" si="17"/>
        <v xml:space="preserve"> </v>
      </c>
      <c r="BT48" s="545" t="str">
        <f t="shared" si="9"/>
        <v/>
      </c>
      <c r="BU48" s="548" t="str">
        <f t="shared" si="18"/>
        <v/>
      </c>
      <c r="BV48" s="547">
        <f t="shared" si="10"/>
        <v>0</v>
      </c>
    </row>
    <row r="49" spans="1:74" ht="15.75" thickBot="1" x14ac:dyDescent="0.3">
      <c r="A49" s="87" t="s">
        <v>138</v>
      </c>
      <c r="B49" s="167">
        <v>36</v>
      </c>
      <c r="C49" s="550">
        <f>'C. FILIACION'!C49:D49</f>
        <v>0</v>
      </c>
      <c r="D49" s="369"/>
      <c r="E49" s="370"/>
      <c r="F49" s="370"/>
      <c r="G49" s="370"/>
      <c r="H49" s="370"/>
      <c r="I49" s="370"/>
      <c r="J49" s="370"/>
      <c r="K49" s="370"/>
      <c r="L49" s="370"/>
      <c r="M49" s="370"/>
      <c r="N49" s="370"/>
      <c r="O49" s="370"/>
      <c r="P49" s="371"/>
      <c r="Q49" s="539" t="str">
        <f t="shared" si="11"/>
        <v/>
      </c>
      <c r="R49" s="540" t="str">
        <f t="shared" si="0"/>
        <v/>
      </c>
      <c r="S49" s="540" t="str">
        <f t="shared" si="1"/>
        <v/>
      </c>
      <c r="T49" s="541" t="str">
        <f t="shared" si="2"/>
        <v xml:space="preserve"> </v>
      </c>
      <c r="U49" s="369"/>
      <c r="V49" s="370"/>
      <c r="W49" s="370"/>
      <c r="X49" s="370"/>
      <c r="Y49" s="370"/>
      <c r="Z49" s="370"/>
      <c r="AA49" s="370"/>
      <c r="AB49" s="370"/>
      <c r="AC49" s="370"/>
      <c r="AD49" s="370"/>
      <c r="AE49" s="370"/>
      <c r="AF49" s="370"/>
      <c r="AG49" s="371"/>
      <c r="AH49" s="539" t="str">
        <f t="shared" si="12"/>
        <v/>
      </c>
      <c r="AI49" s="540" t="str">
        <f t="shared" si="3"/>
        <v/>
      </c>
      <c r="AJ49" s="540" t="str">
        <f t="shared" si="4"/>
        <v/>
      </c>
      <c r="AK49" s="541" t="str">
        <f t="shared" si="13"/>
        <v xml:space="preserve"> </v>
      </c>
      <c r="AL49" s="369"/>
      <c r="AM49" s="370"/>
      <c r="AN49" s="370"/>
      <c r="AO49" s="370"/>
      <c r="AP49" s="370"/>
      <c r="AQ49" s="370"/>
      <c r="AR49" s="370"/>
      <c r="AS49" s="370"/>
      <c r="AT49" s="370"/>
      <c r="AU49" s="370"/>
      <c r="AV49" s="370"/>
      <c r="AW49" s="370"/>
      <c r="AX49" s="371"/>
      <c r="AY49" s="539" t="str">
        <f t="shared" si="14"/>
        <v/>
      </c>
      <c r="AZ49" s="540" t="str">
        <f t="shared" si="5"/>
        <v/>
      </c>
      <c r="BA49" s="540" t="str">
        <f t="shared" si="6"/>
        <v/>
      </c>
      <c r="BB49" s="541" t="str">
        <f t="shared" si="15"/>
        <v xml:space="preserve"> </v>
      </c>
      <c r="BC49" s="369"/>
      <c r="BD49" s="370"/>
      <c r="BE49" s="370"/>
      <c r="BF49" s="370"/>
      <c r="BG49" s="370"/>
      <c r="BH49" s="370"/>
      <c r="BI49" s="370"/>
      <c r="BJ49" s="370"/>
      <c r="BK49" s="370"/>
      <c r="BL49" s="370"/>
      <c r="BM49" s="370"/>
      <c r="BN49" s="370"/>
      <c r="BO49" s="371"/>
      <c r="BP49" s="539" t="str">
        <f t="shared" si="16"/>
        <v/>
      </c>
      <c r="BQ49" s="540" t="str">
        <f t="shared" si="7"/>
        <v/>
      </c>
      <c r="BR49" s="540" t="str">
        <f t="shared" si="8"/>
        <v/>
      </c>
      <c r="BS49" s="541" t="str">
        <f t="shared" si="17"/>
        <v xml:space="preserve"> </v>
      </c>
      <c r="BT49" s="545" t="str">
        <f t="shared" si="9"/>
        <v/>
      </c>
      <c r="BU49" s="548" t="str">
        <f t="shared" si="18"/>
        <v/>
      </c>
      <c r="BV49" s="547">
        <f t="shared" si="10"/>
        <v>0</v>
      </c>
    </row>
    <row r="50" spans="1:74" ht="15.75" thickBot="1" x14ac:dyDescent="0.3">
      <c r="A50" s="87" t="s">
        <v>139</v>
      </c>
      <c r="B50" s="167">
        <v>37</v>
      </c>
      <c r="C50" s="550">
        <f>'C. FILIACION'!C50:D50</f>
        <v>0</v>
      </c>
      <c r="D50" s="369"/>
      <c r="E50" s="370"/>
      <c r="F50" s="370"/>
      <c r="G50" s="370"/>
      <c r="H50" s="370"/>
      <c r="I50" s="370"/>
      <c r="J50" s="370"/>
      <c r="K50" s="370"/>
      <c r="L50" s="370"/>
      <c r="M50" s="370"/>
      <c r="N50" s="370"/>
      <c r="O50" s="370"/>
      <c r="P50" s="371"/>
      <c r="Q50" s="539" t="str">
        <f t="shared" si="11"/>
        <v/>
      </c>
      <c r="R50" s="540" t="str">
        <f t="shared" si="0"/>
        <v/>
      </c>
      <c r="S50" s="540" t="str">
        <f t="shared" si="1"/>
        <v/>
      </c>
      <c r="T50" s="541" t="str">
        <f t="shared" si="2"/>
        <v xml:space="preserve"> </v>
      </c>
      <c r="U50" s="369"/>
      <c r="V50" s="370"/>
      <c r="W50" s="370"/>
      <c r="X50" s="370"/>
      <c r="Y50" s="370"/>
      <c r="Z50" s="370"/>
      <c r="AA50" s="370"/>
      <c r="AB50" s="370"/>
      <c r="AC50" s="370"/>
      <c r="AD50" s="370"/>
      <c r="AE50" s="370"/>
      <c r="AF50" s="370"/>
      <c r="AG50" s="371"/>
      <c r="AH50" s="539" t="str">
        <f t="shared" si="12"/>
        <v/>
      </c>
      <c r="AI50" s="540" t="str">
        <f t="shared" si="3"/>
        <v/>
      </c>
      <c r="AJ50" s="540" t="str">
        <f t="shared" si="4"/>
        <v/>
      </c>
      <c r="AK50" s="541" t="str">
        <f t="shared" si="13"/>
        <v xml:space="preserve"> </v>
      </c>
      <c r="AL50" s="369"/>
      <c r="AM50" s="370"/>
      <c r="AN50" s="370"/>
      <c r="AO50" s="370"/>
      <c r="AP50" s="370"/>
      <c r="AQ50" s="370"/>
      <c r="AR50" s="370"/>
      <c r="AS50" s="370"/>
      <c r="AT50" s="370"/>
      <c r="AU50" s="370"/>
      <c r="AV50" s="370"/>
      <c r="AW50" s="370"/>
      <c r="AX50" s="371"/>
      <c r="AY50" s="539" t="str">
        <f t="shared" si="14"/>
        <v/>
      </c>
      <c r="AZ50" s="540" t="str">
        <f t="shared" si="5"/>
        <v/>
      </c>
      <c r="BA50" s="540" t="str">
        <f t="shared" si="6"/>
        <v/>
      </c>
      <c r="BB50" s="541" t="str">
        <f t="shared" si="15"/>
        <v xml:space="preserve"> </v>
      </c>
      <c r="BC50" s="369"/>
      <c r="BD50" s="370"/>
      <c r="BE50" s="370"/>
      <c r="BF50" s="370"/>
      <c r="BG50" s="370"/>
      <c r="BH50" s="370"/>
      <c r="BI50" s="370"/>
      <c r="BJ50" s="370"/>
      <c r="BK50" s="370"/>
      <c r="BL50" s="370"/>
      <c r="BM50" s="370"/>
      <c r="BN50" s="370"/>
      <c r="BO50" s="371"/>
      <c r="BP50" s="539" t="str">
        <f t="shared" si="16"/>
        <v/>
      </c>
      <c r="BQ50" s="540" t="str">
        <f t="shared" si="7"/>
        <v/>
      </c>
      <c r="BR50" s="540" t="str">
        <f t="shared" si="8"/>
        <v/>
      </c>
      <c r="BS50" s="541" t="str">
        <f t="shared" si="17"/>
        <v xml:space="preserve"> </v>
      </c>
      <c r="BT50" s="545" t="str">
        <f t="shared" si="9"/>
        <v/>
      </c>
      <c r="BU50" s="548" t="str">
        <f t="shared" si="18"/>
        <v/>
      </c>
      <c r="BV50" s="547">
        <f t="shared" si="10"/>
        <v>0</v>
      </c>
    </row>
    <row r="51" spans="1:74" ht="15.75" thickBot="1" x14ac:dyDescent="0.3">
      <c r="A51" s="87" t="s">
        <v>140</v>
      </c>
      <c r="B51" s="167">
        <v>38</v>
      </c>
      <c r="C51" s="550">
        <f>'C. FILIACION'!C51:D51</f>
        <v>0</v>
      </c>
      <c r="D51" s="369"/>
      <c r="E51" s="370"/>
      <c r="F51" s="370"/>
      <c r="G51" s="370"/>
      <c r="H51" s="370"/>
      <c r="I51" s="370"/>
      <c r="J51" s="370"/>
      <c r="K51" s="370"/>
      <c r="L51" s="370"/>
      <c r="M51" s="370"/>
      <c r="N51" s="370"/>
      <c r="O51" s="370"/>
      <c r="P51" s="371"/>
      <c r="Q51" s="539" t="str">
        <f t="shared" si="11"/>
        <v/>
      </c>
      <c r="R51" s="540" t="str">
        <f t="shared" si="0"/>
        <v/>
      </c>
      <c r="S51" s="540" t="str">
        <f t="shared" si="1"/>
        <v/>
      </c>
      <c r="T51" s="541" t="str">
        <f t="shared" si="2"/>
        <v xml:space="preserve"> </v>
      </c>
      <c r="U51" s="369"/>
      <c r="V51" s="370"/>
      <c r="W51" s="370"/>
      <c r="X51" s="370"/>
      <c r="Y51" s="370"/>
      <c r="Z51" s="370"/>
      <c r="AA51" s="370"/>
      <c r="AB51" s="370"/>
      <c r="AC51" s="370"/>
      <c r="AD51" s="370"/>
      <c r="AE51" s="370"/>
      <c r="AF51" s="370"/>
      <c r="AG51" s="371"/>
      <c r="AH51" s="539" t="str">
        <f t="shared" si="12"/>
        <v/>
      </c>
      <c r="AI51" s="540" t="str">
        <f t="shared" si="3"/>
        <v/>
      </c>
      <c r="AJ51" s="540" t="str">
        <f t="shared" si="4"/>
        <v/>
      </c>
      <c r="AK51" s="541" t="str">
        <f t="shared" si="13"/>
        <v xml:space="preserve"> </v>
      </c>
      <c r="AL51" s="369"/>
      <c r="AM51" s="370"/>
      <c r="AN51" s="370"/>
      <c r="AO51" s="370"/>
      <c r="AP51" s="370"/>
      <c r="AQ51" s="370"/>
      <c r="AR51" s="370"/>
      <c r="AS51" s="370"/>
      <c r="AT51" s="370"/>
      <c r="AU51" s="370"/>
      <c r="AV51" s="370"/>
      <c r="AW51" s="370"/>
      <c r="AX51" s="371"/>
      <c r="AY51" s="539" t="str">
        <f t="shared" si="14"/>
        <v/>
      </c>
      <c r="AZ51" s="540" t="str">
        <f t="shared" si="5"/>
        <v/>
      </c>
      <c r="BA51" s="540" t="str">
        <f t="shared" si="6"/>
        <v/>
      </c>
      <c r="BB51" s="541" t="str">
        <f t="shared" si="15"/>
        <v xml:space="preserve"> </v>
      </c>
      <c r="BC51" s="369"/>
      <c r="BD51" s="370"/>
      <c r="BE51" s="370"/>
      <c r="BF51" s="370"/>
      <c r="BG51" s="370"/>
      <c r="BH51" s="370"/>
      <c r="BI51" s="370"/>
      <c r="BJ51" s="370"/>
      <c r="BK51" s="370"/>
      <c r="BL51" s="370"/>
      <c r="BM51" s="370"/>
      <c r="BN51" s="370"/>
      <c r="BO51" s="371"/>
      <c r="BP51" s="539" t="str">
        <f t="shared" si="16"/>
        <v/>
      </c>
      <c r="BQ51" s="540" t="str">
        <f t="shared" si="7"/>
        <v/>
      </c>
      <c r="BR51" s="540" t="str">
        <f t="shared" si="8"/>
        <v/>
      </c>
      <c r="BS51" s="541" t="str">
        <f t="shared" si="17"/>
        <v xml:space="preserve"> </v>
      </c>
      <c r="BT51" s="545" t="str">
        <f t="shared" si="9"/>
        <v/>
      </c>
      <c r="BU51" s="548" t="str">
        <f t="shared" si="18"/>
        <v/>
      </c>
      <c r="BV51" s="547">
        <f t="shared" si="10"/>
        <v>0</v>
      </c>
    </row>
    <row r="52" spans="1:74" ht="15.75" thickBot="1" x14ac:dyDescent="0.3">
      <c r="A52" s="87" t="s">
        <v>141</v>
      </c>
      <c r="B52" s="167">
        <v>39</v>
      </c>
      <c r="C52" s="550">
        <f>'C. FILIACION'!C52:D52</f>
        <v>0</v>
      </c>
      <c r="D52" s="369"/>
      <c r="E52" s="370"/>
      <c r="F52" s="370"/>
      <c r="G52" s="370"/>
      <c r="H52" s="370"/>
      <c r="I52" s="370"/>
      <c r="J52" s="370"/>
      <c r="K52" s="370"/>
      <c r="L52" s="370"/>
      <c r="M52" s="370"/>
      <c r="N52" s="370"/>
      <c r="O52" s="370"/>
      <c r="P52" s="371"/>
      <c r="Q52" s="539" t="str">
        <f t="shared" si="11"/>
        <v/>
      </c>
      <c r="R52" s="540" t="str">
        <f t="shared" si="0"/>
        <v/>
      </c>
      <c r="S52" s="540" t="str">
        <f t="shared" si="1"/>
        <v/>
      </c>
      <c r="T52" s="541" t="str">
        <f t="shared" si="2"/>
        <v xml:space="preserve"> </v>
      </c>
      <c r="U52" s="369"/>
      <c r="V52" s="370"/>
      <c r="W52" s="370"/>
      <c r="X52" s="370"/>
      <c r="Y52" s="370"/>
      <c r="Z52" s="370"/>
      <c r="AA52" s="370"/>
      <c r="AB52" s="370"/>
      <c r="AC52" s="370"/>
      <c r="AD52" s="370"/>
      <c r="AE52" s="370"/>
      <c r="AF52" s="370"/>
      <c r="AG52" s="371"/>
      <c r="AH52" s="539" t="str">
        <f t="shared" si="12"/>
        <v/>
      </c>
      <c r="AI52" s="540" t="str">
        <f t="shared" si="3"/>
        <v/>
      </c>
      <c r="AJ52" s="540" t="str">
        <f t="shared" si="4"/>
        <v/>
      </c>
      <c r="AK52" s="541" t="str">
        <f t="shared" si="13"/>
        <v xml:space="preserve"> </v>
      </c>
      <c r="AL52" s="369"/>
      <c r="AM52" s="370"/>
      <c r="AN52" s="370"/>
      <c r="AO52" s="370"/>
      <c r="AP52" s="370"/>
      <c r="AQ52" s="370"/>
      <c r="AR52" s="370"/>
      <c r="AS52" s="370"/>
      <c r="AT52" s="370"/>
      <c r="AU52" s="370"/>
      <c r="AV52" s="370"/>
      <c r="AW52" s="370"/>
      <c r="AX52" s="371"/>
      <c r="AY52" s="539" t="str">
        <f t="shared" si="14"/>
        <v/>
      </c>
      <c r="AZ52" s="540" t="str">
        <f t="shared" si="5"/>
        <v/>
      </c>
      <c r="BA52" s="540" t="str">
        <f t="shared" si="6"/>
        <v/>
      </c>
      <c r="BB52" s="541" t="str">
        <f t="shared" si="15"/>
        <v xml:space="preserve"> </v>
      </c>
      <c r="BC52" s="369"/>
      <c r="BD52" s="370"/>
      <c r="BE52" s="370"/>
      <c r="BF52" s="370"/>
      <c r="BG52" s="370"/>
      <c r="BH52" s="370"/>
      <c r="BI52" s="370"/>
      <c r="BJ52" s="370"/>
      <c r="BK52" s="370"/>
      <c r="BL52" s="370"/>
      <c r="BM52" s="370"/>
      <c r="BN52" s="370"/>
      <c r="BO52" s="371"/>
      <c r="BP52" s="539" t="str">
        <f t="shared" si="16"/>
        <v/>
      </c>
      <c r="BQ52" s="540" t="str">
        <f t="shared" si="7"/>
        <v/>
      </c>
      <c r="BR52" s="540" t="str">
        <f t="shared" si="8"/>
        <v/>
      </c>
      <c r="BS52" s="541" t="str">
        <f t="shared" si="17"/>
        <v xml:space="preserve"> </v>
      </c>
      <c r="BT52" s="545" t="str">
        <f t="shared" si="9"/>
        <v/>
      </c>
      <c r="BU52" s="548" t="str">
        <f t="shared" si="18"/>
        <v/>
      </c>
      <c r="BV52" s="547">
        <f t="shared" si="10"/>
        <v>0</v>
      </c>
    </row>
    <row r="53" spans="1:74" ht="15.75" thickBot="1" x14ac:dyDescent="0.3">
      <c r="A53" s="87" t="s">
        <v>142</v>
      </c>
      <c r="B53" s="167">
        <v>40</v>
      </c>
      <c r="C53" s="550">
        <f>'C. FILIACION'!C53:D53</f>
        <v>0</v>
      </c>
      <c r="D53" s="369"/>
      <c r="E53" s="370"/>
      <c r="F53" s="370"/>
      <c r="G53" s="370"/>
      <c r="H53" s="370"/>
      <c r="I53" s="370"/>
      <c r="J53" s="370"/>
      <c r="K53" s="370"/>
      <c r="L53" s="370"/>
      <c r="M53" s="370"/>
      <c r="N53" s="370"/>
      <c r="O53" s="370"/>
      <c r="P53" s="371"/>
      <c r="Q53" s="539" t="str">
        <f t="shared" si="11"/>
        <v/>
      </c>
      <c r="R53" s="540" t="str">
        <f t="shared" si="0"/>
        <v/>
      </c>
      <c r="S53" s="540" t="str">
        <f t="shared" si="1"/>
        <v/>
      </c>
      <c r="T53" s="541" t="str">
        <f t="shared" si="2"/>
        <v xml:space="preserve"> </v>
      </c>
      <c r="U53" s="369"/>
      <c r="V53" s="370"/>
      <c r="W53" s="370"/>
      <c r="X53" s="370"/>
      <c r="Y53" s="370"/>
      <c r="Z53" s="370"/>
      <c r="AA53" s="370"/>
      <c r="AB53" s="370"/>
      <c r="AC53" s="370"/>
      <c r="AD53" s="370"/>
      <c r="AE53" s="370"/>
      <c r="AF53" s="370"/>
      <c r="AG53" s="371"/>
      <c r="AH53" s="539" t="str">
        <f t="shared" si="12"/>
        <v/>
      </c>
      <c r="AI53" s="540" t="str">
        <f t="shared" si="3"/>
        <v/>
      </c>
      <c r="AJ53" s="540" t="str">
        <f t="shared" si="4"/>
        <v/>
      </c>
      <c r="AK53" s="541" t="str">
        <f t="shared" si="13"/>
        <v xml:space="preserve"> </v>
      </c>
      <c r="AL53" s="369"/>
      <c r="AM53" s="370"/>
      <c r="AN53" s="370"/>
      <c r="AO53" s="370"/>
      <c r="AP53" s="370"/>
      <c r="AQ53" s="370"/>
      <c r="AR53" s="370"/>
      <c r="AS53" s="370"/>
      <c r="AT53" s="370"/>
      <c r="AU53" s="370"/>
      <c r="AV53" s="370"/>
      <c r="AW53" s="370"/>
      <c r="AX53" s="371"/>
      <c r="AY53" s="539" t="str">
        <f t="shared" si="14"/>
        <v/>
      </c>
      <c r="AZ53" s="540" t="str">
        <f t="shared" si="5"/>
        <v/>
      </c>
      <c r="BA53" s="540" t="str">
        <f t="shared" si="6"/>
        <v/>
      </c>
      <c r="BB53" s="541" t="str">
        <f t="shared" si="15"/>
        <v xml:space="preserve"> </v>
      </c>
      <c r="BC53" s="369"/>
      <c r="BD53" s="370"/>
      <c r="BE53" s="370"/>
      <c r="BF53" s="370"/>
      <c r="BG53" s="370"/>
      <c r="BH53" s="370"/>
      <c r="BI53" s="370"/>
      <c r="BJ53" s="370"/>
      <c r="BK53" s="370"/>
      <c r="BL53" s="370"/>
      <c r="BM53" s="370"/>
      <c r="BN53" s="370"/>
      <c r="BO53" s="371"/>
      <c r="BP53" s="539" t="str">
        <f t="shared" si="16"/>
        <v/>
      </c>
      <c r="BQ53" s="540" t="str">
        <f t="shared" si="7"/>
        <v/>
      </c>
      <c r="BR53" s="540" t="str">
        <f t="shared" si="8"/>
        <v/>
      </c>
      <c r="BS53" s="541" t="str">
        <f t="shared" si="17"/>
        <v xml:space="preserve"> </v>
      </c>
      <c r="BT53" s="545" t="str">
        <f t="shared" si="9"/>
        <v/>
      </c>
      <c r="BU53" s="548" t="str">
        <f t="shared" si="18"/>
        <v/>
      </c>
      <c r="BV53" s="547">
        <f t="shared" si="10"/>
        <v>0</v>
      </c>
    </row>
    <row r="54" spans="1:74" ht="15.75" thickBot="1" x14ac:dyDescent="0.3">
      <c r="A54" s="87" t="s">
        <v>143</v>
      </c>
      <c r="B54" s="167">
        <v>41</v>
      </c>
      <c r="C54" s="550">
        <f>'C. FILIACION'!C54:D54</f>
        <v>0</v>
      </c>
      <c r="D54" s="369"/>
      <c r="E54" s="370"/>
      <c r="F54" s="370"/>
      <c r="G54" s="370"/>
      <c r="H54" s="370"/>
      <c r="I54" s="370"/>
      <c r="J54" s="370"/>
      <c r="K54" s="370"/>
      <c r="L54" s="370"/>
      <c r="M54" s="370"/>
      <c r="N54" s="370"/>
      <c r="O54" s="370"/>
      <c r="P54" s="371"/>
      <c r="Q54" s="539" t="str">
        <f t="shared" si="11"/>
        <v/>
      </c>
      <c r="R54" s="540" t="str">
        <f t="shared" si="0"/>
        <v/>
      </c>
      <c r="S54" s="540" t="str">
        <f t="shared" si="1"/>
        <v/>
      </c>
      <c r="T54" s="541" t="str">
        <f t="shared" si="2"/>
        <v xml:space="preserve"> </v>
      </c>
      <c r="U54" s="369"/>
      <c r="V54" s="370"/>
      <c r="W54" s="370"/>
      <c r="X54" s="370"/>
      <c r="Y54" s="370"/>
      <c r="Z54" s="370"/>
      <c r="AA54" s="370"/>
      <c r="AB54" s="370"/>
      <c r="AC54" s="370"/>
      <c r="AD54" s="370"/>
      <c r="AE54" s="370"/>
      <c r="AF54" s="370"/>
      <c r="AG54" s="371"/>
      <c r="AH54" s="539" t="str">
        <f t="shared" si="12"/>
        <v/>
      </c>
      <c r="AI54" s="540" t="str">
        <f t="shared" si="3"/>
        <v/>
      </c>
      <c r="AJ54" s="540" t="str">
        <f t="shared" si="4"/>
        <v/>
      </c>
      <c r="AK54" s="541" t="str">
        <f t="shared" si="13"/>
        <v xml:space="preserve"> </v>
      </c>
      <c r="AL54" s="369"/>
      <c r="AM54" s="370"/>
      <c r="AN54" s="370"/>
      <c r="AO54" s="370"/>
      <c r="AP54" s="370"/>
      <c r="AQ54" s="370"/>
      <c r="AR54" s="370"/>
      <c r="AS54" s="370"/>
      <c r="AT54" s="370"/>
      <c r="AU54" s="370"/>
      <c r="AV54" s="370"/>
      <c r="AW54" s="370"/>
      <c r="AX54" s="371"/>
      <c r="AY54" s="539" t="str">
        <f t="shared" si="14"/>
        <v/>
      </c>
      <c r="AZ54" s="540" t="str">
        <f t="shared" si="5"/>
        <v/>
      </c>
      <c r="BA54" s="540" t="str">
        <f t="shared" si="6"/>
        <v/>
      </c>
      <c r="BB54" s="541" t="str">
        <f t="shared" si="15"/>
        <v xml:space="preserve"> </v>
      </c>
      <c r="BC54" s="369"/>
      <c r="BD54" s="370"/>
      <c r="BE54" s="370"/>
      <c r="BF54" s="370"/>
      <c r="BG54" s="370"/>
      <c r="BH54" s="370"/>
      <c r="BI54" s="370"/>
      <c r="BJ54" s="370"/>
      <c r="BK54" s="370"/>
      <c r="BL54" s="370"/>
      <c r="BM54" s="370"/>
      <c r="BN54" s="370"/>
      <c r="BO54" s="371"/>
      <c r="BP54" s="539" t="str">
        <f t="shared" si="16"/>
        <v/>
      </c>
      <c r="BQ54" s="540" t="str">
        <f t="shared" si="7"/>
        <v/>
      </c>
      <c r="BR54" s="540" t="str">
        <f t="shared" si="8"/>
        <v/>
      </c>
      <c r="BS54" s="541" t="str">
        <f t="shared" si="17"/>
        <v xml:space="preserve"> </v>
      </c>
      <c r="BT54" s="545" t="str">
        <f t="shared" si="9"/>
        <v/>
      </c>
      <c r="BU54" s="548" t="str">
        <f t="shared" si="18"/>
        <v/>
      </c>
      <c r="BV54" s="547">
        <f t="shared" si="10"/>
        <v>0</v>
      </c>
    </row>
    <row r="55" spans="1:74" ht="15.75" thickBot="1" x14ac:dyDescent="0.3">
      <c r="A55" s="87" t="s">
        <v>144</v>
      </c>
      <c r="B55" s="167">
        <v>42</v>
      </c>
      <c r="C55" s="550">
        <f>'C. FILIACION'!C55:D55</f>
        <v>0</v>
      </c>
      <c r="D55" s="369"/>
      <c r="E55" s="370"/>
      <c r="F55" s="370"/>
      <c r="G55" s="370"/>
      <c r="H55" s="370"/>
      <c r="I55" s="370"/>
      <c r="J55" s="370"/>
      <c r="K55" s="370"/>
      <c r="L55" s="370"/>
      <c r="M55" s="370"/>
      <c r="N55" s="370"/>
      <c r="O55" s="370"/>
      <c r="P55" s="371"/>
      <c r="Q55" s="539" t="str">
        <f t="shared" si="11"/>
        <v/>
      </c>
      <c r="R55" s="540" t="str">
        <f t="shared" si="0"/>
        <v/>
      </c>
      <c r="S55" s="540" t="str">
        <f t="shared" si="1"/>
        <v/>
      </c>
      <c r="T55" s="541" t="str">
        <f t="shared" si="2"/>
        <v xml:space="preserve"> </v>
      </c>
      <c r="U55" s="369"/>
      <c r="V55" s="370"/>
      <c r="W55" s="370"/>
      <c r="X55" s="370"/>
      <c r="Y55" s="370"/>
      <c r="Z55" s="370"/>
      <c r="AA55" s="370"/>
      <c r="AB55" s="370"/>
      <c r="AC55" s="370"/>
      <c r="AD55" s="370"/>
      <c r="AE55" s="370"/>
      <c r="AF55" s="370"/>
      <c r="AG55" s="371"/>
      <c r="AH55" s="539" t="str">
        <f t="shared" si="12"/>
        <v/>
      </c>
      <c r="AI55" s="540" t="str">
        <f t="shared" si="3"/>
        <v/>
      </c>
      <c r="AJ55" s="540" t="str">
        <f t="shared" si="4"/>
        <v/>
      </c>
      <c r="AK55" s="541" t="str">
        <f t="shared" si="13"/>
        <v xml:space="preserve"> </v>
      </c>
      <c r="AL55" s="369"/>
      <c r="AM55" s="370"/>
      <c r="AN55" s="370"/>
      <c r="AO55" s="370"/>
      <c r="AP55" s="370"/>
      <c r="AQ55" s="370"/>
      <c r="AR55" s="370"/>
      <c r="AS55" s="370"/>
      <c r="AT55" s="370"/>
      <c r="AU55" s="370"/>
      <c r="AV55" s="370"/>
      <c r="AW55" s="370"/>
      <c r="AX55" s="371"/>
      <c r="AY55" s="539" t="str">
        <f t="shared" si="14"/>
        <v/>
      </c>
      <c r="AZ55" s="540" t="str">
        <f t="shared" si="5"/>
        <v/>
      </c>
      <c r="BA55" s="540" t="str">
        <f t="shared" si="6"/>
        <v/>
      </c>
      <c r="BB55" s="541" t="str">
        <f t="shared" si="15"/>
        <v xml:space="preserve"> </v>
      </c>
      <c r="BC55" s="369"/>
      <c r="BD55" s="370"/>
      <c r="BE55" s="370"/>
      <c r="BF55" s="370"/>
      <c r="BG55" s="370"/>
      <c r="BH55" s="370"/>
      <c r="BI55" s="370"/>
      <c r="BJ55" s="370"/>
      <c r="BK55" s="370"/>
      <c r="BL55" s="370"/>
      <c r="BM55" s="370"/>
      <c r="BN55" s="370"/>
      <c r="BO55" s="371"/>
      <c r="BP55" s="539" t="str">
        <f t="shared" si="16"/>
        <v/>
      </c>
      <c r="BQ55" s="540" t="str">
        <f t="shared" si="7"/>
        <v/>
      </c>
      <c r="BR55" s="540" t="str">
        <f t="shared" si="8"/>
        <v/>
      </c>
      <c r="BS55" s="541" t="str">
        <f t="shared" si="17"/>
        <v xml:space="preserve"> </v>
      </c>
      <c r="BT55" s="545" t="str">
        <f t="shared" si="9"/>
        <v/>
      </c>
      <c r="BU55" s="548" t="str">
        <f t="shared" si="18"/>
        <v/>
      </c>
      <c r="BV55" s="547">
        <f t="shared" si="10"/>
        <v>0</v>
      </c>
    </row>
    <row r="56" spans="1:74" ht="15.75" thickBot="1" x14ac:dyDescent="0.3">
      <c r="A56" s="87" t="s">
        <v>145</v>
      </c>
      <c r="B56" s="167">
        <v>43</v>
      </c>
      <c r="C56" s="550">
        <f>'C. FILIACION'!C56:D56</f>
        <v>0</v>
      </c>
      <c r="D56" s="369"/>
      <c r="E56" s="370"/>
      <c r="F56" s="370"/>
      <c r="G56" s="370"/>
      <c r="H56" s="370"/>
      <c r="I56" s="370"/>
      <c r="J56" s="370"/>
      <c r="K56" s="370"/>
      <c r="L56" s="370"/>
      <c r="M56" s="370"/>
      <c r="N56" s="370"/>
      <c r="O56" s="370"/>
      <c r="P56" s="371"/>
      <c r="Q56" s="539" t="str">
        <f t="shared" si="11"/>
        <v/>
      </c>
      <c r="R56" s="540" t="str">
        <f t="shared" si="0"/>
        <v/>
      </c>
      <c r="S56" s="540" t="str">
        <f t="shared" si="1"/>
        <v/>
      </c>
      <c r="T56" s="541" t="str">
        <f t="shared" si="2"/>
        <v xml:space="preserve"> </v>
      </c>
      <c r="U56" s="369"/>
      <c r="V56" s="370"/>
      <c r="W56" s="370"/>
      <c r="X56" s="370"/>
      <c r="Y56" s="370"/>
      <c r="Z56" s="370"/>
      <c r="AA56" s="370"/>
      <c r="AB56" s="370"/>
      <c r="AC56" s="370"/>
      <c r="AD56" s="370"/>
      <c r="AE56" s="370"/>
      <c r="AF56" s="370"/>
      <c r="AG56" s="371"/>
      <c r="AH56" s="539" t="str">
        <f t="shared" si="12"/>
        <v/>
      </c>
      <c r="AI56" s="540" t="str">
        <f t="shared" si="3"/>
        <v/>
      </c>
      <c r="AJ56" s="540" t="str">
        <f t="shared" si="4"/>
        <v/>
      </c>
      <c r="AK56" s="541" t="str">
        <f t="shared" si="13"/>
        <v xml:space="preserve"> </v>
      </c>
      <c r="AL56" s="369"/>
      <c r="AM56" s="370"/>
      <c r="AN56" s="370"/>
      <c r="AO56" s="370"/>
      <c r="AP56" s="370"/>
      <c r="AQ56" s="370"/>
      <c r="AR56" s="370"/>
      <c r="AS56" s="370"/>
      <c r="AT56" s="370"/>
      <c r="AU56" s="370"/>
      <c r="AV56" s="370"/>
      <c r="AW56" s="370"/>
      <c r="AX56" s="371"/>
      <c r="AY56" s="539" t="str">
        <f t="shared" si="14"/>
        <v/>
      </c>
      <c r="AZ56" s="540" t="str">
        <f t="shared" si="5"/>
        <v/>
      </c>
      <c r="BA56" s="540" t="str">
        <f t="shared" si="6"/>
        <v/>
      </c>
      <c r="BB56" s="541" t="str">
        <f t="shared" si="15"/>
        <v xml:space="preserve"> </v>
      </c>
      <c r="BC56" s="369"/>
      <c r="BD56" s="370"/>
      <c r="BE56" s="370"/>
      <c r="BF56" s="370"/>
      <c r="BG56" s="370"/>
      <c r="BH56" s="370"/>
      <c r="BI56" s="370"/>
      <c r="BJ56" s="370"/>
      <c r="BK56" s="370"/>
      <c r="BL56" s="370"/>
      <c r="BM56" s="370"/>
      <c r="BN56" s="370"/>
      <c r="BO56" s="371"/>
      <c r="BP56" s="539" t="str">
        <f t="shared" si="16"/>
        <v/>
      </c>
      <c r="BQ56" s="540" t="str">
        <f t="shared" si="7"/>
        <v/>
      </c>
      <c r="BR56" s="540" t="str">
        <f t="shared" si="8"/>
        <v/>
      </c>
      <c r="BS56" s="541" t="str">
        <f t="shared" si="17"/>
        <v xml:space="preserve"> </v>
      </c>
      <c r="BT56" s="545" t="str">
        <f t="shared" si="9"/>
        <v/>
      </c>
      <c r="BU56" s="548" t="str">
        <f t="shared" si="18"/>
        <v/>
      </c>
      <c r="BV56" s="547">
        <f t="shared" si="10"/>
        <v>0</v>
      </c>
    </row>
    <row r="57" spans="1:74" ht="15.75" thickBot="1" x14ac:dyDescent="0.3">
      <c r="A57" s="87" t="s">
        <v>146</v>
      </c>
      <c r="B57" s="167">
        <v>44</v>
      </c>
      <c r="C57" s="550">
        <f>'C. FILIACION'!C57:D57</f>
        <v>0</v>
      </c>
      <c r="D57" s="369"/>
      <c r="E57" s="370"/>
      <c r="F57" s="370"/>
      <c r="G57" s="370"/>
      <c r="H57" s="370"/>
      <c r="I57" s="370"/>
      <c r="J57" s="370"/>
      <c r="K57" s="370"/>
      <c r="L57" s="370"/>
      <c r="M57" s="370"/>
      <c r="N57" s="370"/>
      <c r="O57" s="370"/>
      <c r="P57" s="371"/>
      <c r="Q57" s="539" t="str">
        <f t="shared" si="11"/>
        <v/>
      </c>
      <c r="R57" s="540" t="str">
        <f t="shared" si="0"/>
        <v/>
      </c>
      <c r="S57" s="540" t="str">
        <f t="shared" si="1"/>
        <v/>
      </c>
      <c r="T57" s="541" t="str">
        <f t="shared" si="2"/>
        <v xml:space="preserve"> </v>
      </c>
      <c r="U57" s="369"/>
      <c r="V57" s="370"/>
      <c r="W57" s="370"/>
      <c r="X57" s="370"/>
      <c r="Y57" s="370"/>
      <c r="Z57" s="370"/>
      <c r="AA57" s="370"/>
      <c r="AB57" s="370"/>
      <c r="AC57" s="370"/>
      <c r="AD57" s="370"/>
      <c r="AE57" s="370"/>
      <c r="AF57" s="370"/>
      <c r="AG57" s="371"/>
      <c r="AH57" s="539" t="str">
        <f t="shared" si="12"/>
        <v/>
      </c>
      <c r="AI57" s="540" t="str">
        <f t="shared" si="3"/>
        <v/>
      </c>
      <c r="AJ57" s="540" t="str">
        <f t="shared" si="4"/>
        <v/>
      </c>
      <c r="AK57" s="541" t="str">
        <f t="shared" si="13"/>
        <v xml:space="preserve"> </v>
      </c>
      <c r="AL57" s="369"/>
      <c r="AM57" s="370"/>
      <c r="AN57" s="370"/>
      <c r="AO57" s="370"/>
      <c r="AP57" s="370"/>
      <c r="AQ57" s="370"/>
      <c r="AR57" s="370"/>
      <c r="AS57" s="370"/>
      <c r="AT57" s="370"/>
      <c r="AU57" s="370"/>
      <c r="AV57" s="370"/>
      <c r="AW57" s="370"/>
      <c r="AX57" s="371"/>
      <c r="AY57" s="539" t="str">
        <f t="shared" si="14"/>
        <v/>
      </c>
      <c r="AZ57" s="540" t="str">
        <f t="shared" si="5"/>
        <v/>
      </c>
      <c r="BA57" s="540" t="str">
        <f t="shared" si="6"/>
        <v/>
      </c>
      <c r="BB57" s="541" t="str">
        <f t="shared" si="15"/>
        <v xml:space="preserve"> </v>
      </c>
      <c r="BC57" s="369"/>
      <c r="BD57" s="370"/>
      <c r="BE57" s="370"/>
      <c r="BF57" s="370"/>
      <c r="BG57" s="370"/>
      <c r="BH57" s="370"/>
      <c r="BI57" s="370"/>
      <c r="BJ57" s="370"/>
      <c r="BK57" s="370"/>
      <c r="BL57" s="370"/>
      <c r="BM57" s="370"/>
      <c r="BN57" s="370"/>
      <c r="BO57" s="371"/>
      <c r="BP57" s="539" t="str">
        <f t="shared" si="16"/>
        <v/>
      </c>
      <c r="BQ57" s="540" t="str">
        <f t="shared" si="7"/>
        <v/>
      </c>
      <c r="BR57" s="540" t="str">
        <f t="shared" si="8"/>
        <v/>
      </c>
      <c r="BS57" s="541" t="str">
        <f t="shared" si="17"/>
        <v xml:space="preserve"> </v>
      </c>
      <c r="BT57" s="545" t="str">
        <f t="shared" si="9"/>
        <v/>
      </c>
      <c r="BU57" s="548" t="str">
        <f t="shared" si="18"/>
        <v/>
      </c>
      <c r="BV57" s="547">
        <f t="shared" si="10"/>
        <v>0</v>
      </c>
    </row>
    <row r="58" spans="1:74" ht="15.75" thickBot="1" x14ac:dyDescent="0.3">
      <c r="A58" s="87" t="s">
        <v>147</v>
      </c>
      <c r="B58" s="167">
        <v>45</v>
      </c>
      <c r="C58" s="550">
        <f>'C. FILIACION'!C58:D58</f>
        <v>0</v>
      </c>
      <c r="D58" s="372"/>
      <c r="E58" s="373"/>
      <c r="F58" s="373"/>
      <c r="G58" s="373"/>
      <c r="H58" s="373"/>
      <c r="I58" s="373"/>
      <c r="J58" s="373"/>
      <c r="K58" s="373"/>
      <c r="L58" s="373"/>
      <c r="M58" s="373"/>
      <c r="N58" s="373"/>
      <c r="O58" s="373"/>
      <c r="P58" s="374"/>
      <c r="Q58" s="542" t="str">
        <f t="shared" si="11"/>
        <v/>
      </c>
      <c r="R58" s="543" t="str">
        <f t="shared" si="0"/>
        <v/>
      </c>
      <c r="S58" s="543" t="str">
        <f t="shared" si="1"/>
        <v/>
      </c>
      <c r="T58" s="544" t="str">
        <f t="shared" si="2"/>
        <v xml:space="preserve"> </v>
      </c>
      <c r="U58" s="372"/>
      <c r="V58" s="373"/>
      <c r="W58" s="373"/>
      <c r="X58" s="373"/>
      <c r="Y58" s="373"/>
      <c r="Z58" s="373"/>
      <c r="AA58" s="373"/>
      <c r="AB58" s="373"/>
      <c r="AC58" s="373"/>
      <c r="AD58" s="373"/>
      <c r="AE58" s="373"/>
      <c r="AF58" s="373"/>
      <c r="AG58" s="374"/>
      <c r="AH58" s="542" t="str">
        <f t="shared" si="12"/>
        <v/>
      </c>
      <c r="AI58" s="543" t="str">
        <f t="shared" si="3"/>
        <v/>
      </c>
      <c r="AJ58" s="543" t="str">
        <f t="shared" si="4"/>
        <v/>
      </c>
      <c r="AK58" s="544" t="str">
        <f t="shared" si="13"/>
        <v xml:space="preserve"> </v>
      </c>
      <c r="AL58" s="372"/>
      <c r="AM58" s="373"/>
      <c r="AN58" s="373"/>
      <c r="AO58" s="373"/>
      <c r="AP58" s="373"/>
      <c r="AQ58" s="373"/>
      <c r="AR58" s="373"/>
      <c r="AS58" s="373"/>
      <c r="AT58" s="373"/>
      <c r="AU58" s="373"/>
      <c r="AV58" s="373"/>
      <c r="AW58" s="373"/>
      <c r="AX58" s="374"/>
      <c r="AY58" s="542" t="str">
        <f t="shared" si="14"/>
        <v/>
      </c>
      <c r="AZ58" s="543" t="str">
        <f t="shared" si="5"/>
        <v/>
      </c>
      <c r="BA58" s="543" t="str">
        <f t="shared" si="6"/>
        <v/>
      </c>
      <c r="BB58" s="544" t="str">
        <f t="shared" si="15"/>
        <v xml:space="preserve"> </v>
      </c>
      <c r="BC58" s="372"/>
      <c r="BD58" s="373"/>
      <c r="BE58" s="373"/>
      <c r="BF58" s="373"/>
      <c r="BG58" s="373"/>
      <c r="BH58" s="373"/>
      <c r="BI58" s="373"/>
      <c r="BJ58" s="373"/>
      <c r="BK58" s="373"/>
      <c r="BL58" s="373"/>
      <c r="BM58" s="373"/>
      <c r="BN58" s="373"/>
      <c r="BO58" s="374"/>
      <c r="BP58" s="542" t="str">
        <f t="shared" si="16"/>
        <v/>
      </c>
      <c r="BQ58" s="543" t="str">
        <f t="shared" si="7"/>
        <v/>
      </c>
      <c r="BR58" s="543" t="str">
        <f t="shared" si="8"/>
        <v/>
      </c>
      <c r="BS58" s="544" t="str">
        <f t="shared" si="17"/>
        <v xml:space="preserve"> </v>
      </c>
      <c r="BT58" s="545" t="str">
        <f t="shared" si="9"/>
        <v/>
      </c>
      <c r="BU58" s="548" t="str">
        <f t="shared" si="18"/>
        <v/>
      </c>
      <c r="BV58" s="547">
        <f t="shared" si="10"/>
        <v>0</v>
      </c>
    </row>
    <row r="59" spans="1:74" x14ac:dyDescent="0.25">
      <c r="A59" s="87"/>
      <c r="B59" s="129"/>
      <c r="C59" s="129"/>
      <c r="D59" s="70"/>
      <c r="E59" s="70"/>
      <c r="F59" s="70"/>
      <c r="G59" s="70"/>
      <c r="H59" s="70"/>
      <c r="I59" s="70"/>
      <c r="J59" s="70"/>
      <c r="K59" s="70"/>
      <c r="L59" s="70"/>
      <c r="M59" s="70"/>
      <c r="N59" s="70"/>
      <c r="O59" s="70"/>
      <c r="P59" s="70"/>
      <c r="Q59" s="129"/>
      <c r="R59" s="129"/>
      <c r="S59" s="129"/>
      <c r="T59" s="129"/>
      <c r="U59" s="70"/>
      <c r="V59" s="70"/>
      <c r="W59" s="70"/>
      <c r="X59" s="70"/>
      <c r="Y59" s="70"/>
      <c r="Z59" s="70"/>
      <c r="AA59" s="70"/>
      <c r="AB59" s="70"/>
      <c r="AC59" s="70"/>
      <c r="AD59" s="70"/>
      <c r="AE59" s="70"/>
      <c r="AF59" s="70"/>
      <c r="AG59" s="70"/>
      <c r="AH59" s="129"/>
      <c r="AI59" s="129"/>
      <c r="AJ59" s="129"/>
      <c r="AK59" s="129"/>
      <c r="AL59" s="70"/>
      <c r="AM59" s="70"/>
      <c r="AN59" s="70"/>
      <c r="AO59" s="70"/>
      <c r="AP59" s="70"/>
      <c r="AQ59" s="70"/>
      <c r="AR59" s="70"/>
      <c r="AS59" s="70"/>
      <c r="AT59" s="70"/>
      <c r="AU59" s="70"/>
      <c r="AV59" s="70"/>
      <c r="AW59" s="70"/>
      <c r="AX59" s="70"/>
      <c r="AY59" s="129"/>
      <c r="AZ59" s="129"/>
      <c r="BA59" s="129"/>
      <c r="BB59" s="129"/>
      <c r="BC59" s="70"/>
      <c r="BD59" s="70"/>
      <c r="BE59" s="70"/>
      <c r="BF59" s="70"/>
      <c r="BG59" s="70"/>
      <c r="BH59" s="70"/>
      <c r="BI59" s="70"/>
      <c r="BJ59" s="70"/>
      <c r="BK59" s="70"/>
      <c r="BL59" s="70"/>
      <c r="BM59" s="70"/>
      <c r="BN59" s="70"/>
      <c r="BO59" s="70"/>
      <c r="BP59" s="129"/>
      <c r="BQ59" s="129"/>
      <c r="BR59" s="129"/>
      <c r="BS59" s="129"/>
      <c r="BT59" s="129"/>
      <c r="BU59" s="129"/>
      <c r="BV59" s="129"/>
    </row>
    <row r="60" spans="1:74" x14ac:dyDescent="0.25">
      <c r="A60" s="72"/>
      <c r="B60" s="129"/>
      <c r="C60" s="129"/>
      <c r="D60" s="153"/>
      <c r="E60" s="154"/>
      <c r="F60" s="154"/>
      <c r="G60" s="154"/>
      <c r="H60" s="169"/>
      <c r="I60" s="169" t="s">
        <v>96</v>
      </c>
      <c r="J60" s="169"/>
      <c r="K60" s="169"/>
      <c r="L60" s="169"/>
      <c r="M60" s="169"/>
      <c r="N60" s="169"/>
      <c r="O60" s="169"/>
      <c r="P60" s="169"/>
      <c r="Q60" s="336"/>
      <c r="R60" s="308"/>
      <c r="S60" s="308"/>
      <c r="T60" s="551">
        <f>COUNT(T14:T58)</f>
        <v>0</v>
      </c>
      <c r="U60" s="129"/>
      <c r="V60" s="169"/>
      <c r="W60" s="169"/>
      <c r="X60" s="169"/>
      <c r="Y60" s="169"/>
      <c r="Z60" s="169" t="s">
        <v>96</v>
      </c>
      <c r="AA60" s="169"/>
      <c r="AB60" s="169"/>
      <c r="AC60" s="169"/>
      <c r="AD60" s="169"/>
      <c r="AE60" s="169"/>
      <c r="AF60" s="169"/>
      <c r="AG60" s="169"/>
      <c r="AH60" s="336"/>
      <c r="AI60" s="308"/>
      <c r="AJ60" s="308"/>
      <c r="AK60" s="551">
        <f>COUNT(AK14:AK58)</f>
        <v>0</v>
      </c>
      <c r="AL60" s="129"/>
      <c r="AM60" s="154"/>
      <c r="AN60" s="154"/>
      <c r="AO60" s="154"/>
      <c r="AP60" s="169"/>
      <c r="AQ60" s="169" t="s">
        <v>96</v>
      </c>
      <c r="AR60" s="169"/>
      <c r="AS60" s="169"/>
      <c r="AT60" s="169"/>
      <c r="AU60" s="169"/>
      <c r="AV60" s="169"/>
      <c r="AW60" s="169"/>
      <c r="AX60" s="169"/>
      <c r="AY60" s="336"/>
      <c r="AZ60" s="308"/>
      <c r="BA60" s="308"/>
      <c r="BB60" s="551">
        <f>COUNT(BB14:BB58)</f>
        <v>0</v>
      </c>
      <c r="BC60" s="155"/>
      <c r="BD60" s="154"/>
      <c r="BE60" s="154"/>
      <c r="BF60" s="169"/>
      <c r="BG60" s="169"/>
      <c r="BH60" s="169" t="s">
        <v>96</v>
      </c>
      <c r="BI60" s="169"/>
      <c r="BJ60" s="169"/>
      <c r="BK60" s="169"/>
      <c r="BL60" s="169"/>
      <c r="BM60" s="169"/>
      <c r="BN60" s="169"/>
      <c r="BO60" s="169"/>
      <c r="BP60" s="336"/>
      <c r="BQ60" s="308"/>
      <c r="BR60" s="308"/>
      <c r="BS60" s="551">
        <f>COUNT(BS14:BS58)</f>
        <v>0</v>
      </c>
      <c r="BT60" s="168"/>
      <c r="BU60" s="168"/>
      <c r="BV60" s="168"/>
    </row>
    <row r="61" spans="1:74" x14ac:dyDescent="0.25">
      <c r="A61" s="72"/>
      <c r="B61" s="129"/>
      <c r="C61" s="129"/>
      <c r="D61" s="70"/>
      <c r="E61" s="70"/>
      <c r="F61" s="70"/>
      <c r="G61" s="70"/>
      <c r="H61" s="70"/>
      <c r="I61" s="70"/>
      <c r="J61" s="70"/>
      <c r="K61" s="70"/>
      <c r="L61" s="70"/>
      <c r="M61" s="70"/>
      <c r="N61" s="70"/>
      <c r="O61" s="70"/>
      <c r="P61" s="70"/>
      <c r="Q61" s="129"/>
      <c r="R61" s="129"/>
      <c r="S61" s="129"/>
      <c r="T61" s="129"/>
      <c r="U61" s="70"/>
      <c r="V61" s="70"/>
      <c r="W61" s="70"/>
      <c r="X61" s="70"/>
      <c r="Y61" s="70"/>
      <c r="Z61" s="70"/>
      <c r="AA61" s="70"/>
      <c r="AB61" s="70"/>
      <c r="AC61" s="70"/>
      <c r="AD61" s="70"/>
      <c r="AE61" s="70"/>
      <c r="AF61" s="70"/>
      <c r="AG61" s="70"/>
      <c r="AH61" s="70"/>
      <c r="AI61" s="70"/>
      <c r="AJ61" s="70"/>
      <c r="AK61" s="70"/>
      <c r="AL61" s="70"/>
      <c r="AM61" s="70"/>
      <c r="AN61" s="70"/>
      <c r="AO61" s="70"/>
      <c r="AP61" s="70"/>
      <c r="AQ61" s="70"/>
      <c r="AR61" s="70"/>
      <c r="AS61" s="70"/>
      <c r="AT61" s="70"/>
      <c r="AU61" s="70"/>
      <c r="AV61" s="70"/>
      <c r="AW61" s="70"/>
      <c r="AX61" s="70"/>
      <c r="AY61" s="70"/>
      <c r="AZ61" s="70"/>
      <c r="BA61" s="70"/>
      <c r="BB61" s="70"/>
      <c r="BC61" s="70"/>
      <c r="BD61" s="70"/>
      <c r="BE61" s="70"/>
      <c r="BF61" s="70"/>
      <c r="BG61" s="70"/>
      <c r="BH61" s="70"/>
      <c r="BI61" s="70"/>
      <c r="BJ61" s="70"/>
      <c r="BK61" s="70"/>
      <c r="BL61" s="70"/>
      <c r="BM61" s="70"/>
      <c r="BN61" s="70"/>
      <c r="BO61" s="70"/>
      <c r="BP61" s="70"/>
      <c r="BQ61" s="70"/>
      <c r="BR61" s="70"/>
      <c r="BS61" s="70"/>
      <c r="BT61" s="70"/>
      <c r="BU61" s="70"/>
      <c r="BV61" s="70"/>
    </row>
    <row r="62" spans="1:74" x14ac:dyDescent="0.25">
      <c r="A62" s="72"/>
      <c r="B62" s="72"/>
      <c r="C62" s="72"/>
    </row>
    <row r="63" spans="1:74" x14ac:dyDescent="0.25">
      <c r="A63" s="72"/>
      <c r="B63" s="72"/>
      <c r="C63" s="102"/>
    </row>
    <row r="64" spans="1:74" x14ac:dyDescent="0.25">
      <c r="A64" s="72"/>
      <c r="B64" s="87"/>
      <c r="C64" s="87"/>
    </row>
    <row r="65" spans="1:5" x14ac:dyDescent="0.25">
      <c r="A65" s="72"/>
      <c r="B65" s="87">
        <v>1</v>
      </c>
      <c r="C65" s="87" t="s">
        <v>356</v>
      </c>
      <c r="D65" s="71"/>
      <c r="E65" s="71"/>
    </row>
    <row r="66" spans="1:5" x14ac:dyDescent="0.25">
      <c r="A66" s="72"/>
      <c r="B66" s="87">
        <v>2</v>
      </c>
      <c r="C66" s="87" t="s">
        <v>357</v>
      </c>
      <c r="D66" s="71"/>
      <c r="E66" s="71"/>
    </row>
    <row r="67" spans="1:5" x14ac:dyDescent="0.25">
      <c r="A67" s="72"/>
      <c r="B67" s="87">
        <v>3</v>
      </c>
      <c r="C67" s="87" t="s">
        <v>358</v>
      </c>
      <c r="D67" s="71"/>
      <c r="E67" s="71"/>
    </row>
    <row r="68" spans="1:5" x14ac:dyDescent="0.25">
      <c r="A68" s="72"/>
      <c r="B68" s="87">
        <v>4</v>
      </c>
      <c r="C68" s="87" t="s">
        <v>359</v>
      </c>
      <c r="D68" s="71"/>
      <c r="E68" s="71"/>
    </row>
    <row r="69" spans="1:5" x14ac:dyDescent="0.25">
      <c r="A69" s="72"/>
      <c r="B69" s="87">
        <v>5</v>
      </c>
      <c r="C69" s="87" t="s">
        <v>360</v>
      </c>
      <c r="D69" s="71"/>
      <c r="E69" s="71"/>
    </row>
    <row r="70" spans="1:5" x14ac:dyDescent="0.25">
      <c r="B70" s="87">
        <v>6</v>
      </c>
      <c r="C70" s="71" t="s">
        <v>361</v>
      </c>
      <c r="D70" s="71"/>
      <c r="E70" s="71"/>
    </row>
    <row r="71" spans="1:5" x14ac:dyDescent="0.25">
      <c r="B71" s="87">
        <v>7</v>
      </c>
      <c r="C71" s="71" t="s">
        <v>362</v>
      </c>
      <c r="D71" s="71"/>
      <c r="E71" s="71"/>
    </row>
    <row r="72" spans="1:5" x14ac:dyDescent="0.25">
      <c r="B72" s="87">
        <v>8</v>
      </c>
      <c r="C72" s="71" t="s">
        <v>363</v>
      </c>
      <c r="D72" s="71"/>
      <c r="E72" s="71"/>
    </row>
    <row r="73" spans="1:5" x14ac:dyDescent="0.25">
      <c r="B73" s="87">
        <v>9</v>
      </c>
      <c r="C73" s="71" t="s">
        <v>364</v>
      </c>
      <c r="D73" s="71"/>
      <c r="E73" s="71"/>
    </row>
    <row r="74" spans="1:5" x14ac:dyDescent="0.25">
      <c r="B74" s="87">
        <v>10</v>
      </c>
      <c r="C74" s="71" t="s">
        <v>365</v>
      </c>
      <c r="D74" s="71"/>
      <c r="E74" s="71"/>
    </row>
    <row r="75" spans="1:5" x14ac:dyDescent="0.25">
      <c r="B75" s="87">
        <v>11</v>
      </c>
      <c r="C75" s="71" t="s">
        <v>386</v>
      </c>
      <c r="D75" s="71"/>
      <c r="E75" s="71"/>
    </row>
    <row r="76" spans="1:5" x14ac:dyDescent="0.25">
      <c r="B76" s="87">
        <v>12</v>
      </c>
      <c r="C76" s="71" t="s">
        <v>366</v>
      </c>
      <c r="D76" s="71"/>
      <c r="E76" s="71"/>
    </row>
    <row r="77" spans="1:5" x14ac:dyDescent="0.25">
      <c r="B77" s="87">
        <v>13</v>
      </c>
      <c r="C77" s="71" t="s">
        <v>367</v>
      </c>
      <c r="D77" s="71"/>
      <c r="E77" s="71"/>
    </row>
    <row r="78" spans="1:5" x14ac:dyDescent="0.25">
      <c r="B78" s="87">
        <v>14</v>
      </c>
      <c r="C78" s="71" t="s">
        <v>368</v>
      </c>
      <c r="D78" s="71"/>
      <c r="E78" s="71"/>
    </row>
    <row r="79" spans="1:5" x14ac:dyDescent="0.25">
      <c r="B79" s="87">
        <v>15</v>
      </c>
      <c r="C79" s="71" t="s">
        <v>369</v>
      </c>
      <c r="D79" s="71"/>
      <c r="E79" s="71"/>
    </row>
    <row r="80" spans="1:5" x14ac:dyDescent="0.25">
      <c r="B80" s="87">
        <v>16</v>
      </c>
      <c r="C80" s="71" t="s">
        <v>370</v>
      </c>
      <c r="D80" s="71"/>
      <c r="E80" s="71"/>
    </row>
    <row r="81" spans="2:5" x14ac:dyDescent="0.25">
      <c r="B81" s="87">
        <v>17</v>
      </c>
      <c r="C81" s="71" t="s">
        <v>371</v>
      </c>
      <c r="D81" s="71"/>
      <c r="E81" s="71"/>
    </row>
    <row r="82" spans="2:5" x14ac:dyDescent="0.25">
      <c r="B82" s="87">
        <v>18</v>
      </c>
      <c r="C82" s="71" t="s">
        <v>372</v>
      </c>
      <c r="D82" s="71"/>
      <c r="E82" s="71"/>
    </row>
    <row r="83" spans="2:5" x14ac:dyDescent="0.25">
      <c r="B83" s="87">
        <v>19</v>
      </c>
      <c r="C83" s="71" t="s">
        <v>373</v>
      </c>
      <c r="D83" s="71"/>
      <c r="E83" s="71"/>
    </row>
    <row r="84" spans="2:5" x14ac:dyDescent="0.25">
      <c r="B84" s="87">
        <v>20</v>
      </c>
      <c r="C84" s="71" t="s">
        <v>374</v>
      </c>
      <c r="D84" s="71"/>
      <c r="E84" s="71"/>
    </row>
    <row r="85" spans="2:5" x14ac:dyDescent="0.25">
      <c r="B85" s="87">
        <v>21</v>
      </c>
      <c r="C85" s="71" t="s">
        <v>387</v>
      </c>
      <c r="D85" s="71"/>
      <c r="E85" s="71"/>
    </row>
    <row r="86" spans="2:5" x14ac:dyDescent="0.25">
      <c r="B86" s="87">
        <v>22</v>
      </c>
      <c r="C86" s="71" t="s">
        <v>388</v>
      </c>
      <c r="D86" s="71"/>
      <c r="E86" s="71"/>
    </row>
    <row r="87" spans="2:5" x14ac:dyDescent="0.25">
      <c r="B87" s="87">
        <v>23</v>
      </c>
      <c r="C87" s="71" t="s">
        <v>389</v>
      </c>
      <c r="D87" s="71"/>
      <c r="E87" s="71"/>
    </row>
    <row r="88" spans="2:5" x14ac:dyDescent="0.25">
      <c r="B88" s="87">
        <v>24</v>
      </c>
      <c r="C88" s="71" t="s">
        <v>390</v>
      </c>
      <c r="D88" s="71"/>
      <c r="E88" s="71"/>
    </row>
    <row r="89" spans="2:5" x14ac:dyDescent="0.25">
      <c r="B89" s="87">
        <v>25</v>
      </c>
      <c r="C89" s="71" t="s">
        <v>375</v>
      </c>
      <c r="D89" s="71"/>
      <c r="E89" s="71"/>
    </row>
    <row r="90" spans="2:5" x14ac:dyDescent="0.25">
      <c r="B90" s="87">
        <v>26</v>
      </c>
      <c r="C90" s="71" t="s">
        <v>376</v>
      </c>
      <c r="D90" s="71"/>
      <c r="E90" s="71"/>
    </row>
    <row r="91" spans="2:5" x14ac:dyDescent="0.25">
      <c r="B91" s="87">
        <v>27</v>
      </c>
      <c r="C91" s="71" t="s">
        <v>391</v>
      </c>
    </row>
    <row r="92" spans="2:5" x14ac:dyDescent="0.25">
      <c r="B92" s="87">
        <v>28</v>
      </c>
      <c r="C92" s="71" t="s">
        <v>405</v>
      </c>
    </row>
    <row r="93" spans="2:5" x14ac:dyDescent="0.25">
      <c r="B93" s="87">
        <v>29</v>
      </c>
      <c r="C93" s="71" t="s">
        <v>392</v>
      </c>
    </row>
    <row r="94" spans="2:5" x14ac:dyDescent="0.25">
      <c r="B94" s="87">
        <v>30</v>
      </c>
      <c r="C94" s="71" t="s">
        <v>393</v>
      </c>
    </row>
    <row r="95" spans="2:5" x14ac:dyDescent="0.25">
      <c r="B95" s="87">
        <v>31</v>
      </c>
      <c r="C95" s="71" t="s">
        <v>394</v>
      </c>
    </row>
    <row r="96" spans="2:5" x14ac:dyDescent="0.25">
      <c r="B96" s="87">
        <v>32</v>
      </c>
      <c r="C96" s="71" t="s">
        <v>395</v>
      </c>
    </row>
    <row r="97" spans="2:3" x14ac:dyDescent="0.25">
      <c r="B97" s="87">
        <v>33</v>
      </c>
      <c r="C97" s="71" t="s">
        <v>396</v>
      </c>
    </row>
    <row r="98" spans="2:3" x14ac:dyDescent="0.25">
      <c r="B98" s="87">
        <v>34</v>
      </c>
      <c r="C98" s="71" t="s">
        <v>397</v>
      </c>
    </row>
    <row r="99" spans="2:3" x14ac:dyDescent="0.25">
      <c r="B99" s="87">
        <v>35</v>
      </c>
      <c r="C99" s="71" t="s">
        <v>398</v>
      </c>
    </row>
    <row r="100" spans="2:3" x14ac:dyDescent="0.25">
      <c r="B100" s="87">
        <v>36</v>
      </c>
      <c r="C100" s="71" t="s">
        <v>399</v>
      </c>
    </row>
    <row r="101" spans="2:3" x14ac:dyDescent="0.25">
      <c r="B101" s="87">
        <v>37</v>
      </c>
      <c r="C101" s="71" t="s">
        <v>400</v>
      </c>
    </row>
    <row r="102" spans="2:3" x14ac:dyDescent="0.25">
      <c r="B102" s="87">
        <v>38</v>
      </c>
      <c r="C102" s="71" t="s">
        <v>401</v>
      </c>
    </row>
    <row r="103" spans="2:3" x14ac:dyDescent="0.25">
      <c r="B103" s="87">
        <v>39</v>
      </c>
      <c r="C103" s="71" t="s">
        <v>402</v>
      </c>
    </row>
    <row r="104" spans="2:3" x14ac:dyDescent="0.25">
      <c r="B104" s="87">
        <v>40</v>
      </c>
      <c r="C104" s="71" t="s">
        <v>403</v>
      </c>
    </row>
    <row r="105" spans="2:3" x14ac:dyDescent="0.25">
      <c r="B105" s="87">
        <v>41</v>
      </c>
      <c r="C105" s="71" t="s">
        <v>404</v>
      </c>
    </row>
    <row r="106" spans="2:3" x14ac:dyDescent="0.25">
      <c r="B106" s="71"/>
      <c r="C106" s="71"/>
    </row>
    <row r="107" spans="2:3" x14ac:dyDescent="0.25">
      <c r="B107" s="71"/>
      <c r="C107" s="71"/>
    </row>
  </sheetData>
  <sheetProtection password="A648" sheet="1" objects="1" scenarios="1"/>
  <mergeCells count="16">
    <mergeCell ref="B2:BV2"/>
    <mergeCell ref="BV12:BV13"/>
    <mergeCell ref="BC12:BS12"/>
    <mergeCell ref="B13:C13"/>
    <mergeCell ref="D8:O8"/>
    <mergeCell ref="D10:O10"/>
    <mergeCell ref="D9:O9"/>
    <mergeCell ref="D4:O4"/>
    <mergeCell ref="B12:C12"/>
    <mergeCell ref="D12:T12"/>
    <mergeCell ref="U12:AK12"/>
    <mergeCell ref="AL12:BB12"/>
    <mergeCell ref="D5:O5"/>
    <mergeCell ref="D7:O7"/>
    <mergeCell ref="D6:N6"/>
    <mergeCell ref="D3:O3"/>
  </mergeCells>
  <conditionalFormatting sqref="U14:AG58 AL14:AX58 BC14:BO58 D14:Q58">
    <cfRule type="cellIs" dxfId="7" priority="32" operator="lessThanOrEqual">
      <formula>50.4444</formula>
    </cfRule>
  </conditionalFormatting>
  <conditionalFormatting sqref="AH14:AH58">
    <cfRule type="cellIs" dxfId="6" priority="14" operator="lessThan">
      <formula>51</formula>
    </cfRule>
  </conditionalFormatting>
  <conditionalFormatting sqref="AY14:AY58">
    <cfRule type="cellIs" dxfId="5" priority="13" operator="lessThan">
      <formula>51</formula>
    </cfRule>
  </conditionalFormatting>
  <conditionalFormatting sqref="BP14:BP58">
    <cfRule type="cellIs" dxfId="4" priority="12" operator="lessThan">
      <formula>51</formula>
    </cfRule>
  </conditionalFormatting>
  <conditionalFormatting sqref="BT14:BU58">
    <cfRule type="cellIs" dxfId="3" priority="11" operator="lessThanOrEqual">
      <formula>50.499</formula>
    </cfRule>
  </conditionalFormatting>
  <conditionalFormatting sqref="T14:T58 AK14:AK58 BB14:BB58 BS14:BS58">
    <cfRule type="colorScale" priority="1">
      <colorScale>
        <cfvo type="num" val="1"/>
        <cfvo type="num" val="12"/>
        <color theme="0"/>
        <color theme="9" tint="0.39997558519241921"/>
      </colorScale>
    </cfRule>
  </conditionalFormatting>
  <dataValidations xWindow="621" yWindow="407" count="3">
    <dataValidation type="decimal" allowBlank="1" showInputMessage="1" showErrorMessage="1" errorTitle="VALORACIÓN ERRONEA " error="POR FAVOR VERIFICAR LA NOTA E INTENTAR DE NUEVO" sqref="D14:P58 U14:AG58 AL14:AX58 BC14:BO58">
      <formula1>1</formula1>
      <formula2>100</formula2>
    </dataValidation>
    <dataValidation allowBlank="1" showErrorMessage="1" promptTitle="BTH" prompt="SI LA UNIDAD EDUCATIVA ES PLENA, SELECCIONE LA ESPECIALIDAD PARA 5TO Y 6TO AÑO DE ESCOLARIDAD  " sqref="K13"/>
    <dataValidation type="list" allowBlank="1" showInputMessage="1" showErrorMessage="1" errorTitle="ERROR " promptTitle="BTH" prompt="SI LA UNIDAD EDUCATIVA ES PLENA, SELECCIONE LA ESPECIALIDAD PARA 5TO Y 6TO AÑO DE ESCOLARIDAD  " sqref="D10:O10">
      <formula1>$C$65:$C$105</formula1>
    </dataValidation>
  </dataValidations>
  <printOptions horizontalCentered="1" verticalCentered="1"/>
  <pageMargins left="0.25" right="0.25" top="0.75" bottom="0.75" header="0.3" footer="0.3"/>
  <pageSetup scale="48" orientation="landscape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6">
    <tabColor rgb="FFFFFF00"/>
    <pageSetUpPr fitToPage="1"/>
  </sheetPr>
  <dimension ref="A1:L37"/>
  <sheetViews>
    <sheetView showZeros="0" workbookViewId="0">
      <selection activeCell="O31" sqref="O31"/>
    </sheetView>
  </sheetViews>
  <sheetFormatPr baseColWidth="10" defaultColWidth="11.42578125" defaultRowHeight="15" x14ac:dyDescent="0.25"/>
  <cols>
    <col min="1" max="1" width="7.7109375" style="66" customWidth="1"/>
    <col min="2" max="2" width="7.42578125" style="66" customWidth="1"/>
    <col min="3" max="3" width="30.5703125" style="66" customWidth="1"/>
    <col min="4" max="7" width="11.42578125" style="66"/>
    <col min="8" max="8" width="12.7109375" style="66" customWidth="1"/>
    <col min="9" max="9" width="5.140625" style="66" customWidth="1"/>
    <col min="10" max="10" width="4.7109375" style="66" customWidth="1"/>
    <col min="11" max="16384" width="11.42578125" style="66"/>
  </cols>
  <sheetData>
    <row r="1" spans="1:11" x14ac:dyDescent="0.25">
      <c r="A1" s="72"/>
      <c r="B1" s="72"/>
      <c r="C1" s="72"/>
      <c r="D1" s="72"/>
      <c r="E1" s="72"/>
      <c r="F1" s="72"/>
      <c r="G1" s="72"/>
      <c r="H1" s="72"/>
      <c r="I1" s="72"/>
      <c r="J1" s="72"/>
    </row>
    <row r="2" spans="1:11" ht="15.75" thickBot="1" x14ac:dyDescent="0.3">
      <c r="A2" s="72"/>
      <c r="B2" s="72"/>
      <c r="C2" s="72"/>
      <c r="D2" s="72"/>
      <c r="E2" s="72"/>
      <c r="F2" s="72"/>
      <c r="G2" s="72"/>
      <c r="H2" s="72"/>
      <c r="I2" s="72"/>
      <c r="J2" s="72"/>
    </row>
    <row r="3" spans="1:11" x14ac:dyDescent="0.25">
      <c r="A3" s="72"/>
      <c r="B3" s="211"/>
      <c r="C3" s="212"/>
      <c r="D3" s="212"/>
      <c r="E3" s="212"/>
      <c r="F3" s="212"/>
      <c r="G3" s="212"/>
      <c r="H3" s="212"/>
      <c r="I3" s="212"/>
      <c r="J3" s="213"/>
      <c r="K3" s="170"/>
    </row>
    <row r="4" spans="1:11" x14ac:dyDescent="0.25">
      <c r="A4" s="72"/>
      <c r="B4" s="796" t="s">
        <v>232</v>
      </c>
      <c r="C4" s="797"/>
      <c r="D4" s="797"/>
      <c r="E4" s="797"/>
      <c r="F4" s="797"/>
      <c r="G4" s="797"/>
      <c r="H4" s="797"/>
      <c r="I4" s="797"/>
      <c r="J4" s="798"/>
      <c r="K4" s="170"/>
    </row>
    <row r="5" spans="1:11" x14ac:dyDescent="0.25">
      <c r="A5" s="72"/>
      <c r="B5" s="214"/>
      <c r="C5" s="190" t="s">
        <v>233</v>
      </c>
      <c r="D5" s="235" t="s">
        <v>104</v>
      </c>
      <c r="E5" s="215"/>
      <c r="F5" s="215"/>
      <c r="G5" s="215"/>
      <c r="H5" s="215"/>
      <c r="I5" s="215"/>
      <c r="J5" s="216"/>
      <c r="K5" s="170"/>
    </row>
    <row r="6" spans="1:11" ht="15.75" thickBot="1" x14ac:dyDescent="0.3">
      <c r="B6" s="217"/>
      <c r="C6" s="218"/>
      <c r="D6" s="218"/>
      <c r="E6" s="219"/>
      <c r="F6" s="219"/>
      <c r="G6" s="219"/>
      <c r="H6" s="219"/>
      <c r="I6" s="219"/>
      <c r="J6" s="220"/>
      <c r="K6" s="170"/>
    </row>
    <row r="7" spans="1:11" x14ac:dyDescent="0.25">
      <c r="B7" s="217"/>
      <c r="C7" s="802" t="str">
        <f>INDEX('CODIGO Y FOTOGRAFIA '!B3:E47,MATCH('BOLETINES '!D5,'CODIGO Y FOTOGRAFIA '!B3:B47,0),4)</f>
        <v>IMAG1</v>
      </c>
      <c r="D7" s="221"/>
      <c r="E7" s="792" t="s">
        <v>74</v>
      </c>
      <c r="F7" s="792"/>
      <c r="G7" s="792" t="str">
        <f>INDEX('C. FILIACION'!A14:Q58,MATCH('BOLETINES '!D5,'C. FILIACION'!A14:A58,0),3)</f>
        <v>SUAREZ EVELIN ISELA</v>
      </c>
      <c r="H7" s="792"/>
      <c r="I7" s="792"/>
      <c r="J7" s="222"/>
      <c r="K7" s="170"/>
    </row>
    <row r="8" spans="1:11" x14ac:dyDescent="0.25">
      <c r="B8" s="217"/>
      <c r="C8" s="803"/>
      <c r="D8" s="223"/>
      <c r="E8" s="792" t="s">
        <v>259</v>
      </c>
      <c r="F8" s="792"/>
      <c r="G8" s="806">
        <f>INDEX('C. FILIACION'!A14:Q58,MATCH('BOLETINES '!D5,'C. FILIACION'!A14:A58,0),5)</f>
        <v>0</v>
      </c>
      <c r="H8" s="806"/>
      <c r="I8" s="806"/>
      <c r="J8" s="224"/>
      <c r="K8" s="170"/>
    </row>
    <row r="9" spans="1:11" x14ac:dyDescent="0.25">
      <c r="B9" s="217"/>
      <c r="C9" s="803"/>
      <c r="D9" s="225"/>
      <c r="E9" s="805" t="s">
        <v>25</v>
      </c>
      <c r="F9" s="805"/>
      <c r="G9" s="792" t="e">
        <f ca="1">INDEX('C. FILIACION'!A14:Q58,MATCH('BOLETINES '!D5,'C. FILIACION'!A14:A58,0),9)</f>
        <v>#NUM!</v>
      </c>
      <c r="H9" s="792"/>
      <c r="I9" s="792"/>
      <c r="J9" s="224"/>
      <c r="K9" s="170"/>
    </row>
    <row r="10" spans="1:11" x14ac:dyDescent="0.25">
      <c r="B10" s="217"/>
      <c r="C10" s="803"/>
      <c r="D10" s="226"/>
      <c r="E10" s="792" t="s">
        <v>101</v>
      </c>
      <c r="F10" s="792"/>
      <c r="G10" s="792">
        <f>INDEX('C. FILIACION'!A14:Q58,MATCH('BOLETINES '!D5,'C. FILIACION'!A14:A58,0),11)</f>
        <v>0</v>
      </c>
      <c r="H10" s="792"/>
      <c r="I10" s="792"/>
      <c r="J10" s="224"/>
      <c r="K10" s="170"/>
    </row>
    <row r="11" spans="1:11" x14ac:dyDescent="0.25">
      <c r="B11" s="217"/>
      <c r="C11" s="803"/>
      <c r="D11" s="223"/>
      <c r="E11" s="792" t="s">
        <v>102</v>
      </c>
      <c r="F11" s="792"/>
      <c r="G11" s="792">
        <f>INDEX('C. FILIACION'!A14:Q58,MATCH('BOLETINES '!D5,'C. FILIACION'!A14:A58,0),12)</f>
        <v>0</v>
      </c>
      <c r="H11" s="792"/>
      <c r="I11" s="792"/>
      <c r="J11" s="224"/>
      <c r="K11" s="170"/>
    </row>
    <row r="12" spans="1:11" x14ac:dyDescent="0.25">
      <c r="B12" s="217"/>
      <c r="C12" s="803"/>
      <c r="D12" s="223"/>
      <c r="E12" s="792" t="s">
        <v>72</v>
      </c>
      <c r="F12" s="792"/>
      <c r="G12" s="792">
        <f>INDEX('C. FILIACION'!A14:Q58,MATCH('BOLETINES '!D5,'C. FILIACION'!A14:A58,0),14)</f>
        <v>0</v>
      </c>
      <c r="H12" s="792"/>
      <c r="I12" s="792"/>
      <c r="J12" s="224"/>
      <c r="K12" s="170"/>
    </row>
    <row r="13" spans="1:11" x14ac:dyDescent="0.25">
      <c r="B13" s="217"/>
      <c r="C13" s="803"/>
      <c r="D13" s="223"/>
      <c r="E13" s="792" t="s">
        <v>103</v>
      </c>
      <c r="F13" s="792"/>
      <c r="G13" s="792">
        <f>INDEX('C. FILIACION'!A14:Q58,MATCH('BOLETINES '!D5,'C. FILIACION'!A14:A58,0),15)</f>
        <v>0</v>
      </c>
      <c r="H13" s="792"/>
      <c r="I13" s="792"/>
      <c r="J13" s="224"/>
      <c r="K13" s="170"/>
    </row>
    <row r="14" spans="1:11" x14ac:dyDescent="0.25">
      <c r="B14" s="217"/>
      <c r="C14" s="803"/>
      <c r="D14" s="223"/>
      <c r="E14" s="792" t="s">
        <v>267</v>
      </c>
      <c r="F14" s="792"/>
      <c r="G14" s="792">
        <f>INDEX('C. FILIACION'!A14:Q58,MATCH('BOLETINES '!D5,'C. FILIACION'!A14:A58,0),17)</f>
        <v>0</v>
      </c>
      <c r="H14" s="792"/>
      <c r="I14" s="792"/>
      <c r="J14" s="224"/>
      <c r="K14" s="170"/>
    </row>
    <row r="15" spans="1:11" x14ac:dyDescent="0.25">
      <c r="B15" s="217"/>
      <c r="C15" s="803"/>
      <c r="D15" s="227"/>
      <c r="E15" s="228"/>
      <c r="F15" s="228"/>
      <c r="G15" s="229"/>
      <c r="H15" s="229"/>
      <c r="I15" s="229"/>
      <c r="J15" s="224"/>
      <c r="K15" s="170"/>
    </row>
    <row r="16" spans="1:11" ht="15.75" thickBot="1" x14ac:dyDescent="0.3">
      <c r="B16" s="230"/>
      <c r="C16" s="804"/>
      <c r="D16" s="231"/>
      <c r="E16" s="232"/>
      <c r="F16" s="232"/>
      <c r="G16" s="233"/>
      <c r="H16" s="233"/>
      <c r="I16" s="233"/>
      <c r="J16" s="234"/>
      <c r="K16" s="170"/>
    </row>
    <row r="17" spans="2:12" x14ac:dyDescent="0.25">
      <c r="B17" s="193"/>
      <c r="C17" s="194"/>
      <c r="D17" s="194"/>
      <c r="E17" s="194"/>
      <c r="F17" s="194"/>
      <c r="G17" s="194"/>
      <c r="H17" s="195"/>
      <c r="I17" s="196"/>
      <c r="J17" s="197"/>
      <c r="K17" s="170"/>
    </row>
    <row r="18" spans="2:12" x14ac:dyDescent="0.25">
      <c r="B18" s="198"/>
      <c r="C18" s="799" t="str">
        <f>G7</f>
        <v>SUAREZ EVELIN ISELA</v>
      </c>
      <c r="D18" s="800"/>
      <c r="E18" s="799" t="str">
        <f>CONCATENATE(CARATULA!G28," ",CARATULA!H28)</f>
        <v xml:space="preserve"> </v>
      </c>
      <c r="F18" s="800"/>
      <c r="G18" s="800"/>
      <c r="H18" s="801"/>
      <c r="I18" s="174"/>
      <c r="J18" s="199"/>
      <c r="K18" s="170"/>
    </row>
    <row r="19" spans="2:12" x14ac:dyDescent="0.25">
      <c r="B19" s="198"/>
      <c r="C19" s="794" t="s">
        <v>221</v>
      </c>
      <c r="D19" s="794" t="s">
        <v>222</v>
      </c>
      <c r="E19" s="794"/>
      <c r="F19" s="794"/>
      <c r="G19" s="794"/>
      <c r="H19" s="794"/>
      <c r="I19" s="173"/>
      <c r="J19" s="200"/>
      <c r="K19" s="170"/>
    </row>
    <row r="20" spans="2:12" x14ac:dyDescent="0.25">
      <c r="B20" s="198"/>
      <c r="C20" s="794"/>
      <c r="D20" s="275" t="s">
        <v>82</v>
      </c>
      <c r="E20" s="275" t="s">
        <v>79</v>
      </c>
      <c r="F20" s="275" t="s">
        <v>80</v>
      </c>
      <c r="G20" s="275" t="s">
        <v>81</v>
      </c>
      <c r="H20" s="276" t="s">
        <v>220</v>
      </c>
      <c r="I20" s="173"/>
      <c r="J20" s="200"/>
      <c r="K20" s="170"/>
    </row>
    <row r="21" spans="2:12" ht="18" x14ac:dyDescent="0.25">
      <c r="B21" s="198"/>
      <c r="C21" s="380" t="s">
        <v>304</v>
      </c>
      <c r="D21" s="552">
        <f>INDEX('CEN. POR AREA'!A14:Q58,MATCH('BOLETINES '!D5,'CEN. POR AREA'!A14:A58,0),4)</f>
        <v>0</v>
      </c>
      <c r="E21" s="552">
        <f>INDEX('CEN. POR AREA'!A14:AH58,MATCH('BOLETINES '!D5,'CEN. POR AREA'!A14:A58,0),21)</f>
        <v>0</v>
      </c>
      <c r="F21" s="552">
        <f>INDEX('CEN. POR AREA'!A14:AY58,MATCH('BOLETINES '!D5,'CEN. POR AREA'!A14:A58,0),38)</f>
        <v>0</v>
      </c>
      <c r="G21" s="552">
        <f>INDEX('CEN. POR AREA'!A14:BP58,MATCH('BOLETINES '!D5,'CEN. POR AREA'!A14:A58,0),55)</f>
        <v>0</v>
      </c>
      <c r="H21" s="383">
        <f>IFERROR(AVERAGE(D21:G21),"")</f>
        <v>0</v>
      </c>
      <c r="I21" s="171"/>
      <c r="J21" s="201"/>
      <c r="K21" s="170"/>
    </row>
    <row r="22" spans="2:12" x14ac:dyDescent="0.25">
      <c r="B22" s="198"/>
      <c r="C22" s="381" t="s">
        <v>16</v>
      </c>
      <c r="D22" s="552">
        <f>INDEX('CEN. POR AREA'!A14:Q58,MATCH('BOLETINES '!D5,'CEN. POR AREA'!A14:A58,0),5)</f>
        <v>0</v>
      </c>
      <c r="E22" s="552">
        <f>INDEX('CEN. POR AREA'!A14:AH58,MATCH('BOLETINES '!D5,'CEN. POR AREA'!A14:A58,0),22)</f>
        <v>0</v>
      </c>
      <c r="F22" s="552">
        <f>INDEX('CEN. POR AREA'!A14:AY58,MATCH('BOLETINES '!D5,'CEN. POR AREA'!A14:A58,0),39)</f>
        <v>0</v>
      </c>
      <c r="G22" s="552">
        <f>INDEX('CEN. POR AREA'!A14:BP58,MATCH('BOLETINES '!D5,'CEN. POR AREA'!A14:A58,0),56)</f>
        <v>0</v>
      </c>
      <c r="H22" s="383">
        <f t="shared" ref="H22:H33" si="0">IFERROR(AVERAGE(D22:G22),"")</f>
        <v>0</v>
      </c>
      <c r="I22" s="171"/>
      <c r="J22" s="201"/>
      <c r="K22" s="170"/>
    </row>
    <row r="23" spans="2:12" x14ac:dyDescent="0.25">
      <c r="B23" s="198"/>
      <c r="C23" s="381" t="s">
        <v>17</v>
      </c>
      <c r="D23" s="552">
        <f>INDEX('CEN. POR AREA'!A14:Q58,MATCH('BOLETINES '!D5,'CEN. POR AREA'!A14:A58,0),6)</f>
        <v>0</v>
      </c>
      <c r="E23" s="552">
        <f>INDEX('CEN. POR AREA'!A14:AH58,MATCH('BOLETINES '!D5,'CEN. POR AREA'!A14:A58,0),23)</f>
        <v>0</v>
      </c>
      <c r="F23" s="552">
        <f>INDEX('CEN. POR AREA'!A14:AY58,MATCH('BOLETINES '!D5,'CEN. POR AREA'!A14:A58,0),40)</f>
        <v>0</v>
      </c>
      <c r="G23" s="552">
        <f>INDEX('CEN. POR AREA'!A14:BP58,MATCH('BOLETINES '!D5,'CEN. POR AREA'!A14:A58,0),57)</f>
        <v>0</v>
      </c>
      <c r="H23" s="383">
        <f t="shared" si="0"/>
        <v>0</v>
      </c>
      <c r="I23" s="171"/>
      <c r="J23" s="201"/>
      <c r="K23" s="170"/>
    </row>
    <row r="24" spans="2:12" x14ac:dyDescent="0.25">
      <c r="B24" s="198"/>
      <c r="C24" s="381" t="s">
        <v>97</v>
      </c>
      <c r="D24" s="552">
        <f>INDEX('CEN. POR AREA'!A14:Q58,MATCH('BOLETINES '!D5,'CEN. POR AREA'!A14:A58,0),7)</f>
        <v>0</v>
      </c>
      <c r="E24" s="552">
        <f>INDEX('CEN. POR AREA'!A14:AH58,MATCH('BOLETINES '!D5,'CEN. POR AREA'!A14:A58,0),24)</f>
        <v>0</v>
      </c>
      <c r="F24" s="552">
        <f>INDEX('CEN. POR AREA'!A14:AY58,MATCH('BOLETINES '!D5,'CEN. POR AREA'!A14:A58,0),41)</f>
        <v>0</v>
      </c>
      <c r="G24" s="552">
        <f>INDEX('CEN. POR AREA'!A14:BP58,MATCH('BOLETINES '!D5,'CEN. POR AREA'!A14:A58,0),58)</f>
        <v>0</v>
      </c>
      <c r="H24" s="383">
        <f t="shared" si="0"/>
        <v>0</v>
      </c>
      <c r="I24" s="171"/>
      <c r="J24" s="201"/>
      <c r="K24" s="170"/>
    </row>
    <row r="25" spans="2:12" x14ac:dyDescent="0.25">
      <c r="B25" s="198"/>
      <c r="C25" s="381" t="s">
        <v>20</v>
      </c>
      <c r="D25" s="552">
        <f>INDEX('CEN. POR AREA'!A14:Q58,MATCH('BOLETINES '!D5,'CEN. POR AREA'!A14:A58,0),8)</f>
        <v>0</v>
      </c>
      <c r="E25" s="552">
        <f>INDEX('CEN. POR AREA'!A14:AH58,MATCH('BOLETINES '!D5,'CEN. POR AREA'!A14:A58,0),25)</f>
        <v>0</v>
      </c>
      <c r="F25" s="552">
        <f>INDEX('CEN. POR AREA'!A14:AY58,MATCH('BOLETINES '!D5,'CEN. POR AREA'!A14:A58,0),42)</f>
        <v>0</v>
      </c>
      <c r="G25" s="552">
        <f>INDEX('CEN. POR AREA'!A14:BP58,MATCH('BOLETINES '!D5,'CEN. POR AREA'!A14:A58,0),59)</f>
        <v>0</v>
      </c>
      <c r="H25" s="383">
        <f t="shared" si="0"/>
        <v>0</v>
      </c>
      <c r="I25" s="171"/>
      <c r="J25" s="201"/>
      <c r="K25" s="170"/>
    </row>
    <row r="26" spans="2:12" x14ac:dyDescent="0.25">
      <c r="B26" s="198"/>
      <c r="C26" s="381" t="s">
        <v>18</v>
      </c>
      <c r="D26" s="552">
        <f>INDEX('CEN. POR AREA'!A14:Q58,MATCH('BOLETINES '!D5,'CEN. POR AREA'!A14:A58,0),9)</f>
        <v>0</v>
      </c>
      <c r="E26" s="552">
        <f>INDEX('CEN. POR AREA'!A14:AH58,MATCH('BOLETINES '!D5,'CEN. POR AREA'!A14:A58,0),26)</f>
        <v>0</v>
      </c>
      <c r="F26" s="552">
        <f>INDEX('CEN. POR AREA'!A14:AY58,MATCH('BOLETINES '!D5,'CEN. POR AREA'!A14:A58,0),43)</f>
        <v>0</v>
      </c>
      <c r="G26" s="552">
        <f>INDEX('CEN. POR AREA'!A14:BP58,MATCH('BOLETINES '!D5,'CEN. POR AREA'!A14:A58,0),60)</f>
        <v>0</v>
      </c>
      <c r="H26" s="383">
        <f t="shared" si="0"/>
        <v>0</v>
      </c>
      <c r="I26" s="171"/>
      <c r="J26" s="201"/>
      <c r="K26" s="170"/>
    </row>
    <row r="27" spans="2:12" x14ac:dyDescent="0.25">
      <c r="B27" s="198"/>
      <c r="C27" s="381" t="s">
        <v>95</v>
      </c>
      <c r="D27" s="552">
        <f>INDEX('CEN. POR AREA'!A14:Q58,MATCH('BOLETINES '!D5,'CEN. POR AREA'!A14:A58,0),10)</f>
        <v>0</v>
      </c>
      <c r="E27" s="552">
        <f>INDEX('CEN. POR AREA'!A14:AH58,MATCH('BOLETINES '!D5,'CEN. POR AREA'!A14:A58,0),27)</f>
        <v>0</v>
      </c>
      <c r="F27" s="552">
        <f>INDEX('CEN. POR AREA'!A14:AY58,MATCH('BOLETINES '!D5,'CEN. POR AREA'!A14:A58,0),44)</f>
        <v>0</v>
      </c>
      <c r="G27" s="552">
        <f>INDEX('CEN. POR AREA'!A14:BP58,MATCH('BOLETINES '!D5,'CEN. POR AREA'!A14:A58,0),61)</f>
        <v>0</v>
      </c>
      <c r="H27" s="383">
        <f t="shared" si="0"/>
        <v>0</v>
      </c>
      <c r="I27" s="171"/>
      <c r="J27" s="201"/>
      <c r="K27" s="170"/>
    </row>
    <row r="28" spans="2:12" x14ac:dyDescent="0.25">
      <c r="B28" s="198"/>
      <c r="C28" s="381" t="str">
        <f>'CEN. POR AREA'!K13</f>
        <v>ESPECIALIDAD: AGROECOLOGÍA</v>
      </c>
      <c r="D28" s="552">
        <f>INDEX('CEN. POR AREA'!A14:Q58,MATCH('BOLETINES '!D5,'CEN. POR AREA'!A14:A58,0),11)</f>
        <v>0</v>
      </c>
      <c r="E28" s="552">
        <f>INDEX('CEN. POR AREA'!A14:AH58,MATCH('BOLETINES '!D5,'CEN. POR AREA'!A14:A58,0),28)</f>
        <v>0</v>
      </c>
      <c r="F28" s="552">
        <f>INDEX('CEN. POR AREA'!A14:AY58,MATCH('BOLETINES '!D5,'CEN. POR AREA'!A14:A58,0),45)</f>
        <v>0</v>
      </c>
      <c r="G28" s="552">
        <f>INDEX('CEN. POR AREA'!A14:BP58,MATCH('BOLETINES '!D5,'CEN. POR AREA'!A14:A58,0),62)</f>
        <v>0</v>
      </c>
      <c r="H28" s="383">
        <f t="shared" si="0"/>
        <v>0</v>
      </c>
      <c r="I28" s="171"/>
      <c r="J28" s="201"/>
      <c r="K28" s="170"/>
    </row>
    <row r="29" spans="2:12" x14ac:dyDescent="0.25">
      <c r="B29" s="198"/>
      <c r="C29" s="382" t="s">
        <v>268</v>
      </c>
      <c r="D29" s="552">
        <f>INDEX('CEN. POR AREA'!A14:Q58,MATCH('BOLETINES '!D5,'CEN. POR AREA'!A14:A58,0),12)</f>
        <v>0</v>
      </c>
      <c r="E29" s="552">
        <f>INDEX('CEN. POR AREA'!A14:AH58,MATCH('BOLETINES '!D5,'CEN. POR AREA'!A14:A58,0),29)</f>
        <v>0</v>
      </c>
      <c r="F29" s="552">
        <f>INDEX('CEN. POR AREA'!A14:AY58,MATCH('BOLETINES '!D5,'CEN. POR AREA'!A14:A58,0),46)</f>
        <v>0</v>
      </c>
      <c r="G29" s="552">
        <f>INDEX('CEN. POR AREA'!A14:BP58,MATCH('BOLETINES '!D5,'CEN. POR AREA'!A14:A58,0),63)</f>
        <v>0</v>
      </c>
      <c r="H29" s="383">
        <f t="shared" si="0"/>
        <v>0</v>
      </c>
      <c r="I29" s="172"/>
      <c r="J29" s="202"/>
      <c r="K29" s="170"/>
    </row>
    <row r="30" spans="2:12" x14ac:dyDescent="0.25">
      <c r="B30" s="198"/>
      <c r="C30" s="382" t="s">
        <v>302</v>
      </c>
      <c r="D30" s="552">
        <f>INDEX('CEN. POR AREA'!A14:Q58,MATCH('BOLETINES '!D5,'CEN. POR AREA'!A14:A58,0),13)</f>
        <v>0</v>
      </c>
      <c r="E30" s="552">
        <f>INDEX('CEN. POR AREA'!A14:AH58,MATCH('BOLETINES '!D5,'CEN. POR AREA'!A14:A58,0),30)</f>
        <v>0</v>
      </c>
      <c r="F30" s="552">
        <f>INDEX('CEN. POR AREA'!A14:AY58,MATCH('BOLETINES '!D5,'CEN. POR AREA'!A14:A58,0),47)</f>
        <v>0</v>
      </c>
      <c r="G30" s="552">
        <f>INDEX('CEN. POR AREA'!A14:BP58,MATCH('BOLETINES '!D5,'CEN. POR AREA'!A14:A58,0),64)</f>
        <v>0</v>
      </c>
      <c r="H30" s="383">
        <f t="shared" si="0"/>
        <v>0</v>
      </c>
      <c r="I30" s="172"/>
      <c r="J30" s="202"/>
      <c r="K30" s="170"/>
    </row>
    <row r="31" spans="2:12" x14ac:dyDescent="0.25">
      <c r="B31" s="198"/>
      <c r="C31" s="381" t="s">
        <v>299</v>
      </c>
      <c r="D31" s="552">
        <f>INDEX('CEN. POR AREA'!A14:Q58,MATCH('BOLETINES '!D5,'CEN. POR AREA'!A14:A58,0),14)</f>
        <v>0</v>
      </c>
      <c r="E31" s="552">
        <f>INDEX('CEN. POR AREA'!A14:AH58,MATCH('BOLETINES '!D5,'CEN. POR AREA'!A14:A58,0),31)</f>
        <v>0</v>
      </c>
      <c r="F31" s="552">
        <f>INDEX('CEN. POR AREA'!A14:AY58,MATCH('BOLETINES '!D5,'CEN. POR AREA'!A14:A58,0),48)</f>
        <v>0</v>
      </c>
      <c r="G31" s="552">
        <f>INDEX('CEN. POR AREA'!A14:BP58,MATCH('BOLETINES '!D5,'CEN. POR AREA'!A14:A58,0),65)</f>
        <v>0</v>
      </c>
      <c r="H31" s="383">
        <f t="shared" si="0"/>
        <v>0</v>
      </c>
      <c r="I31" s="172"/>
      <c r="J31" s="202"/>
      <c r="K31" s="170"/>
    </row>
    <row r="32" spans="2:12" x14ac:dyDescent="0.25">
      <c r="B32" s="198"/>
      <c r="C32" s="381" t="s">
        <v>385</v>
      </c>
      <c r="D32" s="552">
        <f>INDEX('CEN. POR AREA'!A14:Q58,MATCH('BOLETINES '!D5,'CEN. POR AREA'!A14:A58,0),15)</f>
        <v>0</v>
      </c>
      <c r="E32" s="552">
        <f>INDEX('CEN. POR AREA'!A14:AH58,MATCH('BOLETINES '!D5,'CEN. POR AREA'!A14:A58,0),32)</f>
        <v>0</v>
      </c>
      <c r="F32" s="552">
        <f>INDEX('CEN. POR AREA'!A14:AY58,MATCH('BOLETINES '!D5,'CEN. POR AREA'!A14:A58,0),49)</f>
        <v>0</v>
      </c>
      <c r="G32" s="552">
        <f>INDEX('CEN. POR AREA'!A14:BP58,MATCH('BOLETINES '!D5,'CEN. POR AREA'!A14:A58,0),66)</f>
        <v>0</v>
      </c>
      <c r="H32" s="383">
        <f t="shared" si="0"/>
        <v>0</v>
      </c>
      <c r="I32" s="172"/>
      <c r="J32" s="202"/>
      <c r="K32" s="170"/>
      <c r="L32" s="384"/>
    </row>
    <row r="33" spans="2:12" x14ac:dyDescent="0.25">
      <c r="B33" s="198"/>
      <c r="C33" s="381" t="s">
        <v>253</v>
      </c>
      <c r="D33" s="552">
        <f>INDEX('CEN. POR AREA'!A14:Q58,MATCH('BOLETINES '!D5,'CEN. POR AREA'!A14:A58,0),16)</f>
        <v>0</v>
      </c>
      <c r="E33" s="552">
        <f>INDEX('CEN. POR AREA'!A14:AH58,MATCH('BOLETINES '!D5,'CEN. POR AREA'!A14:A58,0),33)</f>
        <v>0</v>
      </c>
      <c r="F33" s="552">
        <f>INDEX('CEN. POR AREA'!A14:AY58,MATCH('BOLETINES '!D5,'CEN. POR AREA'!A14:A58,0),50)</f>
        <v>0</v>
      </c>
      <c r="G33" s="552">
        <f>INDEX('CEN. POR AREA'!A14:BP58,MATCH('BOLETINES '!D5,'CEN. POR AREA'!A14:A58,0),67)</f>
        <v>0</v>
      </c>
      <c r="H33" s="383">
        <f t="shared" si="0"/>
        <v>0</v>
      </c>
      <c r="I33" s="172"/>
      <c r="J33" s="202"/>
      <c r="K33" s="170"/>
    </row>
    <row r="34" spans="2:12" ht="16.5" x14ac:dyDescent="0.25">
      <c r="B34" s="203"/>
      <c r="C34" s="379" t="s">
        <v>306</v>
      </c>
      <c r="D34" s="383" t="str">
        <f>INDEX('CEN. POR AREA'!A14:Q58,MATCH('BOLETINES '!D5,'CEN. POR AREA'!A14:A58,0),17)</f>
        <v/>
      </c>
      <c r="E34" s="383" t="str">
        <f>INDEX('CEN. POR AREA'!A14:AH58,MATCH('BOLETINES '!D5,'CEN. POR AREA'!A14:A58,0),34)</f>
        <v/>
      </c>
      <c r="F34" s="383" t="str">
        <f>INDEX('CEN. POR AREA'!A14:AY58,MATCH('BOLETINES '!D5,'CEN. POR AREA'!A14:A58,0),51)</f>
        <v/>
      </c>
      <c r="G34" s="383" t="str">
        <f>INDEX('CEN. POR AREA'!A14:BP58,MATCH('BOLETINES '!D5,'CEN. POR AREA'!A14:A58,0),68)</f>
        <v/>
      </c>
      <c r="H34" s="383" t="str">
        <f>INDEX('CEN. POR AREA'!A14:BT58,MATCH('BOLETINES '!D5,'CEN. POR AREA'!A14:A58,0),72)</f>
        <v/>
      </c>
      <c r="I34" s="175"/>
      <c r="J34" s="204"/>
      <c r="L34" s="384"/>
    </row>
    <row r="35" spans="2:12" ht="16.5" x14ac:dyDescent="0.3">
      <c r="B35" s="203"/>
      <c r="C35" s="177"/>
      <c r="D35" s="178"/>
      <c r="E35" s="178"/>
      <c r="F35" s="178"/>
      <c r="G35" s="178"/>
      <c r="H35" s="178"/>
      <c r="I35" s="176"/>
      <c r="J35" s="205"/>
    </row>
    <row r="36" spans="2:12" ht="17.25" thickBot="1" x14ac:dyDescent="0.35">
      <c r="B36" s="203"/>
      <c r="C36" s="179"/>
      <c r="D36" s="178"/>
      <c r="E36" s="178"/>
      <c r="F36" s="793"/>
      <c r="G36" s="793"/>
      <c r="H36" s="793"/>
      <c r="I36" s="176"/>
      <c r="J36" s="205"/>
    </row>
    <row r="37" spans="2:12" ht="17.25" thickBot="1" x14ac:dyDescent="0.35">
      <c r="B37" s="206"/>
      <c r="C37" s="473">
        <f>CARATULA!G22</f>
        <v>0</v>
      </c>
      <c r="D37" s="207"/>
      <c r="E37" s="208"/>
      <c r="F37" s="795">
        <f>CARATULA!G24</f>
        <v>0</v>
      </c>
      <c r="G37" s="795"/>
      <c r="H37" s="795"/>
      <c r="I37" s="209"/>
      <c r="J37" s="210"/>
    </row>
  </sheetData>
  <sheetProtection password="D989" sheet="1" objects="1" scenarios="1" formatCells="0" formatColumns="0" formatRows="0" insertColumns="0" insertRows="0" insertHyperlinks="0" autoFilter="0" pivotTables="0"/>
  <mergeCells count="24">
    <mergeCell ref="C19:C20"/>
    <mergeCell ref="D19:H19"/>
    <mergeCell ref="F37:H37"/>
    <mergeCell ref="B4:J4"/>
    <mergeCell ref="C18:D18"/>
    <mergeCell ref="E18:H18"/>
    <mergeCell ref="C7:C16"/>
    <mergeCell ref="E7:F7"/>
    <mergeCell ref="E8:F8"/>
    <mergeCell ref="E9:F9"/>
    <mergeCell ref="E10:F10"/>
    <mergeCell ref="E11:F11"/>
    <mergeCell ref="E12:F12"/>
    <mergeCell ref="E13:F13"/>
    <mergeCell ref="G7:I7"/>
    <mergeCell ref="G8:I8"/>
    <mergeCell ref="E14:F14"/>
    <mergeCell ref="G14:I14"/>
    <mergeCell ref="F36:H36"/>
    <mergeCell ref="G9:I9"/>
    <mergeCell ref="G10:I10"/>
    <mergeCell ref="G11:I11"/>
    <mergeCell ref="G12:I12"/>
    <mergeCell ref="G13:I13"/>
  </mergeCells>
  <conditionalFormatting sqref="D21:G34 H34">
    <cfRule type="cellIs" dxfId="2" priority="5" operator="lessThanOrEqual">
      <formula>50.499</formula>
    </cfRule>
  </conditionalFormatting>
  <conditionalFormatting sqref="G7:I14">
    <cfRule type="containsErrors" dxfId="1" priority="4">
      <formula>ISERROR(G7)</formula>
    </cfRule>
  </conditionalFormatting>
  <conditionalFormatting sqref="H21:H33">
    <cfRule type="cellIs" dxfId="0" priority="3" operator="lessThanOrEqual">
      <formula>50.499</formula>
    </cfRule>
  </conditionalFormatting>
  <dataValidations count="1">
    <dataValidation type="list" allowBlank="1" showInputMessage="1" showErrorMessage="1" sqref="D7">
      <formula1>CODIGO</formula1>
    </dataValidation>
  </dataValidations>
  <pageMargins left="0.7" right="0.7" top="0.75" bottom="0.75" header="0.3" footer="0.3"/>
  <pageSetup orientation="portrait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'CODIGO Y FOTOGRAFIA '!$B$3:$B$47</xm:f>
          </x14:formula1>
          <xm:sqref>D5</xm:sqref>
        </x14:dataValidation>
      </x14:dataValidation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7" filterMode="1"/>
  <dimension ref="A1:K55"/>
  <sheetViews>
    <sheetView showZeros="0" workbookViewId="0">
      <selection activeCell="F7" sqref="F7:G25"/>
    </sheetView>
  </sheetViews>
  <sheetFormatPr baseColWidth="10" defaultRowHeight="12.75" x14ac:dyDescent="0.2"/>
  <cols>
    <col min="1" max="1" width="4.85546875" style="309" customWidth="1"/>
    <col min="2" max="2" width="11.42578125" style="309"/>
    <col min="3" max="3" width="4.85546875" style="309" customWidth="1"/>
    <col min="4" max="4" width="38.28515625" style="309" customWidth="1"/>
    <col min="5" max="5" width="4.5703125" style="309" customWidth="1"/>
    <col min="6" max="6" width="34.28515625" style="309" customWidth="1"/>
    <col min="7" max="7" width="9.42578125" style="309" customWidth="1"/>
    <col min="8" max="8" width="8.5703125" style="309" customWidth="1"/>
    <col min="9" max="9" width="12.28515625" style="309" bestFit="1" customWidth="1"/>
    <col min="10" max="10" width="25.5703125" style="309" customWidth="1"/>
    <col min="11" max="11" width="30.140625" style="309" customWidth="1"/>
    <col min="12" max="16384" width="11.42578125" style="309"/>
  </cols>
  <sheetData>
    <row r="1" spans="1:11" x14ac:dyDescent="0.2">
      <c r="A1" s="321"/>
      <c r="B1" s="321"/>
      <c r="C1" s="321"/>
      <c r="D1" s="321"/>
    </row>
    <row r="2" spans="1:11" x14ac:dyDescent="0.2">
      <c r="A2" s="321"/>
      <c r="B2" s="321"/>
      <c r="C2" s="321"/>
      <c r="D2" s="321"/>
    </row>
    <row r="3" spans="1:11" x14ac:dyDescent="0.2">
      <c r="A3" s="321"/>
      <c r="B3" s="321"/>
      <c r="C3" s="321"/>
      <c r="D3" s="321"/>
    </row>
    <row r="4" spans="1:11" x14ac:dyDescent="0.2">
      <c r="A4" s="321"/>
      <c r="B4" s="321"/>
      <c r="C4" s="321"/>
      <c r="D4" s="321"/>
    </row>
    <row r="5" spans="1:11" x14ac:dyDescent="0.2">
      <c r="A5" s="321"/>
      <c r="B5" s="321"/>
      <c r="C5" s="321"/>
      <c r="D5" s="321"/>
    </row>
    <row r="6" spans="1:11" x14ac:dyDescent="0.2">
      <c r="A6" s="322" t="s">
        <v>269</v>
      </c>
      <c r="B6" s="322" t="s">
        <v>270</v>
      </c>
      <c r="C6" s="322" t="s">
        <v>269</v>
      </c>
      <c r="D6" s="322" t="s">
        <v>265</v>
      </c>
      <c r="F6" s="309" t="s">
        <v>292</v>
      </c>
      <c r="G6" s="309" t="s">
        <v>293</v>
      </c>
    </row>
    <row r="7" spans="1:11" x14ac:dyDescent="0.2">
      <c r="A7" s="321">
        <v>1</v>
      </c>
      <c r="B7" s="323" t="e">
        <f>IF('CEN. POR AREA'!BU$14&lt;=1," ",LARGE('CEN. POR AREA'!BU$14:BU$58,1))</f>
        <v>#NUM!</v>
      </c>
      <c r="C7" s="321" t="e">
        <f>IF(B7&lt;=1," ",MATCH(B7,'CEN. POR AREA'!BU$14:BU$58,0))</f>
        <v>#NUM!</v>
      </c>
      <c r="D7" s="321" t="e">
        <f>LOOKUP(C7,'CEN. POR AREA'!B$14:B$58:'CEN. POR AREA'!C$14:C$58)</f>
        <v>#NUM!</v>
      </c>
      <c r="E7" s="309">
        <v>1</v>
      </c>
      <c r="F7" s="309" t="str">
        <f>IF('C. FILIACION'!C16="",0,'C. FILIACION'!C16)</f>
        <v>AÑAZGO  VARGAS NOELIA</v>
      </c>
      <c r="G7" s="331">
        <f>IF('CEN. POR AREA'!BU16="",0,'CEN. POR AREA'!BU16)</f>
        <v>0</v>
      </c>
      <c r="H7" s="332" t="str">
        <f>IF(G7&lt;=1," ",LARGE(G7:G51,1))</f>
        <v xml:space="preserve"> </v>
      </c>
      <c r="I7" s="333" t="e">
        <f>IF(H7&lt;=1," ",MATCH(H7,$G$7:$G$51,1))</f>
        <v>#N/A</v>
      </c>
      <c r="J7" s="309" t="e">
        <f>VLOOKUP(I7,E6:F50,2,TRUE)</f>
        <v>#N/A</v>
      </c>
      <c r="K7" s="309" t="e">
        <f>VLOOKUP(H7,F7:H26,2,FALSE)</f>
        <v>#N/A</v>
      </c>
    </row>
    <row r="8" spans="1:11" x14ac:dyDescent="0.2">
      <c r="A8" s="321">
        <v>2</v>
      </c>
      <c r="B8" s="323" t="e">
        <f>IF('CEN. POR AREA'!BU$14&lt;=1," ",LARGE('CEN. POR AREA'!BU$14:BU$58,2))</f>
        <v>#NUM!</v>
      </c>
      <c r="C8" s="321" t="e">
        <f>IF(B8&lt;=1," ",MATCH(B8,'CEN. POR AREA'!BU$14:BU$58,0))</f>
        <v>#NUM!</v>
      </c>
      <c r="D8" s="321" t="e">
        <f>LOOKUP(C8,'CEN. POR AREA'!B$14:B$58:'CEN. POR AREA'!C$14:C$58)</f>
        <v>#NUM!</v>
      </c>
      <c r="E8" s="309">
        <v>2</v>
      </c>
      <c r="F8" s="309" t="str">
        <f>IF('C. FILIACION'!C26="",0,'C. FILIACION'!C26)</f>
        <v>HILAYA  TORREZ CARLA JHULIANA</v>
      </c>
      <c r="G8" s="331">
        <f>IF('CEN. POR AREA'!BU26="",0,'CEN. POR AREA'!BU26)</f>
        <v>0</v>
      </c>
      <c r="H8" s="332" t="str">
        <f>IF(G8&lt;=1," ",LARGE(G7:G51,2))</f>
        <v xml:space="preserve"> </v>
      </c>
      <c r="I8" s="333" t="e">
        <f>IF(H8&lt;=1," ",MATCH(H8,$G$7:$G$51,0))</f>
        <v>#N/A</v>
      </c>
      <c r="J8" s="309" t="e">
        <f>VLOOKUP(I8,E7:F51,2,TRUE)</f>
        <v>#N/A</v>
      </c>
    </row>
    <row r="9" spans="1:11" x14ac:dyDescent="0.2">
      <c r="A9" s="321">
        <v>3</v>
      </c>
      <c r="B9" s="323" t="e">
        <f>IF('CEN. POR AREA'!BU$14&lt;=1," ",LARGE('CEN. POR AREA'!BU$14:BU$58,3))</f>
        <v>#NUM!</v>
      </c>
      <c r="C9" s="321" t="e">
        <f>IF(B9&lt;=1," ",MATCH(B9,'CEN. POR AREA'!BU$14:BU$58,0))</f>
        <v>#NUM!</v>
      </c>
      <c r="D9" s="321" t="e">
        <f>LOOKUP(C9,'CEN. POR AREA'!B$14:B$58:'CEN. POR AREA'!C$14:C$58)</f>
        <v>#NUM!</v>
      </c>
      <c r="E9" s="309">
        <v>3</v>
      </c>
      <c r="F9" s="309" t="str">
        <f>IF('C. FILIACION'!C29="",0,'C. FILIACION'!C29)</f>
        <v>MANTILLA SANCHEZ CAROLINA VALERIA</v>
      </c>
      <c r="G9" s="331">
        <f>IF('CEN. POR AREA'!BU29="",0,'CEN. POR AREA'!BU29)</f>
        <v>0</v>
      </c>
      <c r="H9" s="332" t="str">
        <f>IF(G9&lt;=1," ",LARGE(G7:G51,3))</f>
        <v xml:space="preserve"> </v>
      </c>
      <c r="I9" s="333" t="e">
        <f>IF(H9&lt;=1," ",MATCH(H9,$G$7:$G$51,0))</f>
        <v>#N/A</v>
      </c>
      <c r="J9" s="309" t="e">
        <f>VLOOKUP(I9,E7:F51,2,TRUE)</f>
        <v>#N/A</v>
      </c>
    </row>
    <row r="10" spans="1:11" x14ac:dyDescent="0.2">
      <c r="A10" s="321">
        <v>4</v>
      </c>
      <c r="B10" s="323" t="e">
        <f>IF('CEN. POR AREA'!BU$14&lt;=1," ",LARGE('CEN. POR AREA'!BU$14:BU$58,4))</f>
        <v>#NUM!</v>
      </c>
      <c r="C10" s="321" t="e">
        <f>IF(B10&lt;=1," ",MATCH(B10,'CEN. POR AREA'!BU$14:BU$58,0))</f>
        <v>#NUM!</v>
      </c>
      <c r="D10" s="321" t="e">
        <f>LOOKUP(C10,'CEN. POR AREA'!B$14:B$58:'CEN. POR AREA'!C$14:C$58)</f>
        <v>#NUM!</v>
      </c>
      <c r="E10" s="309">
        <v>4</v>
      </c>
      <c r="F10" s="309" t="str">
        <f>IF('C. FILIACION'!C22="",0,'C. FILIACION'!C22)</f>
        <v>CARRION MARGUAY FABIANA ALEXANDRA</v>
      </c>
      <c r="G10" s="331">
        <f>IF('CEN. POR AREA'!BU22="",0,'CEN. POR AREA'!BU22)</f>
        <v>0</v>
      </c>
      <c r="H10" s="332" t="str">
        <f>IF(G10&lt;=1," ",LARGE(G7:G51,4))</f>
        <v xml:space="preserve"> </v>
      </c>
      <c r="I10" s="333" t="e">
        <f>IF(H10&lt;=1," ",MATCH(H10,$G$7:$G$51,0))</f>
        <v>#N/A</v>
      </c>
      <c r="J10" s="309" t="e">
        <f>VLOOKUP(I10,E7:F51,2,TRUE)</f>
        <v>#N/A</v>
      </c>
    </row>
    <row r="11" spans="1:11" x14ac:dyDescent="0.2">
      <c r="A11" s="321">
        <v>5</v>
      </c>
      <c r="B11" s="323" t="e">
        <f>IF('CEN. POR AREA'!BU$14&lt;=1," ",LARGE('CEN. POR AREA'!BU$14:BU$58,5))</f>
        <v>#NUM!</v>
      </c>
      <c r="C11" s="321" t="e">
        <f>IF(B11&lt;=1," ",MATCH(B11,'CEN. POR AREA'!BU$14:BU$58,0))</f>
        <v>#NUM!</v>
      </c>
      <c r="D11" s="321" t="e">
        <f>LOOKUP(C11,'CEN. POR AREA'!B$14:B$58:'CEN. POR AREA'!C$14:C$58)</f>
        <v>#NUM!</v>
      </c>
      <c r="E11" s="309">
        <v>5</v>
      </c>
      <c r="F11" s="309" t="str">
        <f>IF('C. FILIACION'!C31="",0,'C. FILIACION'!C31)</f>
        <v xml:space="preserve">POMA MAMANI ADRIAN </v>
      </c>
      <c r="G11" s="331">
        <f>IF('CEN. POR AREA'!BU31="",0,'CEN. POR AREA'!BU31)</f>
        <v>0</v>
      </c>
      <c r="H11" s="332" t="str">
        <f>IF(G11&lt;=1," ",LARGE(G7:G51,5))</f>
        <v xml:space="preserve"> </v>
      </c>
      <c r="I11" s="333" t="e">
        <f>IF(H11&lt;=1," ",MATCH(H11,$G$7:$G$51,0))</f>
        <v>#N/A</v>
      </c>
      <c r="J11" s="309" t="e">
        <f>VLOOKUP(I11,E7:F51,2,FALSE)</f>
        <v>#N/A</v>
      </c>
    </row>
    <row r="12" spans="1:11" x14ac:dyDescent="0.2">
      <c r="A12" s="321">
        <v>6</v>
      </c>
      <c r="B12" s="323" t="e">
        <f>IF('CEN. POR AREA'!BU$14&lt;=1," ",LARGE('CEN. POR AREA'!BU$14:BU$58,6))</f>
        <v>#NUM!</v>
      </c>
      <c r="C12" s="321" t="e">
        <f>IF(B12&lt;=1," ",MATCH(B12,'CEN. POR AREA'!BU$14:BU$58,0))</f>
        <v>#NUM!</v>
      </c>
      <c r="D12" s="321" t="e">
        <f>LOOKUP(C12,'CEN. POR AREA'!B$14:B$58:'CEN. POR AREA'!C$14:C$58)</f>
        <v>#NUM!</v>
      </c>
      <c r="E12" s="309">
        <v>6</v>
      </c>
      <c r="F12" s="309" t="str">
        <f>IF('C. FILIACION'!C24="",0,'C. FILIACION'!C24)</f>
        <v>CONDE ZARATE ASHLY OTHANY</v>
      </c>
      <c r="G12" s="331">
        <f>IF('CEN. POR AREA'!BU24="",0,'CEN. POR AREA'!BU24)</f>
        <v>0</v>
      </c>
      <c r="H12" s="332" t="str">
        <f>IF(G12&lt;=1," ",LARGE(G7:G51,6))</f>
        <v xml:space="preserve"> </v>
      </c>
      <c r="I12" s="333" t="e">
        <f>IF(H12&lt;=1," ",MATCH(H12,G7:G51,0))</f>
        <v>#N/A</v>
      </c>
      <c r="J12" s="309" t="e">
        <f t="shared" ref="J12:J31" si="0">VLOOKUP(I12,E12:F56,2,TRUE)</f>
        <v>#N/A</v>
      </c>
    </row>
    <row r="13" spans="1:11" x14ac:dyDescent="0.2">
      <c r="A13" s="321">
        <v>7</v>
      </c>
      <c r="B13" s="323" t="e">
        <f>IF('CEN. POR AREA'!BU$14&lt;=1," ",LARGE('CEN. POR AREA'!BU$14:BU$58,7))</f>
        <v>#NUM!</v>
      </c>
      <c r="C13" s="321" t="e">
        <f>IF(B13&lt;=1," ",MATCH(B13,'CEN. POR AREA'!BU$14:BU$58,0))</f>
        <v>#NUM!</v>
      </c>
      <c r="D13" s="321" t="e">
        <f>LOOKUP(C13,'CEN. POR AREA'!B$14:B$58:'CEN. POR AREA'!C$14:C$58)</f>
        <v>#NUM!</v>
      </c>
      <c r="E13" s="309">
        <v>7</v>
      </c>
      <c r="F13" s="309" t="str">
        <f>IF('C. FILIACION'!C19="",0,'C. FILIACION'!C19)</f>
        <v>AYLLON MOLLO RONNY BRUCE</v>
      </c>
      <c r="G13" s="331">
        <f>IF('CEN. POR AREA'!BU19="",0,'CEN. POR AREA'!BU19)</f>
        <v>0</v>
      </c>
      <c r="H13" s="332" t="str">
        <f>IF(G13&lt;=1," ",LARGE(G7:G51,7))</f>
        <v xml:space="preserve"> </v>
      </c>
      <c r="I13" s="333" t="e">
        <f>IF(H13&lt;=1," ",MATCH(H13,G7:G51,0))</f>
        <v>#N/A</v>
      </c>
      <c r="J13" s="309" t="e">
        <f t="shared" si="0"/>
        <v>#N/A</v>
      </c>
    </row>
    <row r="14" spans="1:11" hidden="1" x14ac:dyDescent="0.2">
      <c r="A14" s="321">
        <v>8</v>
      </c>
      <c r="B14" s="323" t="e">
        <f>IF('CEN. POR AREA'!BU$14&lt;=1," ",LARGE('CEN. POR AREA'!BU$14:BU$58,8))</f>
        <v>#NUM!</v>
      </c>
      <c r="C14" s="321" t="e">
        <f>IF(B14&lt;=1," ",MATCH(B14,'CEN. POR AREA'!BU$14:BU$58,0))</f>
        <v>#NUM!</v>
      </c>
      <c r="D14" s="321" t="e">
        <f>LOOKUP(C14,'CEN. POR AREA'!B$14:B$58:'CEN. POR AREA'!C$14:C$58)</f>
        <v>#NUM!</v>
      </c>
      <c r="E14" s="309">
        <v>8</v>
      </c>
      <c r="F14" s="309" t="str">
        <f>IF('C. FILIACION'!C21="",0,'C. FILIACION'!C21)</f>
        <v>CAMACHO SALGADO LEONARDO</v>
      </c>
      <c r="G14" s="331">
        <f>IF('CEN. POR AREA'!BU21="",0,'CEN. POR AREA'!BU21)</f>
        <v>0</v>
      </c>
      <c r="H14" s="332" t="str">
        <f>IF(G14&lt;=1," ",LARGE(G7:G51,8))</f>
        <v xml:space="preserve"> </v>
      </c>
      <c r="I14" s="333" t="e">
        <f>IF(H14&lt;=1," ",MATCH(H14,G7:G51,0))</f>
        <v>#N/A</v>
      </c>
      <c r="J14" s="309" t="e">
        <f t="shared" si="0"/>
        <v>#N/A</v>
      </c>
    </row>
    <row r="15" spans="1:11" x14ac:dyDescent="0.2">
      <c r="A15" s="321">
        <v>9</v>
      </c>
      <c r="B15" s="323" t="e">
        <f>IF('CEN. POR AREA'!BU$14&lt;=1," ",LARGE('CEN. POR AREA'!BU$14:BU$58,9))</f>
        <v>#NUM!</v>
      </c>
      <c r="C15" s="321" t="e">
        <f>IF(B15&lt;=1," ",MATCH(B15,'CEN. POR AREA'!BU$14:BU$58,0))</f>
        <v>#NUM!</v>
      </c>
      <c r="D15" s="321" t="e">
        <f>LOOKUP(C15,'CEN. POR AREA'!B$14:B$58:'CEN. POR AREA'!C$14:C$58)</f>
        <v>#NUM!</v>
      </c>
      <c r="E15" s="309">
        <v>9</v>
      </c>
      <c r="F15" s="309" t="str">
        <f>IF('C. FILIACION'!C25="",0,'C. FILIACION'!C25)</f>
        <v>CORTEZ RODRIGUEZ  GONZALO AXCELL</v>
      </c>
      <c r="G15" s="331">
        <f>IF('CEN. POR AREA'!BU25="",0,'CEN. POR AREA'!BU25)</f>
        <v>0</v>
      </c>
      <c r="H15" s="332" t="str">
        <f>IF(G15&lt;=1," ",LARGE(G7:G51,9))</f>
        <v xml:space="preserve"> </v>
      </c>
      <c r="I15" s="333" t="e">
        <f>IF(H15&lt;=1," ",MATCH(H15,G7:G51,0))</f>
        <v>#N/A</v>
      </c>
      <c r="J15" s="309" t="e">
        <f t="shared" si="0"/>
        <v>#N/A</v>
      </c>
    </row>
    <row r="16" spans="1:11" hidden="1" x14ac:dyDescent="0.2">
      <c r="A16" s="321">
        <v>10</v>
      </c>
      <c r="B16" s="323" t="e">
        <f>IF('CEN. POR AREA'!BU$14&lt;=1," ",LARGE('CEN. POR AREA'!BU$14:BU$58,10))</f>
        <v>#NUM!</v>
      </c>
      <c r="C16" s="321" t="e">
        <f>IF(B16&lt;=1," ",MATCH(B16,'CEN. POR AREA'!BU$14:BU$58,0))</f>
        <v>#NUM!</v>
      </c>
      <c r="D16" s="321" t="e">
        <f>LOOKUP(C16,'CEN. POR AREA'!B$14:B$58:'CEN. POR AREA'!C$14:C$58)</f>
        <v>#NUM!</v>
      </c>
      <c r="E16" s="309">
        <v>10</v>
      </c>
      <c r="F16" s="309" t="str">
        <f>IF('C. FILIACION'!C23="",0,'C. FILIACION'!C23)</f>
        <v>CAYO CALLE JUAN PABLO</v>
      </c>
      <c r="G16" s="331">
        <f>IF('CEN. POR AREA'!BU23="",0,'CEN. POR AREA'!BU23)</f>
        <v>0</v>
      </c>
      <c r="H16" s="332" t="str">
        <f>IF(G16&lt;=1," ",LARGE(G7:G51,10))</f>
        <v xml:space="preserve"> </v>
      </c>
      <c r="I16" s="333" t="e">
        <f>IF(H16&lt;=1," ",MATCH(H16,G7:G51,0))</f>
        <v>#N/A</v>
      </c>
      <c r="J16" s="309" t="e">
        <f t="shared" si="0"/>
        <v>#N/A</v>
      </c>
    </row>
    <row r="17" spans="1:10" x14ac:dyDescent="0.2">
      <c r="A17" s="321">
        <v>11</v>
      </c>
      <c r="B17" s="323" t="e">
        <f>IF('CEN. POR AREA'!BU$14&lt;=1," ",LARGE('CEN. POR AREA'!BU$14:BU$58,11))</f>
        <v>#NUM!</v>
      </c>
      <c r="C17" s="321" t="e">
        <f>IF(B17&lt;=1," ",MATCH(B17,'CEN. POR AREA'!BU$14:BU$58,0))</f>
        <v>#NUM!</v>
      </c>
      <c r="D17" s="321" t="e">
        <f>LOOKUP(C17,'CEN. POR AREA'!B$14:B$58:'CEN. POR AREA'!C$14:C$58)</f>
        <v>#NUM!</v>
      </c>
      <c r="E17" s="309">
        <v>11</v>
      </c>
      <c r="F17" s="309" t="str">
        <f>IF('C. FILIACION'!C14="",0,'C. FILIACION'!C14)</f>
        <v>SUAREZ EVELIN ISELA</v>
      </c>
      <c r="G17" s="331">
        <f>IF('CEN. POR AREA'!BU14="",0,'CEN. POR AREA'!BU14)</f>
        <v>0</v>
      </c>
      <c r="H17" s="332" t="str">
        <f>IF(G17&lt;=1," ",LARGE(G7:G51,11))</f>
        <v xml:space="preserve"> </v>
      </c>
      <c r="I17" s="333" t="e">
        <f>IF(H17&lt;=1," ",MATCH(H17,G7:G51,0))</f>
        <v>#N/A</v>
      </c>
      <c r="J17" s="309" t="e">
        <f t="shared" si="0"/>
        <v>#N/A</v>
      </c>
    </row>
    <row r="18" spans="1:10" x14ac:dyDescent="0.2">
      <c r="A18" s="321">
        <v>12</v>
      </c>
      <c r="B18" s="323" t="e">
        <f>IF('CEN. POR AREA'!BU$14&lt;=1," ",LARGE('CEN. POR AREA'!BU$14:BU$58,12))</f>
        <v>#NUM!</v>
      </c>
      <c r="C18" s="321" t="e">
        <f>IF(B18&lt;=1," ",MATCH(B18,'CEN. POR AREA'!BU$14:BU$58,0))</f>
        <v>#NUM!</v>
      </c>
      <c r="D18" s="321" t="e">
        <f>LOOKUP(C18,'CEN. POR AREA'!B$14:B$58:'CEN. POR AREA'!C$14:C$58)</f>
        <v>#NUM!</v>
      </c>
      <c r="E18" s="309">
        <v>12</v>
      </c>
      <c r="F18" s="309" t="str">
        <f>IF('C. FILIACION'!C32="",0,'C. FILIACION'!C32)</f>
        <v>PORTILLO  JALJA JHOSEP ERLAN</v>
      </c>
      <c r="G18" s="331">
        <f>IF('CEN. POR AREA'!BU32="",0,'CEN. POR AREA'!BU32)</f>
        <v>0</v>
      </c>
      <c r="H18" s="332" t="str">
        <f>IF(G18&lt;=1," ",LARGE(G7:G51,12))</f>
        <v xml:space="preserve"> </v>
      </c>
      <c r="I18" s="333" t="e">
        <f>IF(H18&lt;=1," ",MATCH(H18,G7:G51,0))</f>
        <v>#N/A</v>
      </c>
      <c r="J18" s="309" t="e">
        <f t="shared" si="0"/>
        <v>#N/A</v>
      </c>
    </row>
    <row r="19" spans="1:10" x14ac:dyDescent="0.2">
      <c r="A19" s="321">
        <v>13</v>
      </c>
      <c r="B19" s="323" t="e">
        <f>IF('CEN. POR AREA'!BU$14&lt;=1," ",LARGE('CEN. POR AREA'!BU$14:BU$58,13))</f>
        <v>#NUM!</v>
      </c>
      <c r="C19" s="321" t="e">
        <f>IF(B19&lt;=1," ",MATCH(B19,'CEN. POR AREA'!BU$14:BU$58,0))</f>
        <v>#NUM!</v>
      </c>
      <c r="D19" s="321" t="e">
        <f>LOOKUP(C19,'CEN. POR AREA'!B$14:B$58:'CEN. POR AREA'!C$14:C$58)</f>
        <v>#NUM!</v>
      </c>
      <c r="E19" s="309">
        <v>13</v>
      </c>
      <c r="F19" s="309" t="str">
        <f>IF('C. FILIACION'!C17="",0,'C. FILIACION'!C17)</f>
        <v>AQUISE HINOJOSA YHAMIR FABIO</v>
      </c>
      <c r="G19" s="331">
        <f>IF('CEN. POR AREA'!BU17="",0,'CEN. POR AREA'!BU17)</f>
        <v>0</v>
      </c>
      <c r="H19" s="332" t="str">
        <f>IF(G19&lt;=1," ",LARGE(G7:G51,13))</f>
        <v xml:space="preserve"> </v>
      </c>
      <c r="I19" s="333" t="e">
        <f>IF(H19&lt;=1," ",MATCH(H19,G7:G51,0))</f>
        <v>#N/A</v>
      </c>
      <c r="J19" s="309" t="e">
        <f t="shared" si="0"/>
        <v>#N/A</v>
      </c>
    </row>
    <row r="20" spans="1:10" x14ac:dyDescent="0.2">
      <c r="A20" s="321">
        <v>14</v>
      </c>
      <c r="B20" s="323" t="e">
        <f>IF('CEN. POR AREA'!BU$14&lt;=1," ",LARGE('CEN. POR AREA'!BU$14:BU$58,14))</f>
        <v>#NUM!</v>
      </c>
      <c r="C20" s="321" t="e">
        <f>IF(B20&lt;=1," ",MATCH(B20,'CEN. POR AREA'!BU$14:BU$58,0))</f>
        <v>#NUM!</v>
      </c>
      <c r="D20" s="321" t="e">
        <f>LOOKUP(C20,'CEN. POR AREA'!B$14:B$58:'CEN. POR AREA'!C$14:C$58)</f>
        <v>#NUM!</v>
      </c>
      <c r="E20" s="309">
        <v>14</v>
      </c>
      <c r="F20" s="309" t="str">
        <f>IF('C. FILIACION'!C15="",0,'C. FILIACION'!C15)</f>
        <v>ALARCON  VARGAS JAIR ALEXIS</v>
      </c>
      <c r="G20" s="331">
        <f>IF('CEN. POR AREA'!BU15="",0,'CEN. POR AREA'!BU15)</f>
        <v>0</v>
      </c>
      <c r="H20" s="332" t="str">
        <f>IF(G20&lt;=1," ",LARGE(G7:G51,14))</f>
        <v xml:space="preserve"> </v>
      </c>
      <c r="I20" s="333" t="e">
        <f>IF(H20&lt;=1," ",MATCH(H20,G7:G51,0))</f>
        <v>#N/A</v>
      </c>
      <c r="J20" s="309" t="e">
        <f t="shared" si="0"/>
        <v>#N/A</v>
      </c>
    </row>
    <row r="21" spans="1:10" hidden="1" x14ac:dyDescent="0.2">
      <c r="A21" s="321">
        <v>15</v>
      </c>
      <c r="B21" s="323" t="e">
        <f>IF('CEN. POR AREA'!BU$14&lt;=1," ",LARGE('CEN. POR AREA'!BU$14:BU$58,15))</f>
        <v>#NUM!</v>
      </c>
      <c r="C21" s="321" t="e">
        <f>IF(B21&lt;=1," ",MATCH(B21,'CEN. POR AREA'!BU$14:BU$58,0))</f>
        <v>#NUM!</v>
      </c>
      <c r="D21" s="321" t="e">
        <f>LOOKUP(C21,'CEN. POR AREA'!B$14:B$58:'CEN. POR AREA'!C$14:C$58)</f>
        <v>#NUM!</v>
      </c>
      <c r="E21" s="309">
        <v>15</v>
      </c>
      <c r="F21" s="309" t="str">
        <f>IF('C. FILIACION'!C28="",0,'C. FILIACION'!C28)</f>
        <v>LIMACHI RADA GERMAN DOMINGO</v>
      </c>
      <c r="G21" s="331">
        <f>IF('CEN. POR AREA'!BU28="",0,'CEN. POR AREA'!BU28)</f>
        <v>0</v>
      </c>
      <c r="H21" s="332" t="str">
        <f>IF(G21&lt;=1," ",LARGE(G7:G51,15))</f>
        <v xml:space="preserve"> </v>
      </c>
      <c r="I21" s="333" t="e">
        <f>IF(H21&lt;=1," ",MATCH(H21,G7:G51,0))</f>
        <v>#N/A</v>
      </c>
      <c r="J21" s="309" t="e">
        <f t="shared" si="0"/>
        <v>#N/A</v>
      </c>
    </row>
    <row r="22" spans="1:10" x14ac:dyDescent="0.2">
      <c r="A22" s="321">
        <v>16</v>
      </c>
      <c r="B22" s="323" t="e">
        <f>IF('CEN. POR AREA'!BU$14&lt;=1," ",LARGE('CEN. POR AREA'!BU$14:BU$58,16))</f>
        <v>#NUM!</v>
      </c>
      <c r="C22" s="321" t="e">
        <f>IF(B22&lt;=1," ",MATCH(B22,'CEN. POR AREA'!BU$14:BU$58,0))</f>
        <v>#NUM!</v>
      </c>
      <c r="D22" s="321" t="e">
        <f>LOOKUP(C22,'CEN. POR AREA'!B$14:B$58:'CEN. POR AREA'!C$14:C$58)</f>
        <v>#NUM!</v>
      </c>
      <c r="E22" s="309">
        <v>16</v>
      </c>
      <c r="F22" s="309" t="str">
        <f>IF('C. FILIACION'!C27="",0,'C. FILIACION'!C27)</f>
        <v>HUANCA CALLISAYA  PATRICIA</v>
      </c>
      <c r="G22" s="331">
        <f>IF('CEN. POR AREA'!BU27="",0,'CEN. POR AREA'!BU27)</f>
        <v>0</v>
      </c>
      <c r="H22" s="332" t="str">
        <f>IF(G22&lt;=1," ",LARGE(G7:G51,16))</f>
        <v xml:space="preserve"> </v>
      </c>
      <c r="I22" s="333" t="e">
        <f>IF(H22&lt;=1," ",MATCH(H22,G7:G51,0))</f>
        <v>#N/A</v>
      </c>
      <c r="J22" s="309" t="e">
        <f t="shared" si="0"/>
        <v>#N/A</v>
      </c>
    </row>
    <row r="23" spans="1:10" x14ac:dyDescent="0.2">
      <c r="A23" s="321">
        <v>17</v>
      </c>
      <c r="B23" s="323" t="e">
        <f>IF('CEN. POR AREA'!BU$14&lt;=1," ",LARGE('CEN. POR AREA'!BU$14:BU$58,17))</f>
        <v>#NUM!</v>
      </c>
      <c r="C23" s="321" t="e">
        <f>IF(B23&lt;=1," ",MATCH(B23,'CEN. POR AREA'!BU$14:BU$58,0))</f>
        <v>#NUM!</v>
      </c>
      <c r="D23" s="321" t="e">
        <f>LOOKUP(C23,'CEN. POR AREA'!B$14:B$58:'CEN. POR AREA'!C$14:C$58)</f>
        <v>#NUM!</v>
      </c>
      <c r="E23" s="309">
        <v>17</v>
      </c>
      <c r="F23" s="309" t="str">
        <f>IF('C. FILIACION'!C30="",0,'C. FILIACION'!C30)</f>
        <v>MULLER  ESCOBAR MARCIA BIBIANA</v>
      </c>
      <c r="G23" s="331">
        <f>IF('CEN. POR AREA'!BU30="",0,'CEN. POR AREA'!BU30)</f>
        <v>0</v>
      </c>
      <c r="H23" s="332" t="str">
        <f>IF(G23&lt;=1," ",LARGE(G7:G51,17))</f>
        <v xml:space="preserve"> </v>
      </c>
      <c r="I23" s="333" t="e">
        <f>IF(H23&lt;=1," ",MATCH(H23,G7:G51,0))</f>
        <v>#N/A</v>
      </c>
      <c r="J23" s="309" t="e">
        <f t="shared" si="0"/>
        <v>#N/A</v>
      </c>
    </row>
    <row r="24" spans="1:10" x14ac:dyDescent="0.2">
      <c r="A24" s="321">
        <v>18</v>
      </c>
      <c r="B24" s="323" t="e">
        <f>IF('CEN. POR AREA'!BU$14&lt;=1," ",LARGE('CEN. POR AREA'!BU$14:BU$58,18))</f>
        <v>#NUM!</v>
      </c>
      <c r="C24" s="321" t="e">
        <f>IF(B24&lt;=1," ",MATCH(B24,'CEN. POR AREA'!BU$14:BU$58,0))</f>
        <v>#NUM!</v>
      </c>
      <c r="D24" s="321" t="e">
        <f>LOOKUP(C24,'CEN. POR AREA'!B$14:B$58:'CEN. POR AREA'!C$14:C$58)</f>
        <v>#NUM!</v>
      </c>
      <c r="E24" s="309">
        <v>18</v>
      </c>
      <c r="F24" s="309" t="str">
        <f>IF('C. FILIACION'!C18="",0,'C. FILIACION'!C18)</f>
        <v>ARGANI  LAREDO MARIA JESUS</v>
      </c>
      <c r="G24" s="331">
        <f>IF('CEN. POR AREA'!BU18="",0,'CEN. POR AREA'!BU18)</f>
        <v>0</v>
      </c>
      <c r="H24" s="332" t="str">
        <f>IF(G24&lt;=1," ",LARGE(G7:G51,18))</f>
        <v xml:space="preserve"> </v>
      </c>
      <c r="I24" s="333" t="e">
        <f>IF(H24&lt;=1," ",MATCH(H24,G7:G51,0))</f>
        <v>#N/A</v>
      </c>
      <c r="J24" s="309" t="e">
        <f t="shared" si="0"/>
        <v>#N/A</v>
      </c>
    </row>
    <row r="25" spans="1:10" x14ac:dyDescent="0.2">
      <c r="A25" s="321">
        <v>19</v>
      </c>
      <c r="B25" s="323" t="e">
        <f>IF('CEN. POR AREA'!BU$14&lt;=1," ",LARGE('CEN. POR AREA'!BU$14:BU$58,19))</f>
        <v>#NUM!</v>
      </c>
      <c r="C25" s="321" t="e">
        <f>IF(B25&lt;=1," ",MATCH(B25,'CEN. POR AREA'!BU$14:BU$58,0))</f>
        <v>#NUM!</v>
      </c>
      <c r="D25" s="321" t="e">
        <f>LOOKUP(C25,'CEN. POR AREA'!B$14:B$58:'CEN. POR AREA'!C$14:C$58)</f>
        <v>#NUM!</v>
      </c>
      <c r="E25" s="309">
        <v>19</v>
      </c>
      <c r="F25" s="309" t="str">
        <f>IF('C. FILIACION'!C20="",0,'C. FILIACION'!C20)</f>
        <v>BALBOA  PAZ ANTHONY JR</v>
      </c>
      <c r="G25" s="331">
        <f>IF('CEN. POR AREA'!BU20="",0,'CEN. POR AREA'!BU20)</f>
        <v>0</v>
      </c>
      <c r="H25" s="332" t="str">
        <f>IF(G25&lt;=1," ",LARGE(G1:G51,19))</f>
        <v xml:space="preserve"> </v>
      </c>
      <c r="I25" s="333" t="e">
        <f>IF(H25&lt;=1," ",MATCH(H25,G7:G51,0))</f>
        <v>#N/A</v>
      </c>
      <c r="J25" s="309" t="e">
        <f t="shared" si="0"/>
        <v>#N/A</v>
      </c>
    </row>
    <row r="26" spans="1:10" hidden="1" x14ac:dyDescent="0.2">
      <c r="A26" s="321">
        <v>20</v>
      </c>
      <c r="B26" s="323" t="e">
        <f>IF('CEN. POR AREA'!BU$14&lt;=1," ",LARGE('CEN. POR AREA'!BU$14:BU$58,20))</f>
        <v>#NUM!</v>
      </c>
      <c r="C26" s="321" t="e">
        <f>IF(B26&lt;=1," ",MATCH(B26,'CEN. POR AREA'!BU$14:BU$58,0))</f>
        <v>#NUM!</v>
      </c>
      <c r="D26" s="321" t="e">
        <f>LOOKUP(C26,'CEN. POR AREA'!B$14:B$58:'CEN. POR AREA'!C$14:C$58)</f>
        <v>#NUM!</v>
      </c>
      <c r="E26" s="309">
        <v>20</v>
      </c>
      <c r="F26" s="309" t="str">
        <f>IF('C. FILIACION'!C33="",0,'C. FILIACION'!C33)</f>
        <v>PUJRO  CHAUCA DIANA MARIBEL</v>
      </c>
      <c r="G26" s="331">
        <f>IF('CEN. POR AREA'!BU33="",0,'CEN. POR AREA'!BU33)</f>
        <v>0</v>
      </c>
      <c r="H26" s="332" t="str">
        <f>IF(G26&lt;=1," ",LARGE(G7:G51,20))</f>
        <v xml:space="preserve"> </v>
      </c>
      <c r="I26" s="333" t="e">
        <f>IF(H26&lt;=1," ",MATCH(H26,G7:G51,0))</f>
        <v>#N/A</v>
      </c>
      <c r="J26" s="309" t="e">
        <f t="shared" si="0"/>
        <v>#N/A</v>
      </c>
    </row>
    <row r="27" spans="1:10" hidden="1" x14ac:dyDescent="0.2">
      <c r="A27" s="321">
        <v>21</v>
      </c>
      <c r="B27" s="323" t="e">
        <f>IF('CEN. POR AREA'!BU$14&lt;=1," ",LARGE('CEN. POR AREA'!BU$14:BU$58,21))</f>
        <v>#NUM!</v>
      </c>
      <c r="C27" s="321" t="e">
        <f>IF(B27&lt;=1," ",MATCH(B27,'CEN. POR AREA'!BU$14:BU$58,0))</f>
        <v>#NUM!</v>
      </c>
      <c r="D27" s="321" t="e">
        <f>LOOKUP(C27,'CEN. POR AREA'!B$14:B$58:'CEN. POR AREA'!C$14:C$58)</f>
        <v>#NUM!</v>
      </c>
      <c r="E27" s="309">
        <v>21</v>
      </c>
      <c r="F27" s="309" t="str">
        <f>IF('C. FILIACION'!C34="",0,'C. FILIACION'!C34)</f>
        <v>SANCHEZ  MOLINA ALEXIS VHADIR</v>
      </c>
      <c r="G27" s="331">
        <f>IF('CEN. POR AREA'!BU34="",0,'CEN. POR AREA'!BU34)</f>
        <v>0</v>
      </c>
      <c r="H27" s="332" t="str">
        <f>IF(G27&lt;=1," ",LARGE(G7:G51,21))</f>
        <v xml:space="preserve"> </v>
      </c>
      <c r="I27" s="333" t="e">
        <f>IF(H27&lt;=1," ",MATCH(H27,G7:G51,0))</f>
        <v>#N/A</v>
      </c>
      <c r="J27" s="309" t="e">
        <f t="shared" si="0"/>
        <v>#N/A</v>
      </c>
    </row>
    <row r="28" spans="1:10" hidden="1" x14ac:dyDescent="0.2">
      <c r="A28" s="321">
        <v>22</v>
      </c>
      <c r="B28" s="323" t="e">
        <f>IF('CEN. POR AREA'!BU$14&lt;=1," ",LARGE('CEN. POR AREA'!BU$14:BU$58,22))</f>
        <v>#NUM!</v>
      </c>
      <c r="C28" s="321" t="e">
        <f>IF(B28&lt;=1," ",MATCH(B28,'CEN. POR AREA'!BU$14:BU$58,0))</f>
        <v>#NUM!</v>
      </c>
      <c r="D28" s="321" t="e">
        <f>LOOKUP(C28,'CEN. POR AREA'!B$14:B$58:'CEN. POR AREA'!C$14:C$58)</f>
        <v>#NUM!</v>
      </c>
      <c r="E28" s="309">
        <v>22</v>
      </c>
      <c r="F28" s="309" t="str">
        <f>IF('C. FILIACION'!C35="",0,'C. FILIACION'!C35)</f>
        <v>SARAVIA SALVATIERRA JOSSE AMED</v>
      </c>
      <c r="G28" s="331">
        <f>IF('CEN. POR AREA'!BU35="",0,'CEN. POR AREA'!BU35)</f>
        <v>0</v>
      </c>
      <c r="H28" s="332" t="str">
        <f>IF(G28&lt;=1," ",LARGE(G7:G51,22))</f>
        <v xml:space="preserve"> </v>
      </c>
      <c r="I28" s="333" t="e">
        <f>IF(H28&lt;=1," ",MATCH(H28,G7:G51,0))</f>
        <v>#N/A</v>
      </c>
      <c r="J28" s="309" t="e">
        <f t="shared" si="0"/>
        <v>#N/A</v>
      </c>
    </row>
    <row r="29" spans="1:10" hidden="1" x14ac:dyDescent="0.2">
      <c r="A29" s="321">
        <v>23</v>
      </c>
      <c r="B29" s="323" t="e">
        <f>IF('CEN. POR AREA'!BU$14&lt;=1," ",LARGE('CEN. POR AREA'!BU$14:BU$58,23))</f>
        <v>#NUM!</v>
      </c>
      <c r="C29" s="321" t="e">
        <f>IF(B29&lt;=1," ",MATCH(B29,'CEN. POR AREA'!BU$14:BU$58,0))</f>
        <v>#NUM!</v>
      </c>
      <c r="D29" s="321" t="e">
        <f>LOOKUP(C29,'CEN. POR AREA'!B$14:B$58:'CEN. POR AREA'!C$14:C$58)</f>
        <v>#NUM!</v>
      </c>
      <c r="E29" s="309">
        <v>23</v>
      </c>
      <c r="F29" s="309" t="str">
        <f>IF('C. FILIACION'!C36="",0,'C. FILIACION'!C36)</f>
        <v>SIERRA LUNA GABRIEL  GERMAN</v>
      </c>
      <c r="G29" s="331">
        <f>IF('CEN. POR AREA'!BU36="",0,'CEN. POR AREA'!BU36)</f>
        <v>0</v>
      </c>
      <c r="H29" s="332" t="str">
        <f>IF(G29&lt;=1," ",LARGE(G7:G51,23))</f>
        <v xml:space="preserve"> </v>
      </c>
      <c r="I29" s="333" t="e">
        <f>IF(H29&lt;=1," ",MATCH(H29,G7:G51,0))</f>
        <v>#N/A</v>
      </c>
      <c r="J29" s="309" t="e">
        <f t="shared" si="0"/>
        <v>#N/A</v>
      </c>
    </row>
    <row r="30" spans="1:10" hidden="1" x14ac:dyDescent="0.2">
      <c r="A30" s="321">
        <v>24</v>
      </c>
      <c r="B30" s="323" t="e">
        <f>IF('CEN. POR AREA'!BU$14&lt;=1," ",LARGE('CEN. POR AREA'!BU$14:BU$58,24))</f>
        <v>#NUM!</v>
      </c>
      <c r="C30" s="321" t="e">
        <f>IF(B30&lt;=1," ",MATCH(B30,'CEN. POR AREA'!BU$14:BU$58,0))</f>
        <v>#NUM!</v>
      </c>
      <c r="D30" s="321" t="e">
        <f>LOOKUP(C30,'CEN. POR AREA'!B$14:B$58:'CEN. POR AREA'!C$14:C$58)</f>
        <v>#NUM!</v>
      </c>
      <c r="E30" s="309">
        <v>24</v>
      </c>
      <c r="F30" s="309" t="str">
        <f>IF('C. FILIACION'!C37="",0,'C. FILIACION'!C37)</f>
        <v>ZEWANE  MARTINEZ LINDA JHAMILETT</v>
      </c>
      <c r="G30" s="331">
        <f>IF('CEN. POR AREA'!BU37="",0,'CEN. POR AREA'!BU37)</f>
        <v>0</v>
      </c>
      <c r="H30" s="332" t="str">
        <f>IF(G30&lt;=1," ",LARGE(G7:G51,24))</f>
        <v xml:space="preserve"> </v>
      </c>
      <c r="I30" s="333" t="e">
        <f>IF(H30&lt;=1," ",MATCH(H30,G7:G51,0))</f>
        <v>#N/A</v>
      </c>
      <c r="J30" s="309" t="e">
        <f t="shared" si="0"/>
        <v>#N/A</v>
      </c>
    </row>
    <row r="31" spans="1:10" hidden="1" x14ac:dyDescent="0.2">
      <c r="A31" s="321">
        <v>25</v>
      </c>
      <c r="B31" s="323" t="e">
        <f>IF('CEN. POR AREA'!BU$14&lt;=1," ",LARGE('CEN. POR AREA'!BU$14:BU$58,25))</f>
        <v>#NUM!</v>
      </c>
      <c r="C31" s="321" t="e">
        <f>IF(B31&lt;=1," ",MATCH(B31,'CEN. POR AREA'!BU$14:BU$58,0))</f>
        <v>#NUM!</v>
      </c>
      <c r="D31" s="321" t="e">
        <f>LOOKUP(C31,'CEN. POR AREA'!B$14:B$58:'CEN. POR AREA'!C$14:C$58)</f>
        <v>#NUM!</v>
      </c>
      <c r="E31" s="309">
        <v>25</v>
      </c>
      <c r="F31" s="309">
        <f>IF('C. FILIACION'!C38="",0,'C. FILIACION'!C38)</f>
        <v>0</v>
      </c>
      <c r="G31" s="331">
        <f>IF('CEN. POR AREA'!BU38="",0,'CEN. POR AREA'!BU38)</f>
        <v>0</v>
      </c>
      <c r="H31" s="332" t="str">
        <f>IF(G31&lt;=1," ",LARGE(G7:G51,25))</f>
        <v xml:space="preserve"> </v>
      </c>
      <c r="I31" s="333" t="e">
        <f>IF(H31&lt;=1," ",MATCH(H31,G7:G51,0))</f>
        <v>#N/A</v>
      </c>
      <c r="J31" s="309" t="e">
        <f t="shared" si="0"/>
        <v>#N/A</v>
      </c>
    </row>
    <row r="32" spans="1:10" hidden="1" x14ac:dyDescent="0.2">
      <c r="A32" s="321">
        <v>26</v>
      </c>
      <c r="B32" s="323" t="e">
        <f>IF('CEN. POR AREA'!BU$14&lt;=1," ",LARGE('CEN. POR AREA'!BU$14:BU$58,26))</f>
        <v>#NUM!</v>
      </c>
      <c r="C32" s="321" t="e">
        <f>IF(B32&lt;=1," ",MATCH(B32,'CEN. POR AREA'!BU$14:BU$58,0))</f>
        <v>#NUM!</v>
      </c>
      <c r="D32" s="321" t="e">
        <f>LOOKUP(C32,'CEN. POR AREA'!B$14:B$58:'CEN. POR AREA'!C$14:C$58)</f>
        <v>#NUM!</v>
      </c>
      <c r="E32" s="309">
        <v>26</v>
      </c>
      <c r="F32" s="309">
        <f>IF('C. FILIACION'!C39="",0,'C. FILIACION'!C39)</f>
        <v>0</v>
      </c>
      <c r="G32" s="331">
        <f>IF('CEN. POR AREA'!BU39="",0,'CEN. POR AREA'!BU39)</f>
        <v>0</v>
      </c>
      <c r="H32" s="332" t="str">
        <f>IF(G32&lt;=1," ",LARGE(G7:G51,26))</f>
        <v xml:space="preserve"> </v>
      </c>
      <c r="I32" s="333" t="e">
        <f>IF(H32&lt;=1," ",MATCH(H32,G7:G51,0))</f>
        <v>#N/A</v>
      </c>
    </row>
    <row r="33" spans="1:9" hidden="1" x14ac:dyDescent="0.2">
      <c r="A33" s="321">
        <v>27</v>
      </c>
      <c r="B33" s="323" t="e">
        <f>IF('CEN. POR AREA'!BU$14&lt;=1," ",LARGE('CEN. POR AREA'!BU$14:BU$58,27))</f>
        <v>#NUM!</v>
      </c>
      <c r="C33" s="321" t="e">
        <f>IF(B33&lt;=1," ",MATCH(B33,'CEN. POR AREA'!BU$14:BU$58,0))</f>
        <v>#NUM!</v>
      </c>
      <c r="D33" s="321" t="e">
        <f>LOOKUP(C33,'CEN. POR AREA'!B$14:B$58:'CEN. POR AREA'!C$14:C$58)</f>
        <v>#NUM!</v>
      </c>
      <c r="E33" s="309">
        <v>27</v>
      </c>
      <c r="F33" s="309">
        <f>IF('C. FILIACION'!C40="",0,'C. FILIACION'!C40)</f>
        <v>0</v>
      </c>
      <c r="G33" s="331">
        <f>IF('CEN. POR AREA'!BU40="",0,'CEN. POR AREA'!BU40)</f>
        <v>0</v>
      </c>
      <c r="H33" s="332" t="str">
        <f>IF(G33&lt;=1," ",LARGE(G7:G51,27))</f>
        <v xml:space="preserve"> </v>
      </c>
      <c r="I33" s="333" t="e">
        <f>IF(H33&lt;=1," ",MATCH(H33,G7:G51,0))</f>
        <v>#N/A</v>
      </c>
    </row>
    <row r="34" spans="1:9" hidden="1" x14ac:dyDescent="0.2">
      <c r="A34" s="321">
        <v>28</v>
      </c>
      <c r="B34" s="323" t="e">
        <f>IF('CEN. POR AREA'!BU$14&lt;=1," ",LARGE('CEN. POR AREA'!BU$14:BU$58,28))</f>
        <v>#NUM!</v>
      </c>
      <c r="C34" s="321" t="e">
        <f>IF(B34&lt;=1," ",MATCH(B34,'CEN. POR AREA'!BU$14:BU$58,0))</f>
        <v>#NUM!</v>
      </c>
      <c r="D34" s="321" t="e">
        <f>LOOKUP(C34,'CEN. POR AREA'!B$14:B$58:'CEN. POR AREA'!C$14:C$58)</f>
        <v>#NUM!</v>
      </c>
      <c r="E34" s="309">
        <v>28</v>
      </c>
      <c r="F34" s="309">
        <f>IF('C. FILIACION'!C41="",0,'C. FILIACION'!C41)</f>
        <v>0</v>
      </c>
      <c r="G34" s="331">
        <f>IF('CEN. POR AREA'!BU41="",0,'CEN. POR AREA'!BU41)</f>
        <v>0</v>
      </c>
      <c r="H34" s="332" t="str">
        <f>IF(G34&lt;=1," ",LARGE(G7:G51,28))</f>
        <v xml:space="preserve"> </v>
      </c>
      <c r="I34" s="333" t="e">
        <f>IF(H34&lt;=1," ",MATCH(H34,G7:G51,0))</f>
        <v>#N/A</v>
      </c>
    </row>
    <row r="35" spans="1:9" hidden="1" x14ac:dyDescent="0.2">
      <c r="A35" s="321">
        <v>29</v>
      </c>
      <c r="B35" s="323" t="e">
        <f>IF('CEN. POR AREA'!BU$14&lt;=1," ",LARGE('CEN. POR AREA'!BU$14:BU$58,29))</f>
        <v>#NUM!</v>
      </c>
      <c r="C35" s="321" t="e">
        <f>IF(B35&lt;=1," ",MATCH(B35,'CEN. POR AREA'!BU$14:BU$58,0))</f>
        <v>#NUM!</v>
      </c>
      <c r="D35" s="321" t="e">
        <f>LOOKUP(C35,'CEN. POR AREA'!B$14:B$58:'CEN. POR AREA'!C$14:C$58)</f>
        <v>#NUM!</v>
      </c>
      <c r="E35" s="309">
        <v>29</v>
      </c>
      <c r="F35" s="309">
        <f>IF('C. FILIACION'!C42="",0,'C. FILIACION'!C42)</f>
        <v>0</v>
      </c>
      <c r="G35" s="331">
        <f>IF('CEN. POR AREA'!BU42="",0,'CEN. POR AREA'!BU42)</f>
        <v>0</v>
      </c>
      <c r="H35" s="332" t="str">
        <f>IF(G35&lt;=1," ",LARGE(G7:G51,29))</f>
        <v xml:space="preserve"> </v>
      </c>
      <c r="I35" s="333" t="e">
        <f>IF(H35&lt;=1," ",MATCH(H35,G7:G51,0))</f>
        <v>#N/A</v>
      </c>
    </row>
    <row r="36" spans="1:9" hidden="1" x14ac:dyDescent="0.2">
      <c r="A36" s="321">
        <v>30</v>
      </c>
      <c r="B36" s="323" t="e">
        <f>IF('CEN. POR AREA'!BU$14&lt;=1," ",LARGE('CEN. POR AREA'!BU$14:BU$58,30))</f>
        <v>#NUM!</v>
      </c>
      <c r="C36" s="321" t="e">
        <f>IF(B36&lt;=1," ",MATCH(B36,'CEN. POR AREA'!BU$14:BU$58,0))</f>
        <v>#NUM!</v>
      </c>
      <c r="D36" s="321" t="e">
        <f>LOOKUP(C36,'CEN. POR AREA'!B$14:B$58:'CEN. POR AREA'!C$14:C$58)</f>
        <v>#NUM!</v>
      </c>
      <c r="E36" s="309">
        <v>30</v>
      </c>
      <c r="F36" s="309">
        <f>IF('C. FILIACION'!C43="",0,'C. FILIACION'!C43)</f>
        <v>0</v>
      </c>
      <c r="G36" s="331">
        <f>IF('CEN. POR AREA'!BU43="",0,'CEN. POR AREA'!BU43)</f>
        <v>0</v>
      </c>
      <c r="H36" s="332" t="str">
        <f>IF(G36&lt;=1," ",LARGE(G7:G51,30))</f>
        <v xml:space="preserve"> </v>
      </c>
      <c r="I36" s="333" t="e">
        <f>IF(H36&lt;=1," ",MATCH(H36,G7:G51,0))</f>
        <v>#N/A</v>
      </c>
    </row>
    <row r="37" spans="1:9" hidden="1" x14ac:dyDescent="0.2">
      <c r="A37" s="321">
        <v>31</v>
      </c>
      <c r="B37" s="323" t="e">
        <f>IF('CEN. POR AREA'!BU$14&lt;=1," ",LARGE('CEN. POR AREA'!BU$14:BU$58,31))</f>
        <v>#NUM!</v>
      </c>
      <c r="C37" s="321" t="e">
        <f>IF(B37&lt;=1," ",MATCH(B37,'CEN. POR AREA'!BU$14:BU$58,0))</f>
        <v>#NUM!</v>
      </c>
      <c r="D37" s="321" t="e">
        <f>LOOKUP(C37,'CEN. POR AREA'!B$14:B$58:'CEN. POR AREA'!C$14:C$58)</f>
        <v>#NUM!</v>
      </c>
      <c r="E37" s="309">
        <v>31</v>
      </c>
      <c r="F37" s="309">
        <f>IF('C. FILIACION'!C44="",0,'C. FILIACION'!C44)</f>
        <v>0</v>
      </c>
      <c r="G37" s="331">
        <f>IF('CEN. POR AREA'!BU44="",0,'CEN. POR AREA'!BU44)</f>
        <v>0</v>
      </c>
      <c r="H37" s="332" t="str">
        <f>IF(G37&lt;=1," ",LARGE(G7:G51,31))</f>
        <v xml:space="preserve"> </v>
      </c>
      <c r="I37" s="333" t="e">
        <f>IF(H37&lt;=1," ",MATCH(H37,G7:G51,0))</f>
        <v>#N/A</v>
      </c>
    </row>
    <row r="38" spans="1:9" hidden="1" x14ac:dyDescent="0.2">
      <c r="A38" s="321">
        <v>32</v>
      </c>
      <c r="B38" s="323" t="e">
        <f>IF('CEN. POR AREA'!BU$14&lt;=1," ",LARGE('CEN. POR AREA'!BU$14:BU$58,32))</f>
        <v>#NUM!</v>
      </c>
      <c r="C38" s="321" t="e">
        <f>IF(B38&lt;=1," ",MATCH(B38,'CEN. POR AREA'!BU$14:BU$58,0))</f>
        <v>#NUM!</v>
      </c>
      <c r="D38" s="321" t="e">
        <f>LOOKUP(C38,'CEN. POR AREA'!B$14:B$58:'CEN. POR AREA'!C$14:C$58)</f>
        <v>#NUM!</v>
      </c>
      <c r="E38" s="309">
        <v>32</v>
      </c>
      <c r="F38" s="309">
        <f>IF('C. FILIACION'!C45="",0,'C. FILIACION'!C45)</f>
        <v>0</v>
      </c>
      <c r="G38" s="331">
        <f>IF('CEN. POR AREA'!BU45="",0,'CEN. POR AREA'!BU45)</f>
        <v>0</v>
      </c>
      <c r="H38" s="332" t="str">
        <f>IF(G38&lt;=1," ",LARGE(G7:G51,32))</f>
        <v xml:space="preserve"> </v>
      </c>
      <c r="I38" s="333" t="e">
        <f>IF(H38&lt;=1," ",MATCH(H38,G7:G51,0))</f>
        <v>#N/A</v>
      </c>
    </row>
    <row r="39" spans="1:9" hidden="1" x14ac:dyDescent="0.2">
      <c r="A39" s="321">
        <v>33</v>
      </c>
      <c r="B39" s="323" t="e">
        <f>IF('CEN. POR AREA'!BU$14&lt;=1," ",LARGE('CEN. POR AREA'!BU$14:BU$58,33))</f>
        <v>#NUM!</v>
      </c>
      <c r="C39" s="321" t="e">
        <f>IF(B39&lt;=1," ",MATCH(B39,'CEN. POR AREA'!BU$14:BU$58,0))</f>
        <v>#NUM!</v>
      </c>
      <c r="D39" s="321" t="e">
        <f>LOOKUP(C39,'CEN. POR AREA'!B$14:B$58:'CEN. POR AREA'!C$14:C$58)</f>
        <v>#NUM!</v>
      </c>
      <c r="E39" s="309">
        <v>33</v>
      </c>
      <c r="F39" s="309">
        <f>IF('C. FILIACION'!C46="",0,'C. FILIACION'!C46)</f>
        <v>0</v>
      </c>
      <c r="G39" s="331">
        <f>IF('CEN. POR AREA'!BU46="",0,'CEN. POR AREA'!BU46)</f>
        <v>0</v>
      </c>
      <c r="H39" s="332" t="str">
        <f>IF(G39&lt;=1," ",LARGE(G7:G51,33))</f>
        <v xml:space="preserve"> </v>
      </c>
      <c r="I39" s="333" t="e">
        <f>IF(H39&lt;=1," ",MATCH(H39,G7:G51,0))</f>
        <v>#N/A</v>
      </c>
    </row>
    <row r="40" spans="1:9" hidden="1" x14ac:dyDescent="0.2">
      <c r="A40" s="321">
        <v>34</v>
      </c>
      <c r="B40" s="323" t="e">
        <f>IF('CEN. POR AREA'!BU$14&lt;=1," ",LARGE('CEN. POR AREA'!BU$14:BU$58,34))</f>
        <v>#NUM!</v>
      </c>
      <c r="C40" s="321" t="e">
        <f>IF(B40&lt;=1," ",MATCH(B40,'CEN. POR AREA'!BU$14:BU$58,0))</f>
        <v>#NUM!</v>
      </c>
      <c r="D40" s="321" t="e">
        <f>LOOKUP(C40,'CEN. POR AREA'!B$14:B$58:'CEN. POR AREA'!C$14:C$58)</f>
        <v>#NUM!</v>
      </c>
      <c r="E40" s="309">
        <v>34</v>
      </c>
      <c r="F40" s="309">
        <f>IF('C. FILIACION'!C47="",0,'C. FILIACION'!C47)</f>
        <v>0</v>
      </c>
      <c r="G40" s="331">
        <f>IF('CEN. POR AREA'!BU47="",0,'CEN. POR AREA'!BU47)</f>
        <v>0</v>
      </c>
      <c r="H40" s="332" t="str">
        <f>IF(G40&lt;=1," ",LARGE(G7:G51,34))</f>
        <v xml:space="preserve"> </v>
      </c>
      <c r="I40" s="333" t="e">
        <f>IF(H40&lt;=1," ",MATCH(H40,G7:G51,0))</f>
        <v>#N/A</v>
      </c>
    </row>
    <row r="41" spans="1:9" hidden="1" x14ac:dyDescent="0.2">
      <c r="A41" s="321">
        <v>35</v>
      </c>
      <c r="B41" s="323" t="e">
        <f>IF('CEN. POR AREA'!BU$14&lt;=1," ",LARGE('CEN. POR AREA'!BU$14:BU$58,35))</f>
        <v>#NUM!</v>
      </c>
      <c r="C41" s="321" t="e">
        <f>IF(B41&lt;=1," ",MATCH(B41,'CEN. POR AREA'!BU$14:BU$58,0))</f>
        <v>#NUM!</v>
      </c>
      <c r="D41" s="321" t="e">
        <f>LOOKUP(C41,'CEN. POR AREA'!B$14:B$58:'CEN. POR AREA'!C$14:C$58)</f>
        <v>#NUM!</v>
      </c>
      <c r="E41" s="309">
        <v>35</v>
      </c>
      <c r="F41" s="309">
        <f>IF('C. FILIACION'!C48="",0,'C. FILIACION'!C48)</f>
        <v>0</v>
      </c>
      <c r="G41" s="331">
        <f>IF('CEN. POR AREA'!BU48="",0,'CEN. POR AREA'!BU48)</f>
        <v>0</v>
      </c>
      <c r="H41" s="332" t="str">
        <f>IF(G41&lt;=1," ",LARGE(G7:G51,35))</f>
        <v xml:space="preserve"> </v>
      </c>
      <c r="I41" s="333" t="e">
        <f>IF(H41&lt;=1," ",MATCH(H41,G7:G51,0))</f>
        <v>#N/A</v>
      </c>
    </row>
    <row r="42" spans="1:9" hidden="1" x14ac:dyDescent="0.2">
      <c r="A42" s="321">
        <v>36</v>
      </c>
      <c r="B42" s="323" t="e">
        <f>IF('CEN. POR AREA'!BU$14&lt;=1," ",LARGE('CEN. POR AREA'!BU$14:BU$58,36))</f>
        <v>#NUM!</v>
      </c>
      <c r="C42" s="321" t="e">
        <f>IF(B42&lt;=1," ",MATCH(B42,'CEN. POR AREA'!BU$14:BU$58,0))</f>
        <v>#NUM!</v>
      </c>
      <c r="D42" s="321" t="e">
        <f>LOOKUP(C42,'CEN. POR AREA'!B$14:B$58:'CEN. POR AREA'!C$14:C$58)</f>
        <v>#NUM!</v>
      </c>
      <c r="E42" s="309">
        <v>36</v>
      </c>
      <c r="F42" s="309">
        <f>IF('C. FILIACION'!C49="",0,'C. FILIACION'!C49)</f>
        <v>0</v>
      </c>
      <c r="G42" s="331">
        <f>IF('CEN. POR AREA'!BU49="",0,'CEN. POR AREA'!BU49)</f>
        <v>0</v>
      </c>
      <c r="H42" s="332" t="str">
        <f>IF(G42&lt;=1," ",LARGE(G7:G51,36))</f>
        <v xml:space="preserve"> </v>
      </c>
      <c r="I42" s="333" t="e">
        <f>IF(H42&lt;=1," ",MATCH(H42,G7:G51,0))</f>
        <v>#N/A</v>
      </c>
    </row>
    <row r="43" spans="1:9" hidden="1" x14ac:dyDescent="0.2">
      <c r="A43" s="321">
        <v>37</v>
      </c>
      <c r="B43" s="323" t="e">
        <f>IF('CEN. POR AREA'!BU$14&lt;=1," ",LARGE('CEN. POR AREA'!BU$14:BU$58,37))</f>
        <v>#NUM!</v>
      </c>
      <c r="C43" s="321" t="e">
        <f>IF(B43&lt;=1," ",MATCH(B43,'CEN. POR AREA'!BU$14:BU$58,0))</f>
        <v>#NUM!</v>
      </c>
      <c r="D43" s="321" t="e">
        <f>LOOKUP(C43,'CEN. POR AREA'!B$14:B$58:'CEN. POR AREA'!C$14:C$58)</f>
        <v>#NUM!</v>
      </c>
      <c r="E43" s="309">
        <v>37</v>
      </c>
      <c r="F43" s="309">
        <f>IF('C. FILIACION'!C50="",0,'C. FILIACION'!C50)</f>
        <v>0</v>
      </c>
      <c r="G43" s="331">
        <f>IF('CEN. POR AREA'!BU50="",0,'CEN. POR AREA'!BU50)</f>
        <v>0</v>
      </c>
      <c r="H43" s="332" t="str">
        <f>IF(G43&lt;=1," ",LARGE(G7:G51,37))</f>
        <v xml:space="preserve"> </v>
      </c>
      <c r="I43" s="333" t="e">
        <f>IF(H43&lt;=1," ",MATCH(H43,G7:G51,0))</f>
        <v>#N/A</v>
      </c>
    </row>
    <row r="44" spans="1:9" hidden="1" x14ac:dyDescent="0.2">
      <c r="A44" s="321">
        <v>38</v>
      </c>
      <c r="B44" s="323" t="e">
        <f>IF('CEN. POR AREA'!BU$14&lt;=1," ",LARGE('CEN. POR AREA'!BU$14:BU$58,38))</f>
        <v>#NUM!</v>
      </c>
      <c r="C44" s="321" t="e">
        <f>IF(B44&lt;=1," ",MATCH(B44,'CEN. POR AREA'!BU$14:BU$58,0))</f>
        <v>#NUM!</v>
      </c>
      <c r="D44" s="321" t="e">
        <f>LOOKUP(C44,'CEN. POR AREA'!B$14:B$58:'CEN. POR AREA'!C$14:C$58)</f>
        <v>#NUM!</v>
      </c>
      <c r="E44" s="309">
        <v>38</v>
      </c>
      <c r="F44" s="309">
        <f>IF('C. FILIACION'!C51="",0,'C. FILIACION'!C51)</f>
        <v>0</v>
      </c>
      <c r="G44" s="331">
        <f>IF('CEN. POR AREA'!BU51="",0,'CEN. POR AREA'!BU51)</f>
        <v>0</v>
      </c>
      <c r="H44" s="332" t="str">
        <f>IF(G44&lt;=1," ",LARGE(G7:G51,38))</f>
        <v xml:space="preserve"> </v>
      </c>
      <c r="I44" s="333" t="e">
        <f>IF(H44&lt;=1," ",MATCH(H44,G7:G51,0))</f>
        <v>#N/A</v>
      </c>
    </row>
    <row r="45" spans="1:9" hidden="1" x14ac:dyDescent="0.2">
      <c r="A45" s="321">
        <v>39</v>
      </c>
      <c r="B45" s="323" t="e">
        <f>IF('CEN. POR AREA'!BU$14&lt;=1," ",LARGE('CEN. POR AREA'!BU$14:BU$58,39))</f>
        <v>#NUM!</v>
      </c>
      <c r="C45" s="321" t="e">
        <f>IF(B45&lt;=1," ",MATCH(B45,'CEN. POR AREA'!BU$14:BU$58,0))</f>
        <v>#NUM!</v>
      </c>
      <c r="D45" s="321" t="e">
        <f>LOOKUP(C45,'CEN. POR AREA'!B$14:B$58:'CEN. POR AREA'!C$14:C$58)</f>
        <v>#NUM!</v>
      </c>
      <c r="E45" s="309">
        <v>39</v>
      </c>
      <c r="F45" s="309">
        <f>IF('C. FILIACION'!C52="",0,'C. FILIACION'!C52)</f>
        <v>0</v>
      </c>
      <c r="G45" s="331">
        <f>IF('CEN. POR AREA'!BU52="",0,'CEN. POR AREA'!BU52)</f>
        <v>0</v>
      </c>
      <c r="H45" s="332" t="str">
        <f>IF(G45&lt;=1," ",LARGE(G7:G51,39))</f>
        <v xml:space="preserve"> </v>
      </c>
      <c r="I45" s="333" t="e">
        <f>IF(H45&lt;=1," ",MATCH(H45,G7:G51,0))</f>
        <v>#N/A</v>
      </c>
    </row>
    <row r="46" spans="1:9" hidden="1" x14ac:dyDescent="0.2">
      <c r="A46" s="321">
        <v>40</v>
      </c>
      <c r="B46" s="323" t="e">
        <f>IF('CEN. POR AREA'!BU$14&lt;=1," ",LARGE('CEN. POR AREA'!BU$14:BU$58,40))</f>
        <v>#NUM!</v>
      </c>
      <c r="C46" s="321" t="e">
        <f>IF(B46&lt;=1," ",MATCH(B46,'CEN. POR AREA'!BU$14:BU$58,0))</f>
        <v>#NUM!</v>
      </c>
      <c r="D46" s="321" t="e">
        <f>LOOKUP(C46,'CEN. POR AREA'!B$14:B$58:'CEN. POR AREA'!C$14:C$58)</f>
        <v>#NUM!</v>
      </c>
      <c r="E46" s="309">
        <v>40</v>
      </c>
      <c r="F46" s="309">
        <f>IF('C. FILIACION'!C53="",0,'C. FILIACION'!C53)</f>
        <v>0</v>
      </c>
      <c r="G46" s="331">
        <f>IF('CEN. POR AREA'!BU53="",0,'CEN. POR AREA'!BU53)</f>
        <v>0</v>
      </c>
      <c r="H46" s="332" t="str">
        <f>IF(G46&lt;=1," ",LARGE(G7:G51,40))</f>
        <v xml:space="preserve"> </v>
      </c>
      <c r="I46" s="333" t="e">
        <f>IF(H46&lt;=1," ",MATCH(H46,G7:G51,0))</f>
        <v>#N/A</v>
      </c>
    </row>
    <row r="47" spans="1:9" hidden="1" x14ac:dyDescent="0.2">
      <c r="A47" s="321">
        <v>41</v>
      </c>
      <c r="B47" s="323" t="e">
        <f>IF('CEN. POR AREA'!BU$14&lt;=1," ",LARGE('CEN. POR AREA'!BU$14:BU$58,41))</f>
        <v>#NUM!</v>
      </c>
      <c r="C47" s="321" t="e">
        <f>IF(B47&lt;=1," ",MATCH(B47,'CEN. POR AREA'!BU$14:BU$58,0))</f>
        <v>#NUM!</v>
      </c>
      <c r="D47" s="321" t="e">
        <f>LOOKUP(C47,'CEN. POR AREA'!B$14:B$58:'CEN. POR AREA'!C$14:C$58)</f>
        <v>#NUM!</v>
      </c>
      <c r="E47" s="309">
        <v>41</v>
      </c>
      <c r="F47" s="309">
        <f>IF('C. FILIACION'!C54="",0,'C. FILIACION'!C54)</f>
        <v>0</v>
      </c>
      <c r="G47" s="331">
        <f>IF('CEN. POR AREA'!BU54="",0,'CEN. POR AREA'!BU54)</f>
        <v>0</v>
      </c>
      <c r="H47" s="332" t="str">
        <f>IF(G47&lt;=1," ",LARGE(G7:G51,41))</f>
        <v xml:space="preserve"> </v>
      </c>
      <c r="I47" s="333" t="e">
        <f>IF(H47&lt;=1," ",MATCH(H47,G7:G51,0))</f>
        <v>#N/A</v>
      </c>
    </row>
    <row r="48" spans="1:9" hidden="1" x14ac:dyDescent="0.2">
      <c r="A48" s="321">
        <v>42</v>
      </c>
      <c r="B48" s="323" t="e">
        <f>IF('CEN. POR AREA'!BU$14&lt;=1," ",LARGE('CEN. POR AREA'!BU$14:BU$58,42))</f>
        <v>#NUM!</v>
      </c>
      <c r="C48" s="321" t="e">
        <f>IF(B48&lt;=1," ",MATCH(B48,'CEN. POR AREA'!BU$14:BU$58,0))</f>
        <v>#NUM!</v>
      </c>
      <c r="D48" s="321" t="e">
        <f>LOOKUP(C48,'CEN. POR AREA'!B$14:B$58:'CEN. POR AREA'!C$14:C$58)</f>
        <v>#NUM!</v>
      </c>
      <c r="E48" s="309">
        <v>42</v>
      </c>
      <c r="F48" s="309">
        <f>IF('C. FILIACION'!C55="",0,'C. FILIACION'!C55)</f>
        <v>0</v>
      </c>
      <c r="G48" s="331">
        <f>IF('CEN. POR AREA'!BU55="",0,'CEN. POR AREA'!BU55)</f>
        <v>0</v>
      </c>
      <c r="H48" s="332" t="str">
        <f>IF(G48&lt;=1," ",LARGE(G7:G51,42))</f>
        <v xml:space="preserve"> </v>
      </c>
      <c r="I48" s="333" t="e">
        <f>IF(H48&lt;=1," ",MATCH(H48,G7:G51,0))</f>
        <v>#N/A</v>
      </c>
    </row>
    <row r="49" spans="1:9" hidden="1" x14ac:dyDescent="0.2">
      <c r="A49" s="321">
        <v>43</v>
      </c>
      <c r="B49" s="323" t="e">
        <f>IF('CEN. POR AREA'!BU$14&lt;=1," ",LARGE('CEN. POR AREA'!BU$14:BU$58,43))</f>
        <v>#NUM!</v>
      </c>
      <c r="C49" s="321" t="e">
        <f>IF(B49&lt;=1," ",MATCH(B49,'CEN. POR AREA'!BU$14:BU$58,0))</f>
        <v>#NUM!</v>
      </c>
      <c r="D49" s="321" t="e">
        <f>LOOKUP(C49,'CEN. POR AREA'!B$14:B$58:'CEN. POR AREA'!C$14:C$58)</f>
        <v>#NUM!</v>
      </c>
      <c r="E49" s="309">
        <v>43</v>
      </c>
      <c r="F49" s="309">
        <f>IF('C. FILIACION'!C56="",0,'C. FILIACION'!C56)</f>
        <v>0</v>
      </c>
      <c r="G49" s="331">
        <f>IF('CEN. POR AREA'!BU56="",0,'CEN. POR AREA'!BU56)</f>
        <v>0</v>
      </c>
      <c r="H49" s="332" t="str">
        <f>IF(G49&lt;=1," ",LARGE(G7:G51,43))</f>
        <v xml:space="preserve"> </v>
      </c>
      <c r="I49" s="333" t="e">
        <f>IF(H49&lt;=1," ",MATCH(H49,G7:G51,0))</f>
        <v>#N/A</v>
      </c>
    </row>
    <row r="50" spans="1:9" hidden="1" x14ac:dyDescent="0.2">
      <c r="A50" s="321">
        <v>44</v>
      </c>
      <c r="B50" s="323" t="e">
        <f>IF('CEN. POR AREA'!BU$14&lt;=1," ",LARGE('CEN. POR AREA'!BU$14:BU$58,44))</f>
        <v>#NUM!</v>
      </c>
      <c r="C50" s="321" t="e">
        <f>IF(B50&lt;=1," ",MATCH(B50,'CEN. POR AREA'!BU$14:BU$58,0))</f>
        <v>#NUM!</v>
      </c>
      <c r="D50" s="321" t="e">
        <f>LOOKUP(C50,'CEN. POR AREA'!B$14:B$58:'CEN. POR AREA'!C$14:C$58)</f>
        <v>#NUM!</v>
      </c>
      <c r="E50" s="309">
        <v>44</v>
      </c>
      <c r="F50" s="309">
        <f>IF('C. FILIACION'!C57="",0,'C. FILIACION'!C57)</f>
        <v>0</v>
      </c>
      <c r="G50" s="331">
        <f>IF('CEN. POR AREA'!BU57="",0,'CEN. POR AREA'!BU57)</f>
        <v>0</v>
      </c>
      <c r="H50" s="332" t="str">
        <f>IF(G50&lt;=1," ",LARGE(G7:G51,44))</f>
        <v xml:space="preserve"> </v>
      </c>
      <c r="I50" s="333" t="e">
        <f>IF(H50&lt;=1," ",MATCH(H50,G7:G51,0))</f>
        <v>#N/A</v>
      </c>
    </row>
    <row r="51" spans="1:9" hidden="1" x14ac:dyDescent="0.2">
      <c r="A51" s="321">
        <v>45</v>
      </c>
      <c r="B51" s="323" t="e">
        <f>IF('CEN. POR AREA'!BU$14&lt;=1," ",LARGE('CEN. POR AREA'!BU$14:BU$58,45))</f>
        <v>#NUM!</v>
      </c>
      <c r="C51" s="321" t="e">
        <f>IF(B51&lt;=1," ",MATCH(B51,'CEN. POR AREA'!BU$14:BU$58,0))</f>
        <v>#NUM!</v>
      </c>
      <c r="D51" s="321" t="e">
        <f>LOOKUP(C51,'CEN. POR AREA'!B$14:B$58:'CEN. POR AREA'!C$14:C$58)</f>
        <v>#NUM!</v>
      </c>
      <c r="E51" s="309">
        <v>45</v>
      </c>
      <c r="F51" s="309">
        <f>IF('C. FILIACION'!C58="",0,'C. FILIACION'!C58)</f>
        <v>0</v>
      </c>
      <c r="G51" s="331">
        <f>IF('CEN. POR AREA'!BU58="",0,'CEN. POR AREA'!BU58)</f>
        <v>0</v>
      </c>
      <c r="H51" s="332" t="str">
        <f>IF(G51&lt;=1," ",LARGE(G7:G51,45))</f>
        <v xml:space="preserve"> </v>
      </c>
      <c r="I51" s="333" t="e">
        <f>IF(H51&lt;=1," ",MATCH(H51,G7:G51,0))</f>
        <v>#N/A</v>
      </c>
    </row>
    <row r="52" spans="1:9" x14ac:dyDescent="0.2">
      <c r="A52" s="321"/>
      <c r="B52" s="321"/>
      <c r="C52" s="321"/>
      <c r="D52" s="321"/>
    </row>
    <row r="53" spans="1:9" x14ac:dyDescent="0.2">
      <c r="A53" s="321"/>
      <c r="B53" s="321"/>
      <c r="C53" s="321"/>
      <c r="D53" s="321"/>
    </row>
    <row r="54" spans="1:9" x14ac:dyDescent="0.2">
      <c r="A54" s="321"/>
      <c r="B54" s="321"/>
      <c r="C54" s="321"/>
      <c r="D54" s="321"/>
    </row>
    <row r="55" spans="1:9" x14ac:dyDescent="0.2">
      <c r="A55" s="321"/>
      <c r="B55" s="321"/>
      <c r="C55" s="321"/>
      <c r="D55" s="321"/>
    </row>
  </sheetData>
  <autoFilter ref="F6:G51">
    <filterColumn colId="1">
      <top10 val="15" filterVal="67"/>
    </filterColumn>
  </autoFilter>
  <sortState ref="F7:G25">
    <sortCondition descending="1" ref="G7:G25"/>
  </sortState>
  <dataConsolidate/>
  <conditionalFormatting sqref="F7:G51">
    <cfRule type="colorScale" priority="2">
      <colorScale>
        <cfvo type="min"/>
        <cfvo type="max"/>
        <color rgb="FF63BE7B"/>
        <color rgb="FFFCFCFF"/>
      </colorScale>
    </cfRule>
  </conditionalFormatting>
  <conditionalFormatting sqref="H7:H51">
    <cfRule type="colorScale" priority="1">
      <colorScale>
        <cfvo type="min"/>
        <cfvo type="max"/>
        <color rgb="FF63BE7B"/>
        <color rgb="FFFCFCFF"/>
      </colorScale>
    </cfRule>
  </conditionalFormatting>
  <pageMargins left="0.7" right="0.7" top="0.75" bottom="0.75" header="0.3" footer="0.3"/>
  <pageSetup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8">
    <tabColor rgb="FFFD99A3"/>
  </sheetPr>
  <dimension ref="A1:N84"/>
  <sheetViews>
    <sheetView zoomScale="115" zoomScaleNormal="115" zoomScaleSheetLayoutView="115" zoomScalePageLayoutView="115" workbookViewId="0">
      <selection activeCell="J22" sqref="J22"/>
    </sheetView>
  </sheetViews>
  <sheetFormatPr baseColWidth="10" defaultColWidth="11.28515625" defaultRowHeight="12.75" x14ac:dyDescent="0.2"/>
  <cols>
    <col min="1" max="6" width="5" style="313" customWidth="1"/>
    <col min="7" max="7" width="29.28515625" style="313" customWidth="1"/>
    <col min="8" max="8" width="18.28515625" style="313" customWidth="1"/>
    <col min="9" max="19" width="5" style="313" customWidth="1"/>
    <col min="20" max="16384" width="11.28515625" style="313"/>
  </cols>
  <sheetData>
    <row r="1" spans="1:14" ht="6" customHeight="1" x14ac:dyDescent="0.2">
      <c r="A1" s="312"/>
      <c r="B1" s="312"/>
      <c r="C1" s="312"/>
      <c r="D1" s="312"/>
      <c r="E1" s="312"/>
      <c r="F1" s="312"/>
      <c r="G1" s="312"/>
      <c r="H1" s="312"/>
      <c r="I1" s="312"/>
      <c r="J1" s="312"/>
      <c r="K1" s="312"/>
      <c r="L1" s="312"/>
      <c r="M1" s="312"/>
      <c r="N1" s="312"/>
    </row>
    <row r="2" spans="1:14" ht="14.25" customHeight="1" x14ac:dyDescent="0.2">
      <c r="A2" s="312"/>
      <c r="B2" s="312"/>
      <c r="C2" s="312"/>
      <c r="D2" s="312"/>
      <c r="E2" s="312"/>
      <c r="F2" s="312"/>
      <c r="G2" s="312"/>
      <c r="H2" s="312"/>
      <c r="I2" s="312"/>
      <c r="J2" s="312"/>
      <c r="K2" s="312"/>
      <c r="L2" s="312"/>
      <c r="M2" s="312"/>
      <c r="N2" s="312"/>
    </row>
    <row r="3" spans="1:14" ht="18" x14ac:dyDescent="0.25">
      <c r="A3" s="314"/>
      <c r="B3" s="314"/>
      <c r="C3" s="809" t="s">
        <v>289</v>
      </c>
      <c r="D3" s="809"/>
      <c r="E3" s="809"/>
      <c r="F3" s="809"/>
      <c r="G3" s="809"/>
      <c r="H3" s="809"/>
      <c r="I3" s="809"/>
      <c r="J3" s="809"/>
      <c r="K3" s="809"/>
      <c r="L3" s="809"/>
      <c r="M3" s="314"/>
      <c r="N3" s="314"/>
    </row>
    <row r="4" spans="1:14" ht="7.5" customHeight="1" x14ac:dyDescent="0.25">
      <c r="A4" s="314"/>
      <c r="B4" s="314"/>
      <c r="C4" s="314"/>
      <c r="D4" s="314"/>
      <c r="E4" s="314"/>
      <c r="F4" s="310"/>
      <c r="G4" s="310"/>
      <c r="H4" s="310"/>
      <c r="I4" s="310"/>
      <c r="J4" s="314"/>
      <c r="K4" s="314"/>
      <c r="L4" s="314"/>
      <c r="M4" s="314"/>
      <c r="N4" s="314"/>
    </row>
    <row r="5" spans="1:14" ht="14.1" customHeight="1" x14ac:dyDescent="0.2">
      <c r="A5" s="314"/>
      <c r="B5" s="807" t="s">
        <v>271</v>
      </c>
      <c r="C5" s="807"/>
      <c r="D5" s="807"/>
      <c r="E5" s="807"/>
      <c r="F5" s="808" t="str">
        <f>IF((CARATULA!G20)=0,"",(CARATULA!G20))</f>
        <v/>
      </c>
      <c r="G5" s="808"/>
      <c r="H5" s="807"/>
      <c r="I5" s="810">
        <f>IF((CARATULA!G34)=0,"",(CARATULA!G34))</f>
        <v>2019</v>
      </c>
      <c r="J5" s="810"/>
      <c r="K5" s="311"/>
      <c r="L5" s="311"/>
      <c r="M5" s="311"/>
      <c r="N5" s="314"/>
    </row>
    <row r="6" spans="1:14" ht="14.1" customHeight="1" x14ac:dyDescent="0.2">
      <c r="A6" s="314"/>
      <c r="B6" s="807" t="s">
        <v>272</v>
      </c>
      <c r="C6" s="807"/>
      <c r="D6" s="807"/>
      <c r="E6" s="807"/>
      <c r="F6" s="808" t="str">
        <f>CONCATENATE(CARATULA!G28," ",CARATULA!H28)</f>
        <v xml:space="preserve"> </v>
      </c>
      <c r="G6" s="808"/>
      <c r="H6" s="807"/>
      <c r="I6" s="810"/>
      <c r="J6" s="810"/>
      <c r="K6" s="314"/>
      <c r="L6" s="314"/>
      <c r="M6" s="314"/>
      <c r="N6" s="314"/>
    </row>
    <row r="7" spans="1:14" ht="14.1" customHeight="1" x14ac:dyDescent="0.2">
      <c r="A7" s="314"/>
      <c r="B7" s="314"/>
      <c r="C7" s="807" t="s">
        <v>273</v>
      </c>
      <c r="D7" s="807"/>
      <c r="E7" s="807"/>
      <c r="F7" s="808" t="str">
        <f>IF((CARATULA!G26)=0,"",(CARATULA!G26))</f>
        <v/>
      </c>
      <c r="G7" s="808"/>
      <c r="H7" s="808"/>
      <c r="I7" s="808"/>
      <c r="J7" s="808"/>
      <c r="K7" s="314"/>
      <c r="L7" s="314"/>
      <c r="M7" s="314"/>
      <c r="N7" s="314"/>
    </row>
    <row r="8" spans="1:14" ht="14.1" customHeight="1" x14ac:dyDescent="0.2">
      <c r="A8" s="314"/>
      <c r="B8" s="314"/>
      <c r="C8" s="807" t="s">
        <v>381</v>
      </c>
      <c r="D8" s="807"/>
      <c r="E8" s="807"/>
      <c r="F8" s="808" t="str">
        <f>IF((CARATULA!G24)=0,"",(CARATULA!G24))</f>
        <v/>
      </c>
      <c r="G8" s="808"/>
      <c r="H8" s="808"/>
      <c r="I8" s="316"/>
      <c r="J8" s="314"/>
      <c r="K8" s="314"/>
      <c r="L8" s="314"/>
      <c r="M8" s="314"/>
      <c r="N8" s="314"/>
    </row>
    <row r="9" spans="1:14" ht="8.25" customHeight="1" thickBot="1" x14ac:dyDescent="0.25">
      <c r="A9" s="314"/>
      <c r="B9" s="314"/>
      <c r="C9" s="314"/>
      <c r="D9" s="314"/>
      <c r="E9" s="314"/>
      <c r="F9" s="314"/>
      <c r="G9" s="314"/>
      <c r="H9" s="314"/>
      <c r="I9" s="314"/>
      <c r="J9" s="314"/>
      <c r="K9" s="314"/>
      <c r="L9" s="314"/>
      <c r="M9" s="314"/>
      <c r="N9" s="314"/>
    </row>
    <row r="10" spans="1:14" ht="5.25" hidden="1" customHeight="1" thickBot="1" x14ac:dyDescent="0.25">
      <c r="A10" s="314"/>
      <c r="B10" s="314"/>
      <c r="C10" s="314"/>
      <c r="D10" s="314"/>
      <c r="E10" s="314"/>
      <c r="F10" s="314"/>
      <c r="G10" s="314"/>
      <c r="H10" s="314"/>
      <c r="I10" s="314"/>
      <c r="J10" s="314"/>
      <c r="K10" s="314"/>
      <c r="L10" s="314"/>
      <c r="M10" s="314"/>
      <c r="N10" s="314"/>
    </row>
    <row r="11" spans="1:14" ht="5.25" hidden="1" customHeight="1" thickBot="1" x14ac:dyDescent="0.25">
      <c r="A11" s="314"/>
      <c r="B11" s="314"/>
      <c r="C11" s="314"/>
      <c r="D11" s="314"/>
      <c r="E11" s="314"/>
      <c r="F11" s="314"/>
      <c r="G11" s="314"/>
      <c r="H11" s="314"/>
      <c r="I11" s="314"/>
      <c r="J11" s="314"/>
      <c r="K11" s="314"/>
      <c r="L11" s="314"/>
      <c r="M11" s="314"/>
      <c r="N11" s="314"/>
    </row>
    <row r="12" spans="1:14" ht="13.5" hidden="1" thickBot="1" x14ac:dyDescent="0.25">
      <c r="A12" s="314"/>
      <c r="B12" s="314"/>
      <c r="C12" s="314"/>
      <c r="D12" s="314"/>
      <c r="E12" s="314"/>
      <c r="F12" s="314"/>
      <c r="G12" s="314"/>
      <c r="H12" s="314"/>
      <c r="I12" s="314"/>
      <c r="J12" s="314"/>
      <c r="K12" s="314"/>
      <c r="L12" s="314"/>
      <c r="M12" s="314"/>
      <c r="N12" s="314"/>
    </row>
    <row r="13" spans="1:14" ht="13.5" hidden="1" customHeight="1" thickBot="1" x14ac:dyDescent="0.25">
      <c r="A13" s="314"/>
      <c r="B13" s="330"/>
      <c r="C13" s="330"/>
      <c r="D13" s="314"/>
      <c r="E13" s="819" t="s">
        <v>275</v>
      </c>
      <c r="F13" s="820"/>
      <c r="G13" s="326" t="e">
        <f>[5]NOT_ALT!D7</f>
        <v>#REF!</v>
      </c>
      <c r="H13" s="821" t="e">
        <f>[5]NOT_ALT!B7</f>
        <v>#REF!</v>
      </c>
      <c r="I13" s="821"/>
      <c r="J13" s="822"/>
      <c r="K13" s="317"/>
      <c r="L13" s="314"/>
      <c r="M13" s="314"/>
      <c r="N13" s="314"/>
    </row>
    <row r="14" spans="1:14" ht="13.5" hidden="1" customHeight="1" thickBot="1" x14ac:dyDescent="0.25">
      <c r="A14" s="314"/>
      <c r="B14" s="330"/>
      <c r="C14" s="330"/>
      <c r="D14" s="314"/>
      <c r="E14" s="811" t="s">
        <v>276</v>
      </c>
      <c r="F14" s="812"/>
      <c r="G14" s="324" t="e">
        <f>[5]NOT_ALT!D8</f>
        <v>#REF!</v>
      </c>
      <c r="H14" s="813" t="e">
        <f>[5]NOT_ALT!B8</f>
        <v>#REF!</v>
      </c>
      <c r="I14" s="813"/>
      <c r="J14" s="814"/>
      <c r="K14" s="314"/>
      <c r="L14" s="314"/>
      <c r="M14" s="314"/>
      <c r="N14" s="314"/>
    </row>
    <row r="15" spans="1:14" ht="13.5" hidden="1" customHeight="1" thickBot="1" x14ac:dyDescent="0.25">
      <c r="A15" s="314"/>
      <c r="B15" s="330"/>
      <c r="C15" s="330"/>
      <c r="D15" s="314"/>
      <c r="E15" s="815" t="s">
        <v>277</v>
      </c>
      <c r="F15" s="816"/>
      <c r="G15" s="325" t="e">
        <f>[5]NOT_ALT!D9</f>
        <v>#REF!</v>
      </c>
      <c r="H15" s="817" t="e">
        <f>[5]NOT_ALT!B9</f>
        <v>#REF!</v>
      </c>
      <c r="I15" s="817"/>
      <c r="J15" s="818"/>
      <c r="K15" s="314"/>
      <c r="L15" s="314"/>
      <c r="M15" s="314"/>
      <c r="N15" s="314"/>
    </row>
    <row r="16" spans="1:14" ht="15.75" customHeight="1" thickTop="1" thickBot="1" x14ac:dyDescent="0.25">
      <c r="A16" s="314"/>
      <c r="B16" s="330"/>
      <c r="C16" s="330"/>
      <c r="D16" s="314"/>
      <c r="E16" s="827" t="s">
        <v>274</v>
      </c>
      <c r="F16" s="827"/>
      <c r="G16" s="460" t="s">
        <v>23</v>
      </c>
      <c r="H16" s="461" t="s">
        <v>380</v>
      </c>
      <c r="I16" s="335"/>
      <c r="J16" s="335"/>
      <c r="K16" s="314"/>
      <c r="L16" s="314"/>
      <c r="M16" s="314"/>
      <c r="N16" s="314"/>
    </row>
    <row r="17" spans="1:14" ht="15.75" customHeight="1" thickTop="1" thickBot="1" x14ac:dyDescent="0.25">
      <c r="A17" s="314"/>
      <c r="B17" s="330"/>
      <c r="C17" s="330"/>
      <c r="D17" s="314"/>
      <c r="E17" s="825" t="s">
        <v>294</v>
      </c>
      <c r="F17" s="825"/>
      <c r="G17" s="462" t="str">
        <f>IF('C. FILIACION'!C33="",0,'C. FILIACION'!C33)</f>
        <v>PUJRO  CHAUCA DIANA MARIBEL</v>
      </c>
      <c r="H17" s="463">
        <f>IF('CEN. POR AREA'!BU33="",0,'CEN. POR AREA'!BU33)</f>
        <v>0</v>
      </c>
      <c r="I17" s="334"/>
      <c r="J17" s="334"/>
      <c r="K17" s="314"/>
      <c r="L17" s="314"/>
      <c r="M17" s="314"/>
      <c r="N17" s="314"/>
    </row>
    <row r="18" spans="1:14" ht="15.75" customHeight="1" thickTop="1" thickBot="1" x14ac:dyDescent="0.25">
      <c r="A18" s="314"/>
      <c r="B18" s="330"/>
      <c r="C18" s="330"/>
      <c r="D18" s="314"/>
      <c r="E18" s="825" t="s">
        <v>276</v>
      </c>
      <c r="F18" s="825"/>
      <c r="G18" s="462" t="str">
        <f>IF('C. FILIACION'!C35="",0,'C. FILIACION'!C35)</f>
        <v>SARAVIA SALVATIERRA JOSSE AMED</v>
      </c>
      <c r="H18" s="463">
        <f>IF('CEN. POR AREA'!BU35="",0,'CEN. POR AREA'!BU35)</f>
        <v>0</v>
      </c>
      <c r="I18" s="334"/>
      <c r="J18" s="334"/>
      <c r="K18" s="314"/>
      <c r="L18" s="314"/>
      <c r="M18" s="314"/>
      <c r="N18" s="314"/>
    </row>
    <row r="19" spans="1:14" ht="15.75" customHeight="1" thickTop="1" thickBot="1" x14ac:dyDescent="0.25">
      <c r="A19" s="314"/>
      <c r="B19" s="330"/>
      <c r="C19" s="330"/>
      <c r="D19" s="314"/>
      <c r="E19" s="825" t="s">
        <v>295</v>
      </c>
      <c r="F19" s="825"/>
      <c r="G19" s="462" t="str">
        <f>IF('C. FILIACION'!C36="",0,'C. FILIACION'!C36)</f>
        <v>SIERRA LUNA GABRIEL  GERMAN</v>
      </c>
      <c r="H19" s="463">
        <f>IF('CEN. POR AREA'!BU36="",0,'CEN. POR AREA'!BU36)</f>
        <v>0</v>
      </c>
      <c r="I19" s="334"/>
      <c r="J19" s="334"/>
      <c r="K19" s="314"/>
      <c r="L19" s="314"/>
      <c r="M19" s="314"/>
      <c r="N19" s="314"/>
    </row>
    <row r="20" spans="1:14" ht="15.75" customHeight="1" thickTop="1" thickBot="1" x14ac:dyDescent="0.25">
      <c r="A20" s="314"/>
      <c r="B20" s="330"/>
      <c r="C20" s="330"/>
      <c r="D20" s="314"/>
      <c r="E20" s="825" t="s">
        <v>278</v>
      </c>
      <c r="F20" s="825"/>
      <c r="G20" s="462" t="str">
        <f>IF('C. FILIACION'!C17="",0,'C. FILIACION'!C17)</f>
        <v>AQUISE HINOJOSA YHAMIR FABIO</v>
      </c>
      <c r="H20" s="463">
        <f>IF('CEN. POR AREA'!BU17="",0,'CEN. POR AREA'!BU17)</f>
        <v>0</v>
      </c>
      <c r="I20" s="334"/>
      <c r="J20" s="334"/>
      <c r="K20" s="314"/>
      <c r="L20" s="314"/>
      <c r="M20" s="314"/>
      <c r="N20" s="314"/>
    </row>
    <row r="21" spans="1:14" ht="15.75" customHeight="1" thickTop="1" thickBot="1" x14ac:dyDescent="0.25">
      <c r="A21" s="314"/>
      <c r="B21" s="330"/>
      <c r="C21" s="330"/>
      <c r="D21" s="314"/>
      <c r="E21" s="825" t="s">
        <v>279</v>
      </c>
      <c r="F21" s="825"/>
      <c r="G21" s="462" t="str">
        <f>IF('C. FILIACION'!C19="",0,'C. FILIACION'!C19)</f>
        <v>AYLLON MOLLO RONNY BRUCE</v>
      </c>
      <c r="H21" s="463">
        <f>IF('CEN. POR AREA'!BU19="",0,'CEN. POR AREA'!BU19)</f>
        <v>0</v>
      </c>
      <c r="I21" s="334"/>
      <c r="J21" s="334"/>
      <c r="K21" s="314"/>
      <c r="L21" s="314"/>
      <c r="M21" s="314"/>
      <c r="N21" s="314"/>
    </row>
    <row r="22" spans="1:14" ht="15.75" customHeight="1" thickTop="1" thickBot="1" x14ac:dyDescent="0.25">
      <c r="A22" s="314"/>
      <c r="B22" s="330"/>
      <c r="C22" s="330"/>
      <c r="D22" s="314"/>
      <c r="E22" s="825" t="s">
        <v>280</v>
      </c>
      <c r="F22" s="825"/>
      <c r="G22" s="462" t="str">
        <f>IF('C. FILIACION'!C18="",0,'C. FILIACION'!C18)</f>
        <v>ARGANI  LAREDO MARIA JESUS</v>
      </c>
      <c r="H22" s="463">
        <f>IF('CEN. POR AREA'!BU18="",0,'CEN. POR AREA'!BU18)</f>
        <v>0</v>
      </c>
      <c r="I22" s="334"/>
      <c r="J22" s="334"/>
      <c r="K22" s="314"/>
      <c r="L22" s="314"/>
      <c r="M22" s="314"/>
      <c r="N22" s="314"/>
    </row>
    <row r="23" spans="1:14" ht="15.75" customHeight="1" thickTop="1" thickBot="1" x14ac:dyDescent="0.25">
      <c r="A23" s="314"/>
      <c r="B23" s="330"/>
      <c r="C23" s="330"/>
      <c r="D23" s="314"/>
      <c r="E23" s="825" t="s">
        <v>281</v>
      </c>
      <c r="F23" s="825"/>
      <c r="G23" s="462" t="str">
        <f>IF('C. FILIACION'!C28="",0,'C. FILIACION'!C28)</f>
        <v>LIMACHI RADA GERMAN DOMINGO</v>
      </c>
      <c r="H23" s="463">
        <f>IF('CEN. POR AREA'!BU28="",0,'CEN. POR AREA'!BU28)</f>
        <v>0</v>
      </c>
      <c r="I23" s="334"/>
      <c r="J23" s="334"/>
      <c r="K23" s="314"/>
      <c r="L23" s="314"/>
      <c r="M23" s="314"/>
      <c r="N23" s="314"/>
    </row>
    <row r="24" spans="1:14" ht="15.75" customHeight="1" thickTop="1" thickBot="1" x14ac:dyDescent="0.25">
      <c r="A24" s="314"/>
      <c r="B24" s="330"/>
      <c r="C24" s="330"/>
      <c r="D24" s="314"/>
      <c r="E24" s="825" t="s">
        <v>282</v>
      </c>
      <c r="F24" s="825"/>
      <c r="G24" s="462" t="str">
        <f>IF('C. FILIACION'!C16="",0,'C. FILIACION'!C16)</f>
        <v>AÑAZGO  VARGAS NOELIA</v>
      </c>
      <c r="H24" s="463">
        <f>IF('CEN. POR AREA'!BU16="",0,'CEN. POR AREA'!BU16)</f>
        <v>0</v>
      </c>
      <c r="I24" s="334"/>
      <c r="J24" s="334"/>
      <c r="K24" s="314"/>
      <c r="L24" s="314"/>
      <c r="M24" s="314"/>
      <c r="N24" s="314"/>
    </row>
    <row r="25" spans="1:14" ht="15.75" customHeight="1" thickTop="1" thickBot="1" x14ac:dyDescent="0.25">
      <c r="A25" s="314"/>
      <c r="B25" s="330"/>
      <c r="C25" s="330"/>
      <c r="D25" s="314"/>
      <c r="E25" s="825" t="s">
        <v>283</v>
      </c>
      <c r="F25" s="825"/>
      <c r="G25" s="462">
        <f>IF('C. FILIACION'!C48="",0,'C. FILIACION'!C48)</f>
        <v>0</v>
      </c>
      <c r="H25" s="463">
        <f>IF('CEN. POR AREA'!BU48="",0,'CEN. POR AREA'!BU48)</f>
        <v>0</v>
      </c>
      <c r="I25" s="334"/>
      <c r="J25" s="334"/>
      <c r="K25" s="314"/>
      <c r="L25" s="314"/>
      <c r="M25" s="314"/>
      <c r="N25" s="314"/>
    </row>
    <row r="26" spans="1:14" ht="15.75" customHeight="1" thickTop="1" thickBot="1" x14ac:dyDescent="0.25">
      <c r="A26" s="314"/>
      <c r="B26" s="330"/>
      <c r="C26" s="330"/>
      <c r="D26" s="314"/>
      <c r="E26" s="825" t="s">
        <v>284</v>
      </c>
      <c r="F26" s="825"/>
      <c r="G26" s="462" t="str">
        <f>IF('C. FILIACION'!C20="",0,'C. FILIACION'!C20)</f>
        <v>BALBOA  PAZ ANTHONY JR</v>
      </c>
      <c r="H26" s="463">
        <f>IF('CEN. POR AREA'!BU20="",0,'CEN. POR AREA'!BU20)</f>
        <v>0</v>
      </c>
      <c r="I26" s="334"/>
      <c r="J26" s="334"/>
      <c r="K26" s="314"/>
      <c r="L26" s="314"/>
      <c r="M26" s="314"/>
      <c r="N26" s="314"/>
    </row>
    <row r="27" spans="1:14" ht="15.75" customHeight="1" thickTop="1" thickBot="1" x14ac:dyDescent="0.25">
      <c r="A27" s="314"/>
      <c r="B27" s="330"/>
      <c r="C27" s="330"/>
      <c r="D27" s="314"/>
      <c r="E27" s="825" t="s">
        <v>319</v>
      </c>
      <c r="F27" s="825"/>
      <c r="G27" s="462" t="str">
        <f>IF('C. FILIACION'!C23="",0,'C. FILIACION'!C23)</f>
        <v>CAYO CALLE JUAN PABLO</v>
      </c>
      <c r="H27" s="463">
        <f>IF('CEN. POR AREA'!BU23="",0,'CEN. POR AREA'!BU23)</f>
        <v>0</v>
      </c>
      <c r="I27" s="334"/>
      <c r="J27" s="334"/>
      <c r="K27" s="314"/>
      <c r="L27" s="314"/>
      <c r="M27" s="314"/>
      <c r="N27" s="314"/>
    </row>
    <row r="28" spans="1:14" ht="15.75" customHeight="1" thickTop="1" thickBot="1" x14ac:dyDescent="0.25">
      <c r="A28" s="314"/>
      <c r="B28" s="330"/>
      <c r="C28" s="330"/>
      <c r="D28" s="314"/>
      <c r="E28" s="825" t="s">
        <v>320</v>
      </c>
      <c r="F28" s="825"/>
      <c r="G28" s="462" t="str">
        <f>IF('C. FILIACION'!C15="",0,'C. FILIACION'!C15)</f>
        <v>ALARCON  VARGAS JAIR ALEXIS</v>
      </c>
      <c r="H28" s="463">
        <f>IF('CEN. POR AREA'!BU15="",0,'CEN. POR AREA'!BU15)</f>
        <v>0</v>
      </c>
      <c r="I28" s="334"/>
      <c r="J28" s="334"/>
      <c r="K28" s="314"/>
      <c r="L28" s="314"/>
      <c r="M28" s="314"/>
      <c r="N28" s="314"/>
    </row>
    <row r="29" spans="1:14" ht="15.75" customHeight="1" thickTop="1" thickBot="1" x14ac:dyDescent="0.25">
      <c r="A29" s="314"/>
      <c r="B29" s="330"/>
      <c r="C29" s="330"/>
      <c r="D29" s="314"/>
      <c r="E29" s="825" t="s">
        <v>321</v>
      </c>
      <c r="F29" s="825"/>
      <c r="G29" s="462" t="str">
        <f>IF('C. FILIACION'!C25="",0,'C. FILIACION'!C25)</f>
        <v>CORTEZ RODRIGUEZ  GONZALO AXCELL</v>
      </c>
      <c r="H29" s="463">
        <f>IF('CEN. POR AREA'!BU25="",0,'CEN. POR AREA'!BU25)</f>
        <v>0</v>
      </c>
      <c r="I29" s="334"/>
      <c r="J29" s="334"/>
      <c r="K29" s="314"/>
      <c r="L29" s="314"/>
      <c r="M29" s="314"/>
      <c r="N29" s="314"/>
    </row>
    <row r="30" spans="1:14" ht="15.75" customHeight="1" thickTop="1" thickBot="1" x14ac:dyDescent="0.25">
      <c r="A30" s="314"/>
      <c r="B30" s="330"/>
      <c r="C30" s="330"/>
      <c r="D30" s="314"/>
      <c r="E30" s="825" t="s">
        <v>285</v>
      </c>
      <c r="F30" s="825"/>
      <c r="G30" s="462" t="str">
        <f>IF('C. FILIACION'!C30="",0,'C. FILIACION'!C30)</f>
        <v>MULLER  ESCOBAR MARCIA BIBIANA</v>
      </c>
      <c r="H30" s="463">
        <f>IF('CEN. POR AREA'!BU30="",0,'CEN. POR AREA'!BU30)</f>
        <v>0</v>
      </c>
      <c r="I30" s="334"/>
      <c r="J30" s="334"/>
      <c r="K30" s="314"/>
      <c r="L30" s="314"/>
      <c r="M30" s="314"/>
      <c r="N30" s="314"/>
    </row>
    <row r="31" spans="1:14" ht="15.75" customHeight="1" thickTop="1" thickBot="1" x14ac:dyDescent="0.25">
      <c r="A31" s="314"/>
      <c r="B31" s="330"/>
      <c r="C31" s="330"/>
      <c r="D31" s="314"/>
      <c r="E31" s="825" t="s">
        <v>286</v>
      </c>
      <c r="F31" s="825"/>
      <c r="G31" s="462" t="str">
        <f>IF('C. FILIACION'!C27="",0,'C. FILIACION'!C27)</f>
        <v>HUANCA CALLISAYA  PATRICIA</v>
      </c>
      <c r="H31" s="463">
        <f>IF('CEN. POR AREA'!BU27="",0,'CEN. POR AREA'!BU27)</f>
        <v>0</v>
      </c>
      <c r="I31" s="334"/>
      <c r="J31" s="334"/>
      <c r="K31" s="314"/>
      <c r="L31" s="314"/>
      <c r="M31" s="314"/>
      <c r="N31" s="314"/>
    </row>
    <row r="32" spans="1:14" ht="15.75" customHeight="1" thickTop="1" thickBot="1" x14ac:dyDescent="0.25">
      <c r="A32" s="314"/>
      <c r="B32" s="330"/>
      <c r="C32" s="330"/>
      <c r="D32" s="314"/>
      <c r="E32" s="825" t="s">
        <v>322</v>
      </c>
      <c r="F32" s="825"/>
      <c r="G32" s="462" t="str">
        <f>IF('C. FILIACION'!C14="",0,'C. FILIACION'!C14)</f>
        <v>SUAREZ EVELIN ISELA</v>
      </c>
      <c r="H32" s="463">
        <f>IF('CEN. POR AREA'!BU14="",0,'CEN. POR AREA'!BU14)</f>
        <v>0</v>
      </c>
      <c r="I32" s="334"/>
      <c r="J32" s="334"/>
      <c r="K32" s="314"/>
      <c r="L32" s="314"/>
      <c r="M32" s="314"/>
      <c r="N32" s="314"/>
    </row>
    <row r="33" spans="1:14" ht="15.75" customHeight="1" thickTop="1" thickBot="1" x14ac:dyDescent="0.25">
      <c r="A33" s="314"/>
      <c r="B33" s="330"/>
      <c r="C33" s="330"/>
      <c r="D33" s="314"/>
      <c r="E33" s="825" t="s">
        <v>323</v>
      </c>
      <c r="F33" s="825"/>
      <c r="G33" s="462" t="str">
        <f>IF('C. FILIACION'!C26="",0,'C. FILIACION'!C26)</f>
        <v>HILAYA  TORREZ CARLA JHULIANA</v>
      </c>
      <c r="H33" s="463">
        <f>IF('CEN. POR AREA'!BU26="",0,'CEN. POR AREA'!BU26)</f>
        <v>0</v>
      </c>
      <c r="I33" s="334"/>
      <c r="J33" s="334"/>
      <c r="K33" s="316"/>
      <c r="L33" s="314"/>
      <c r="M33" s="314"/>
      <c r="N33" s="314"/>
    </row>
    <row r="34" spans="1:14" ht="15.75" customHeight="1" thickTop="1" thickBot="1" x14ac:dyDescent="0.25">
      <c r="A34" s="314"/>
      <c r="B34" s="330"/>
      <c r="C34" s="330"/>
      <c r="D34" s="314"/>
      <c r="E34" s="825" t="s">
        <v>324</v>
      </c>
      <c r="F34" s="825"/>
      <c r="G34" s="462" t="str">
        <f>IF('C. FILIACION'!C29="",0,'C. FILIACION'!C29)</f>
        <v>MANTILLA SANCHEZ CAROLINA VALERIA</v>
      </c>
      <c r="H34" s="463">
        <f>IF('CEN. POR AREA'!BU29="",0,'CEN. POR AREA'!BU29)</f>
        <v>0</v>
      </c>
      <c r="I34" s="334"/>
      <c r="J34" s="334"/>
      <c r="K34" s="316"/>
      <c r="L34" s="314"/>
      <c r="M34" s="314"/>
      <c r="N34" s="314"/>
    </row>
    <row r="35" spans="1:14" ht="15.75" customHeight="1" thickTop="1" thickBot="1" x14ac:dyDescent="0.25">
      <c r="A35" s="314"/>
      <c r="B35" s="330"/>
      <c r="C35" s="330"/>
      <c r="D35" s="314"/>
      <c r="E35" s="825" t="s">
        <v>325</v>
      </c>
      <c r="F35" s="825"/>
      <c r="G35" s="462" t="str">
        <f>IF('C. FILIACION'!C22="",0,'C. FILIACION'!C22)</f>
        <v>CARRION MARGUAY FABIANA ALEXANDRA</v>
      </c>
      <c r="H35" s="463">
        <f>IF('CEN. POR AREA'!BU22="",0,'CEN. POR AREA'!BU22)</f>
        <v>0</v>
      </c>
      <c r="I35" s="334"/>
      <c r="J35" s="334"/>
      <c r="K35" s="316"/>
      <c r="L35" s="314"/>
      <c r="M35" s="314"/>
      <c r="N35" s="314"/>
    </row>
    <row r="36" spans="1:14" ht="15.75" customHeight="1" thickTop="1" thickBot="1" x14ac:dyDescent="0.25">
      <c r="A36" s="314"/>
      <c r="B36" s="330"/>
      <c r="C36" s="330"/>
      <c r="D36" s="314"/>
      <c r="E36" s="825" t="s">
        <v>326</v>
      </c>
      <c r="F36" s="825"/>
      <c r="G36" s="462" t="str">
        <f>IF('C. FILIACION'!C31="",0,'C. FILIACION'!C31)</f>
        <v xml:space="preserve">POMA MAMANI ADRIAN </v>
      </c>
      <c r="H36" s="463">
        <f>IF('CEN. POR AREA'!BU31="",0,'CEN. POR AREA'!BU31)</f>
        <v>0</v>
      </c>
      <c r="I36" s="334"/>
      <c r="J36" s="334"/>
      <c r="K36" s="316"/>
      <c r="L36" s="314"/>
      <c r="M36" s="314"/>
      <c r="N36" s="314"/>
    </row>
    <row r="37" spans="1:14" ht="15.75" customHeight="1" thickTop="1" thickBot="1" x14ac:dyDescent="0.25">
      <c r="A37" s="314"/>
      <c r="B37" s="330"/>
      <c r="C37" s="330"/>
      <c r="D37" s="314"/>
      <c r="E37" s="825" t="s">
        <v>327</v>
      </c>
      <c r="F37" s="825"/>
      <c r="G37" s="462" t="str">
        <f>IF('C. FILIACION'!C24="",0,'C. FILIACION'!C24)</f>
        <v>CONDE ZARATE ASHLY OTHANY</v>
      </c>
      <c r="H37" s="463">
        <f>IF('CEN. POR AREA'!BU24="",0,'CEN. POR AREA'!BU24)</f>
        <v>0</v>
      </c>
      <c r="I37" s="334"/>
      <c r="J37" s="334"/>
      <c r="K37" s="316"/>
      <c r="L37" s="314"/>
      <c r="M37" s="314"/>
      <c r="N37" s="314"/>
    </row>
    <row r="38" spans="1:14" ht="15.75" customHeight="1" thickTop="1" thickBot="1" x14ac:dyDescent="0.25">
      <c r="A38" s="314"/>
      <c r="B38" s="330"/>
      <c r="C38" s="330"/>
      <c r="D38" s="314"/>
      <c r="E38" s="825" t="s">
        <v>328</v>
      </c>
      <c r="F38" s="825"/>
      <c r="G38" s="462" t="str">
        <f>IF('C. FILIACION'!C32="",0,'C. FILIACION'!C32)</f>
        <v>PORTILLO  JALJA JHOSEP ERLAN</v>
      </c>
      <c r="H38" s="463">
        <f>IF('CEN. POR AREA'!BU32="",0,'CEN. POR AREA'!BU32)</f>
        <v>0</v>
      </c>
      <c r="I38" s="334"/>
      <c r="J38" s="334"/>
      <c r="K38" s="316"/>
      <c r="L38" s="314"/>
      <c r="M38" s="314"/>
      <c r="N38" s="314"/>
    </row>
    <row r="39" spans="1:14" ht="15.75" customHeight="1" thickTop="1" thickBot="1" x14ac:dyDescent="0.25">
      <c r="A39" s="314"/>
      <c r="B39" s="330"/>
      <c r="C39" s="330"/>
      <c r="D39" s="314"/>
      <c r="E39" s="825" t="s">
        <v>329</v>
      </c>
      <c r="F39" s="825"/>
      <c r="G39" s="462" t="str">
        <f>IF('C. FILIACION'!C21="",0,'C. FILIACION'!C21)</f>
        <v>CAMACHO SALGADO LEONARDO</v>
      </c>
      <c r="H39" s="463">
        <f>IF('CEN. POR AREA'!BU21="",0,'CEN. POR AREA'!BU21)</f>
        <v>0</v>
      </c>
      <c r="I39" s="334"/>
      <c r="J39" s="334"/>
      <c r="K39" s="316"/>
      <c r="L39" s="314"/>
      <c r="M39" s="314"/>
      <c r="N39" s="314"/>
    </row>
    <row r="40" spans="1:14" ht="15.75" customHeight="1" thickTop="1" thickBot="1" x14ac:dyDescent="0.25">
      <c r="A40" s="314"/>
      <c r="B40" s="330"/>
      <c r="C40" s="330"/>
      <c r="D40" s="314"/>
      <c r="E40" s="825" t="s">
        <v>330</v>
      </c>
      <c r="F40" s="825"/>
      <c r="G40" s="462" t="str">
        <f>IF('C. FILIACION'!C34="",0,'C. FILIACION'!C34)</f>
        <v>SANCHEZ  MOLINA ALEXIS VHADIR</v>
      </c>
      <c r="H40" s="463">
        <f>IF('CEN. POR AREA'!BU34="",0,'CEN. POR AREA'!BU34)</f>
        <v>0</v>
      </c>
      <c r="I40" s="334"/>
      <c r="J40" s="334"/>
      <c r="K40" s="316"/>
      <c r="L40" s="314"/>
      <c r="M40" s="314"/>
      <c r="N40" s="314"/>
    </row>
    <row r="41" spans="1:14" ht="15.75" customHeight="1" thickTop="1" thickBot="1" x14ac:dyDescent="0.25">
      <c r="A41" s="314"/>
      <c r="B41" s="330"/>
      <c r="C41" s="330"/>
      <c r="D41" s="314"/>
      <c r="E41" s="825" t="s">
        <v>331</v>
      </c>
      <c r="F41" s="825"/>
      <c r="G41" s="462" t="str">
        <f>IF('C. FILIACION'!C37="",0,'C. FILIACION'!C37)</f>
        <v>ZEWANE  MARTINEZ LINDA JHAMILETT</v>
      </c>
      <c r="H41" s="463">
        <f>IF('CEN. POR AREA'!BU37="",0,'CEN. POR AREA'!BU37)</f>
        <v>0</v>
      </c>
      <c r="I41" s="334"/>
      <c r="J41" s="334"/>
      <c r="K41" s="316"/>
      <c r="L41" s="314"/>
      <c r="M41" s="314"/>
      <c r="N41" s="314"/>
    </row>
    <row r="42" spans="1:14" ht="15.75" customHeight="1" thickTop="1" thickBot="1" x14ac:dyDescent="0.25">
      <c r="A42" s="314"/>
      <c r="B42" s="330"/>
      <c r="C42" s="330"/>
      <c r="D42" s="314"/>
      <c r="E42" s="825" t="s">
        <v>332</v>
      </c>
      <c r="F42" s="825"/>
      <c r="G42" s="462">
        <f>IF('C. FILIACION'!C38="",0,'C. FILIACION'!C38)</f>
        <v>0</v>
      </c>
      <c r="H42" s="463">
        <f>IF('CEN. POR AREA'!BU38="",0,'CEN. POR AREA'!BU38)</f>
        <v>0</v>
      </c>
      <c r="I42" s="334"/>
      <c r="J42" s="334"/>
      <c r="K42" s="316"/>
      <c r="L42" s="314"/>
      <c r="M42" s="314"/>
      <c r="N42" s="314"/>
    </row>
    <row r="43" spans="1:14" ht="15.75" customHeight="1" thickTop="1" thickBot="1" x14ac:dyDescent="0.25">
      <c r="A43" s="314"/>
      <c r="B43" s="330"/>
      <c r="C43" s="330"/>
      <c r="D43" s="314"/>
      <c r="E43" s="825" t="s">
        <v>333</v>
      </c>
      <c r="F43" s="825"/>
      <c r="G43" s="462">
        <f>IF('C. FILIACION'!C39="",0,'C. FILIACION'!C39)</f>
        <v>0</v>
      </c>
      <c r="H43" s="463">
        <f>IF('CEN. POR AREA'!BU39="",0,'CEN. POR AREA'!BU39)</f>
        <v>0</v>
      </c>
      <c r="I43" s="334"/>
      <c r="J43" s="334"/>
      <c r="K43" s="316"/>
      <c r="L43" s="314"/>
      <c r="M43" s="314"/>
      <c r="N43" s="314"/>
    </row>
    <row r="44" spans="1:14" ht="15.75" customHeight="1" thickTop="1" thickBot="1" x14ac:dyDescent="0.25">
      <c r="A44" s="314"/>
      <c r="B44" s="330"/>
      <c r="C44" s="330"/>
      <c r="D44" s="314"/>
      <c r="E44" s="825" t="s">
        <v>334</v>
      </c>
      <c r="F44" s="825"/>
      <c r="G44" s="462">
        <f>IF('C. FILIACION'!C40="",0,'C. FILIACION'!C40)</f>
        <v>0</v>
      </c>
      <c r="H44" s="463">
        <f>IF('CEN. POR AREA'!BU40="",0,'CEN. POR AREA'!BU40)</f>
        <v>0</v>
      </c>
      <c r="I44" s="334"/>
      <c r="J44" s="334"/>
      <c r="K44" s="316"/>
      <c r="L44" s="314"/>
      <c r="M44" s="314"/>
      <c r="N44" s="314"/>
    </row>
    <row r="45" spans="1:14" ht="15.75" customHeight="1" thickTop="1" thickBot="1" x14ac:dyDescent="0.25">
      <c r="A45" s="314"/>
      <c r="B45" s="330"/>
      <c r="C45" s="330"/>
      <c r="D45" s="314"/>
      <c r="E45" s="825" t="s">
        <v>335</v>
      </c>
      <c r="F45" s="825"/>
      <c r="G45" s="462">
        <f>IF('C. FILIACION'!C41="",0,'C. FILIACION'!C41)</f>
        <v>0</v>
      </c>
      <c r="H45" s="463">
        <f>IF('CEN. POR AREA'!BU41="",0,'CEN. POR AREA'!BU41)</f>
        <v>0</v>
      </c>
      <c r="I45" s="334"/>
      <c r="J45" s="334"/>
      <c r="K45" s="316"/>
      <c r="L45" s="314"/>
      <c r="M45" s="314"/>
      <c r="N45" s="314"/>
    </row>
    <row r="46" spans="1:14" ht="15.75" customHeight="1" thickTop="1" thickBot="1" x14ac:dyDescent="0.25">
      <c r="A46" s="314"/>
      <c r="B46" s="330"/>
      <c r="C46" s="330"/>
      <c r="D46" s="314"/>
      <c r="E46" s="825" t="s">
        <v>336</v>
      </c>
      <c r="F46" s="825"/>
      <c r="G46" s="462">
        <f>IF('C. FILIACION'!C42="",0,'C. FILIACION'!C42)</f>
        <v>0</v>
      </c>
      <c r="H46" s="463">
        <f>IF('CEN. POR AREA'!BU42="",0,'CEN. POR AREA'!BU42)</f>
        <v>0</v>
      </c>
      <c r="I46" s="334"/>
      <c r="J46" s="334"/>
      <c r="K46" s="316"/>
      <c r="L46" s="314"/>
      <c r="M46" s="314"/>
      <c r="N46" s="314"/>
    </row>
    <row r="47" spans="1:14" ht="15.75" customHeight="1" thickTop="1" thickBot="1" x14ac:dyDescent="0.25">
      <c r="A47" s="314"/>
      <c r="B47" s="330"/>
      <c r="C47" s="330"/>
      <c r="D47" s="314"/>
      <c r="E47" s="825" t="s">
        <v>337</v>
      </c>
      <c r="F47" s="825"/>
      <c r="G47" s="462">
        <f>IF('C. FILIACION'!C43="",0,'C. FILIACION'!C43)</f>
        <v>0</v>
      </c>
      <c r="H47" s="463">
        <f>IF('CEN. POR AREA'!BU43="",0,'CEN. POR AREA'!BU43)</f>
        <v>0</v>
      </c>
      <c r="I47" s="334"/>
      <c r="J47" s="334"/>
      <c r="K47" s="316"/>
      <c r="L47" s="314"/>
      <c r="M47" s="314"/>
      <c r="N47" s="314"/>
    </row>
    <row r="48" spans="1:14" ht="15.75" customHeight="1" thickTop="1" thickBot="1" x14ac:dyDescent="0.25">
      <c r="A48" s="314"/>
      <c r="B48" s="330"/>
      <c r="C48" s="330"/>
      <c r="D48" s="314"/>
      <c r="E48" s="825" t="s">
        <v>338</v>
      </c>
      <c r="F48" s="825"/>
      <c r="G48" s="462">
        <f>IF('C. FILIACION'!C44="",0,'C. FILIACION'!C44)</f>
        <v>0</v>
      </c>
      <c r="H48" s="463">
        <f>IF('CEN. POR AREA'!BU44="",0,'CEN. POR AREA'!BU44)</f>
        <v>0</v>
      </c>
      <c r="I48" s="334"/>
      <c r="J48" s="334"/>
      <c r="K48" s="316"/>
      <c r="L48" s="314"/>
      <c r="M48" s="314"/>
      <c r="N48" s="314"/>
    </row>
    <row r="49" spans="1:14" ht="15.75" customHeight="1" thickTop="1" thickBot="1" x14ac:dyDescent="0.25">
      <c r="A49" s="314"/>
      <c r="B49" s="330"/>
      <c r="C49" s="330"/>
      <c r="D49" s="314"/>
      <c r="E49" s="825" t="s">
        <v>339</v>
      </c>
      <c r="F49" s="825"/>
      <c r="G49" s="462">
        <f>IF('C. FILIACION'!C45="",0,'C. FILIACION'!C45)</f>
        <v>0</v>
      </c>
      <c r="H49" s="463">
        <f>IF('CEN. POR AREA'!BU45="",0,'CEN. POR AREA'!BU45)</f>
        <v>0</v>
      </c>
      <c r="I49" s="334"/>
      <c r="J49" s="334"/>
      <c r="K49" s="316"/>
      <c r="L49" s="314"/>
      <c r="M49" s="314"/>
      <c r="N49" s="314"/>
    </row>
    <row r="50" spans="1:14" ht="15.75" customHeight="1" thickTop="1" thickBot="1" x14ac:dyDescent="0.25">
      <c r="A50" s="314"/>
      <c r="B50" s="330"/>
      <c r="C50" s="330"/>
      <c r="D50" s="314"/>
      <c r="E50" s="825" t="s">
        <v>340</v>
      </c>
      <c r="F50" s="825"/>
      <c r="G50" s="462">
        <f>IF('C. FILIACION'!C46="",0,'C. FILIACION'!C46)</f>
        <v>0</v>
      </c>
      <c r="H50" s="463">
        <f>IF('CEN. POR AREA'!BU46="",0,'CEN. POR AREA'!BU46)</f>
        <v>0</v>
      </c>
      <c r="I50" s="334"/>
      <c r="J50" s="334"/>
      <c r="K50" s="316"/>
      <c r="L50" s="314"/>
      <c r="M50" s="314"/>
      <c r="N50" s="314"/>
    </row>
    <row r="51" spans="1:14" ht="15.75" customHeight="1" thickTop="1" thickBot="1" x14ac:dyDescent="0.25">
      <c r="A51" s="314"/>
      <c r="B51" s="330"/>
      <c r="C51" s="330"/>
      <c r="D51" s="314"/>
      <c r="E51" s="825" t="s">
        <v>341</v>
      </c>
      <c r="F51" s="825"/>
      <c r="G51" s="462">
        <f>IF('C. FILIACION'!C47="",0,'C. FILIACION'!C47)</f>
        <v>0</v>
      </c>
      <c r="H51" s="463">
        <f>IF('CEN. POR AREA'!BU47="",0,'CEN. POR AREA'!BU47)</f>
        <v>0</v>
      </c>
      <c r="I51" s="334"/>
      <c r="J51" s="334"/>
      <c r="K51" s="316"/>
      <c r="L51" s="314"/>
      <c r="M51" s="314"/>
      <c r="N51" s="314"/>
    </row>
    <row r="52" spans="1:14" ht="15.75" customHeight="1" thickTop="1" thickBot="1" x14ac:dyDescent="0.25">
      <c r="A52" s="314"/>
      <c r="B52" s="330"/>
      <c r="C52" s="330"/>
      <c r="D52" s="314"/>
      <c r="E52" s="825" t="s">
        <v>342</v>
      </c>
      <c r="F52" s="825"/>
      <c r="G52" s="462">
        <f>IF('C. FILIACION'!C49="",0,'C. FILIACION'!C49)</f>
        <v>0</v>
      </c>
      <c r="H52" s="463">
        <f>IF('CEN. POR AREA'!BU49="",0,'CEN. POR AREA'!BU49)</f>
        <v>0</v>
      </c>
      <c r="I52" s="334"/>
      <c r="J52" s="334"/>
      <c r="K52" s="316"/>
      <c r="L52" s="314"/>
      <c r="M52" s="314"/>
      <c r="N52" s="314"/>
    </row>
    <row r="53" spans="1:14" ht="15.75" customHeight="1" thickTop="1" thickBot="1" x14ac:dyDescent="0.25">
      <c r="A53" s="314"/>
      <c r="B53" s="330"/>
      <c r="C53" s="330"/>
      <c r="D53" s="314"/>
      <c r="E53" s="825" t="s">
        <v>343</v>
      </c>
      <c r="F53" s="825"/>
      <c r="G53" s="462">
        <f>IF('C. FILIACION'!C50="",0,'C. FILIACION'!C50)</f>
        <v>0</v>
      </c>
      <c r="H53" s="463">
        <f>IF('CEN. POR AREA'!BU50="",0,'CEN. POR AREA'!BU50)</f>
        <v>0</v>
      </c>
      <c r="I53" s="334"/>
      <c r="J53" s="334"/>
      <c r="K53" s="316"/>
      <c r="L53" s="314"/>
      <c r="M53" s="314"/>
      <c r="N53" s="314"/>
    </row>
    <row r="54" spans="1:14" ht="15.75" customHeight="1" thickTop="1" thickBot="1" x14ac:dyDescent="0.25">
      <c r="A54" s="314"/>
      <c r="B54" s="330"/>
      <c r="C54" s="330"/>
      <c r="D54" s="314"/>
      <c r="E54" s="825" t="s">
        <v>344</v>
      </c>
      <c r="F54" s="825"/>
      <c r="G54" s="462">
        <f>IF('C. FILIACION'!C51="",0,'C. FILIACION'!C51)</f>
        <v>0</v>
      </c>
      <c r="H54" s="463">
        <f>IF('CEN. POR AREA'!BU51="",0,'CEN. POR AREA'!BU51)</f>
        <v>0</v>
      </c>
      <c r="I54" s="334"/>
      <c r="J54" s="334"/>
      <c r="K54" s="316"/>
      <c r="L54" s="314"/>
      <c r="M54" s="314"/>
      <c r="N54" s="314"/>
    </row>
    <row r="55" spans="1:14" ht="15.75" customHeight="1" thickTop="1" thickBot="1" x14ac:dyDescent="0.25">
      <c r="A55" s="314"/>
      <c r="B55" s="330"/>
      <c r="C55" s="330"/>
      <c r="D55" s="314"/>
      <c r="E55" s="825" t="s">
        <v>345</v>
      </c>
      <c r="F55" s="825"/>
      <c r="G55" s="462">
        <f>IF('C. FILIACION'!C52="",0,'C. FILIACION'!C52)</f>
        <v>0</v>
      </c>
      <c r="H55" s="463">
        <f>IF('CEN. POR AREA'!BU52="",0,'CEN. POR AREA'!BU52)</f>
        <v>0</v>
      </c>
      <c r="I55" s="334"/>
      <c r="J55" s="334"/>
      <c r="K55" s="316"/>
      <c r="L55" s="314"/>
      <c r="M55" s="314"/>
      <c r="N55" s="314"/>
    </row>
    <row r="56" spans="1:14" ht="15.75" customHeight="1" thickTop="1" thickBot="1" x14ac:dyDescent="0.25">
      <c r="A56" s="314"/>
      <c r="B56" s="330"/>
      <c r="C56" s="330"/>
      <c r="D56" s="314"/>
      <c r="E56" s="825" t="s">
        <v>346</v>
      </c>
      <c r="F56" s="825"/>
      <c r="G56" s="462">
        <f>IF('C. FILIACION'!C53="",0,'C. FILIACION'!C53)</f>
        <v>0</v>
      </c>
      <c r="H56" s="463">
        <f>IF('CEN. POR AREA'!BU53="",0,'CEN. POR AREA'!BU53)</f>
        <v>0</v>
      </c>
      <c r="I56" s="334"/>
      <c r="J56" s="334"/>
      <c r="K56" s="316"/>
      <c r="L56" s="314"/>
      <c r="M56" s="314"/>
      <c r="N56" s="314"/>
    </row>
    <row r="57" spans="1:14" ht="15.75" customHeight="1" thickTop="1" thickBot="1" x14ac:dyDescent="0.25">
      <c r="A57" s="314"/>
      <c r="B57" s="330"/>
      <c r="C57" s="330"/>
      <c r="D57" s="314"/>
      <c r="E57" s="825" t="s">
        <v>347</v>
      </c>
      <c r="F57" s="825"/>
      <c r="G57" s="462">
        <f>IF('C. FILIACION'!C54="",0,'C. FILIACION'!C54)</f>
        <v>0</v>
      </c>
      <c r="H57" s="463">
        <f>IF('CEN. POR AREA'!BU54="",0,'CEN. POR AREA'!BU54)</f>
        <v>0</v>
      </c>
      <c r="I57" s="334"/>
      <c r="J57" s="334"/>
      <c r="K57" s="316"/>
      <c r="L57" s="314"/>
      <c r="M57" s="314"/>
      <c r="N57" s="314"/>
    </row>
    <row r="58" spans="1:14" ht="15.75" customHeight="1" thickTop="1" thickBot="1" x14ac:dyDescent="0.25">
      <c r="A58" s="314"/>
      <c r="B58" s="330"/>
      <c r="C58" s="330"/>
      <c r="D58" s="314"/>
      <c r="E58" s="825" t="s">
        <v>348</v>
      </c>
      <c r="F58" s="825"/>
      <c r="G58" s="462">
        <f>IF('C. FILIACION'!C55="",0,'C. FILIACION'!C55)</f>
        <v>0</v>
      </c>
      <c r="H58" s="463">
        <f>IF('CEN. POR AREA'!BU55="",0,'CEN. POR AREA'!BU55)</f>
        <v>0</v>
      </c>
      <c r="I58" s="334"/>
      <c r="J58" s="334"/>
      <c r="K58" s="316"/>
      <c r="L58" s="314"/>
      <c r="M58" s="314"/>
      <c r="N58" s="314"/>
    </row>
    <row r="59" spans="1:14" ht="15.75" customHeight="1" thickTop="1" thickBot="1" x14ac:dyDescent="0.25">
      <c r="A59" s="314"/>
      <c r="B59" s="330"/>
      <c r="C59" s="330"/>
      <c r="D59" s="314"/>
      <c r="E59" s="825" t="s">
        <v>349</v>
      </c>
      <c r="F59" s="825"/>
      <c r="G59" s="462">
        <f>IF('C. FILIACION'!C56="",0,'C. FILIACION'!C56)</f>
        <v>0</v>
      </c>
      <c r="H59" s="463">
        <f>IF('CEN. POR AREA'!BU56="",0,'CEN. POR AREA'!BU56)</f>
        <v>0</v>
      </c>
      <c r="I59" s="334"/>
      <c r="J59" s="334"/>
      <c r="K59" s="316"/>
      <c r="L59" s="314"/>
      <c r="M59" s="314"/>
      <c r="N59" s="314"/>
    </row>
    <row r="60" spans="1:14" ht="15.75" customHeight="1" thickTop="1" thickBot="1" x14ac:dyDescent="0.25">
      <c r="A60" s="314"/>
      <c r="B60" s="330"/>
      <c r="C60" s="330"/>
      <c r="D60" s="314"/>
      <c r="E60" s="825" t="s">
        <v>350</v>
      </c>
      <c r="F60" s="825"/>
      <c r="G60" s="462">
        <f>IF('C. FILIACION'!C57="",0,'C. FILIACION'!C57)</f>
        <v>0</v>
      </c>
      <c r="H60" s="463">
        <f>IF('CEN. POR AREA'!BU57="",0,'CEN. POR AREA'!BU57)</f>
        <v>0</v>
      </c>
      <c r="I60" s="334"/>
      <c r="J60" s="334"/>
      <c r="K60" s="316"/>
      <c r="L60" s="314"/>
      <c r="M60" s="314"/>
      <c r="N60" s="314"/>
    </row>
    <row r="61" spans="1:14" ht="16.5" thickTop="1" thickBot="1" x14ac:dyDescent="0.25">
      <c r="A61" s="314"/>
      <c r="B61" s="330"/>
      <c r="C61" s="330"/>
      <c r="D61" s="314"/>
      <c r="E61" s="825" t="s">
        <v>351</v>
      </c>
      <c r="F61" s="825"/>
      <c r="G61" s="462">
        <f>IF('C. FILIACION'!C58="",0,'C. FILIACION'!C58)</f>
        <v>0</v>
      </c>
      <c r="H61" s="463">
        <f>IF('CEN. POR AREA'!BU58="",0,'CEN. POR AREA'!BU58)</f>
        <v>0</v>
      </c>
      <c r="I61" s="334"/>
      <c r="J61" s="334"/>
      <c r="K61" s="316"/>
      <c r="L61" s="314"/>
      <c r="M61" s="314"/>
      <c r="N61" s="314"/>
    </row>
    <row r="62" spans="1:14" ht="13.5" thickTop="1" x14ac:dyDescent="0.2">
      <c r="A62" s="314"/>
      <c r="B62" s="330"/>
      <c r="C62" s="330"/>
      <c r="D62" s="314"/>
      <c r="E62" s="317"/>
      <c r="F62" s="317"/>
      <c r="G62" s="317"/>
      <c r="H62" s="318"/>
      <c r="I62" s="334"/>
      <c r="J62" s="334"/>
      <c r="K62" s="316"/>
      <c r="L62" s="314"/>
      <c r="M62" s="314"/>
      <c r="N62" s="314"/>
    </row>
    <row r="63" spans="1:14" x14ac:dyDescent="0.2">
      <c r="A63" s="314"/>
      <c r="B63" s="330"/>
      <c r="C63" s="330"/>
      <c r="D63" s="314"/>
      <c r="E63" s="317"/>
      <c r="F63" s="317"/>
      <c r="G63" s="317"/>
      <c r="H63" s="318"/>
      <c r="I63" s="318"/>
      <c r="J63" s="318"/>
      <c r="K63" s="314"/>
      <c r="L63" s="314"/>
      <c r="M63" s="314"/>
      <c r="N63" s="314"/>
    </row>
    <row r="64" spans="1:14" x14ac:dyDescent="0.2">
      <c r="A64" s="314"/>
      <c r="B64" s="314"/>
      <c r="C64" s="314"/>
      <c r="D64" s="314"/>
      <c r="E64" s="317"/>
      <c r="F64" s="317"/>
      <c r="G64" s="317"/>
      <c r="H64" s="318"/>
      <c r="I64" s="318"/>
      <c r="J64" s="318"/>
      <c r="K64" s="314"/>
      <c r="L64" s="314"/>
      <c r="M64" s="314"/>
      <c r="N64" s="314"/>
    </row>
    <row r="65" spans="1:14" x14ac:dyDescent="0.2">
      <c r="A65" s="314"/>
      <c r="B65" s="314"/>
      <c r="C65" s="314"/>
      <c r="D65" s="314"/>
      <c r="E65" s="317"/>
      <c r="F65" s="317"/>
      <c r="G65" s="317"/>
      <c r="H65" s="318"/>
      <c r="I65" s="318"/>
      <c r="J65" s="318"/>
      <c r="K65" s="314"/>
      <c r="L65" s="314"/>
      <c r="M65" s="314"/>
      <c r="N65" s="314"/>
    </row>
    <row r="66" spans="1:14" x14ac:dyDescent="0.2">
      <c r="A66" s="314"/>
      <c r="B66" s="314"/>
      <c r="C66" s="314"/>
      <c r="D66" s="314"/>
      <c r="E66" s="314"/>
      <c r="F66" s="314"/>
      <c r="G66" s="314"/>
      <c r="H66" s="314"/>
      <c r="I66" s="314"/>
      <c r="J66" s="314"/>
      <c r="K66" s="314"/>
      <c r="L66" s="314"/>
      <c r="M66" s="314"/>
      <c r="N66" s="314"/>
    </row>
    <row r="67" spans="1:14" ht="14.25" x14ac:dyDescent="0.2">
      <c r="A67" s="314"/>
      <c r="B67" s="314"/>
      <c r="C67" s="826" t="str">
        <f>IF((CARATULA!G24)=0,"",([5]INICIO!AX12))</f>
        <v/>
      </c>
      <c r="D67" s="826"/>
      <c r="E67" s="826"/>
      <c r="F67" s="826"/>
      <c r="G67" s="826"/>
      <c r="H67" s="826" t="str">
        <f>IF((CARATULA!G22)=0,"",(CARATULA!G22))</f>
        <v/>
      </c>
      <c r="I67" s="826"/>
      <c r="J67" s="826"/>
      <c r="K67" s="826"/>
      <c r="L67" s="826"/>
      <c r="M67" s="826"/>
      <c r="N67" s="314"/>
    </row>
    <row r="68" spans="1:14" ht="15" x14ac:dyDescent="0.2">
      <c r="A68" s="314"/>
      <c r="B68" s="314"/>
      <c r="C68" s="823" t="str">
        <f>IF(H67="","",(CARATULA!G24))</f>
        <v/>
      </c>
      <c r="D68" s="823"/>
      <c r="E68" s="823"/>
      <c r="F68" s="823"/>
      <c r="G68" s="823"/>
      <c r="H68" s="823" t="str">
        <f>IF(H67="","",(CARATULA!G22))</f>
        <v/>
      </c>
      <c r="I68" s="823"/>
      <c r="J68" s="823"/>
      <c r="K68" s="823"/>
      <c r="L68" s="823"/>
      <c r="M68" s="823"/>
      <c r="N68" s="314"/>
    </row>
    <row r="69" spans="1:14" x14ac:dyDescent="0.2">
      <c r="A69" s="314"/>
      <c r="B69" s="314"/>
      <c r="C69" s="314"/>
      <c r="D69" s="314"/>
      <c r="E69" s="314"/>
      <c r="F69" s="314"/>
      <c r="G69" s="314"/>
      <c r="H69" s="314"/>
      <c r="I69" s="314"/>
      <c r="J69" s="314"/>
      <c r="K69" s="314"/>
      <c r="L69" s="314"/>
      <c r="M69" s="314"/>
      <c r="N69" s="314"/>
    </row>
    <row r="70" spans="1:14" x14ac:dyDescent="0.2">
      <c r="A70" s="314"/>
      <c r="B70" s="314"/>
      <c r="C70" s="314"/>
      <c r="D70" s="314"/>
      <c r="E70" s="314"/>
      <c r="F70" s="314"/>
      <c r="G70" s="314"/>
      <c r="H70" s="314"/>
      <c r="I70" s="314"/>
      <c r="J70" s="314"/>
      <c r="K70" s="314"/>
      <c r="L70" s="314"/>
      <c r="M70" s="314"/>
      <c r="N70" s="314"/>
    </row>
    <row r="71" spans="1:14" x14ac:dyDescent="0.2">
      <c r="A71" s="314"/>
      <c r="B71" s="314"/>
      <c r="C71" s="314"/>
      <c r="D71" s="314"/>
      <c r="E71" s="314"/>
      <c r="F71" s="314"/>
      <c r="G71" s="314"/>
      <c r="H71" s="314"/>
      <c r="I71" s="317"/>
      <c r="J71" s="315"/>
      <c r="K71" s="319" t="s">
        <v>287</v>
      </c>
      <c r="L71" s="824">
        <f ca="1">TODAY()</f>
        <v>43510</v>
      </c>
      <c r="M71" s="824"/>
      <c r="N71" s="314"/>
    </row>
    <row r="72" spans="1:14" x14ac:dyDescent="0.2">
      <c r="A72" s="312"/>
      <c r="B72" s="312"/>
      <c r="C72" s="312"/>
      <c r="D72" s="312"/>
      <c r="E72" s="312"/>
      <c r="F72" s="312"/>
      <c r="G72" s="312"/>
      <c r="H72" s="312"/>
      <c r="I72" s="312"/>
      <c r="J72" s="312"/>
      <c r="K72" s="312"/>
      <c r="L72" s="312"/>
      <c r="M72" s="312"/>
      <c r="N72" s="312"/>
    </row>
    <row r="73" spans="1:14" x14ac:dyDescent="0.2">
      <c r="A73" s="312"/>
      <c r="B73" s="312"/>
      <c r="C73" s="312"/>
      <c r="D73" s="312"/>
      <c r="E73" s="312"/>
      <c r="F73" s="312"/>
      <c r="G73" s="312"/>
      <c r="H73" s="312"/>
      <c r="I73" s="312"/>
      <c r="J73" s="312"/>
      <c r="K73" s="312"/>
      <c r="L73" s="312"/>
      <c r="M73" s="312"/>
      <c r="N73" s="312"/>
    </row>
    <row r="74" spans="1:14" x14ac:dyDescent="0.2">
      <c r="A74" s="312"/>
      <c r="B74" s="312"/>
      <c r="C74" s="312"/>
      <c r="D74" s="312"/>
      <c r="E74" s="312"/>
      <c r="F74" s="312"/>
      <c r="G74" s="312"/>
      <c r="H74" s="312"/>
      <c r="I74" s="312"/>
      <c r="J74" s="312"/>
      <c r="K74" s="312"/>
      <c r="L74" s="312"/>
      <c r="M74" s="312"/>
      <c r="N74" s="312"/>
    </row>
    <row r="75" spans="1:14" x14ac:dyDescent="0.2">
      <c r="A75" s="312"/>
      <c r="B75" s="312"/>
      <c r="C75" s="312"/>
      <c r="D75" s="312"/>
      <c r="E75" s="312"/>
      <c r="F75" s="312"/>
      <c r="G75" s="312"/>
      <c r="H75" s="312"/>
      <c r="I75" s="312"/>
      <c r="J75" s="312"/>
      <c r="K75" s="312"/>
      <c r="L75" s="312"/>
      <c r="M75" s="312"/>
      <c r="N75" s="312"/>
    </row>
    <row r="76" spans="1:14" x14ac:dyDescent="0.2">
      <c r="A76" s="312"/>
      <c r="B76" s="320" t="s">
        <v>288</v>
      </c>
      <c r="C76" s="312"/>
      <c r="D76" s="312"/>
      <c r="E76" s="312"/>
      <c r="F76" s="312"/>
      <c r="G76" s="312"/>
      <c r="H76" s="312"/>
      <c r="I76" s="312"/>
      <c r="J76" s="312"/>
      <c r="K76" s="312"/>
      <c r="L76" s="312"/>
      <c r="M76" s="312"/>
      <c r="N76" s="312"/>
    </row>
    <row r="77" spans="1:14" x14ac:dyDescent="0.2">
      <c r="A77" s="312"/>
      <c r="B77" s="320" t="s">
        <v>290</v>
      </c>
      <c r="C77" s="312"/>
      <c r="D77" s="312"/>
      <c r="E77" s="312"/>
      <c r="F77" s="312"/>
      <c r="G77" s="312"/>
      <c r="H77" s="312"/>
      <c r="I77" s="312"/>
      <c r="J77" s="312"/>
      <c r="K77" s="312"/>
      <c r="L77" s="312"/>
      <c r="M77" s="312"/>
      <c r="N77" s="312"/>
    </row>
    <row r="78" spans="1:14" x14ac:dyDescent="0.2">
      <c r="A78" s="312"/>
      <c r="B78" s="320" t="s">
        <v>291</v>
      </c>
      <c r="C78" s="312"/>
      <c r="D78" s="312"/>
      <c r="E78" s="312"/>
      <c r="F78" s="312"/>
      <c r="G78" s="312"/>
      <c r="H78" s="312"/>
      <c r="I78" s="312"/>
      <c r="J78" s="312"/>
      <c r="K78" s="312"/>
      <c r="L78" s="312"/>
      <c r="M78" s="312"/>
      <c r="N78" s="312"/>
    </row>
    <row r="79" spans="1:14" x14ac:dyDescent="0.2">
      <c r="A79" s="312"/>
      <c r="B79" s="320" t="s">
        <v>289</v>
      </c>
      <c r="C79" s="312"/>
      <c r="D79" s="312"/>
      <c r="E79" s="312"/>
      <c r="F79" s="312"/>
      <c r="G79" s="312"/>
      <c r="H79" s="312"/>
      <c r="I79" s="312"/>
      <c r="J79" s="312"/>
      <c r="K79" s="312"/>
      <c r="L79" s="312"/>
      <c r="M79" s="312"/>
      <c r="N79" s="312"/>
    </row>
    <row r="80" spans="1:14" x14ac:dyDescent="0.2">
      <c r="A80" s="312"/>
      <c r="B80" s="312"/>
      <c r="C80" s="312"/>
      <c r="D80" s="312"/>
      <c r="E80" s="312"/>
      <c r="F80" s="312"/>
      <c r="G80" s="312"/>
      <c r="H80" s="312"/>
      <c r="I80" s="312"/>
      <c r="J80" s="312"/>
      <c r="K80" s="312"/>
      <c r="L80" s="312"/>
      <c r="M80" s="312"/>
      <c r="N80" s="312"/>
    </row>
    <row r="81" spans="1:14" x14ac:dyDescent="0.2">
      <c r="A81" s="312"/>
      <c r="B81" s="312"/>
      <c r="C81" s="312"/>
      <c r="D81" s="312"/>
      <c r="E81" s="312"/>
      <c r="F81" s="312"/>
      <c r="G81" s="312"/>
      <c r="H81" s="312"/>
      <c r="I81" s="312"/>
      <c r="J81" s="312"/>
      <c r="K81" s="312"/>
      <c r="L81" s="312"/>
      <c r="M81" s="312"/>
      <c r="N81" s="312"/>
    </row>
    <row r="82" spans="1:14" x14ac:dyDescent="0.2">
      <c r="A82" s="312"/>
      <c r="B82" s="312"/>
      <c r="C82" s="312"/>
      <c r="D82" s="312"/>
      <c r="E82" s="312"/>
      <c r="F82" s="312"/>
      <c r="G82" s="312"/>
      <c r="H82" s="312"/>
      <c r="I82" s="312"/>
      <c r="J82" s="312"/>
      <c r="K82" s="312"/>
      <c r="L82" s="312"/>
      <c r="M82" s="312"/>
      <c r="N82" s="312"/>
    </row>
    <row r="83" spans="1:14" x14ac:dyDescent="0.2">
      <c r="A83" s="312"/>
      <c r="B83" s="312"/>
      <c r="C83" s="312"/>
      <c r="D83" s="312"/>
      <c r="E83" s="312"/>
      <c r="F83" s="312"/>
      <c r="G83" s="312"/>
      <c r="H83" s="312"/>
      <c r="I83" s="312"/>
      <c r="J83" s="312"/>
      <c r="K83" s="312"/>
      <c r="L83" s="312"/>
      <c r="M83" s="312"/>
      <c r="N83" s="312"/>
    </row>
    <row r="84" spans="1:14" x14ac:dyDescent="0.2">
      <c r="A84" s="312"/>
      <c r="B84" s="312"/>
      <c r="C84" s="312"/>
      <c r="D84" s="312"/>
      <c r="E84" s="312"/>
      <c r="F84" s="312"/>
      <c r="G84" s="312"/>
      <c r="H84" s="312"/>
      <c r="I84" s="312"/>
      <c r="J84" s="312"/>
      <c r="K84" s="312"/>
      <c r="L84" s="312"/>
      <c r="M84" s="312"/>
      <c r="N84" s="312"/>
    </row>
  </sheetData>
  <sheetProtection password="D989" sheet="1" objects="1" scenarios="1"/>
  <autoFilter ref="G16:H61">
    <sortState ref="G17:H61">
      <sortCondition descending="1" ref="H16:H61"/>
    </sortState>
  </autoFilter>
  <mergeCells count="68">
    <mergeCell ref="E16:F16"/>
    <mergeCell ref="E52:F52"/>
    <mergeCell ref="E53:F53"/>
    <mergeCell ref="E54:F54"/>
    <mergeCell ref="E55:F55"/>
    <mergeCell ref="E47:F47"/>
    <mergeCell ref="E48:F48"/>
    <mergeCell ref="E49:F49"/>
    <mergeCell ref="E50:F50"/>
    <mergeCell ref="E51:F51"/>
    <mergeCell ref="E42:F42"/>
    <mergeCell ref="E43:F43"/>
    <mergeCell ref="E44:F44"/>
    <mergeCell ref="E39:F39"/>
    <mergeCell ref="E40:F40"/>
    <mergeCell ref="E41:F41"/>
    <mergeCell ref="E17:F17"/>
    <mergeCell ref="E18:F18"/>
    <mergeCell ref="E19:F19"/>
    <mergeCell ref="E20:F20"/>
    <mergeCell ref="E21:F21"/>
    <mergeCell ref="C67:G67"/>
    <mergeCell ref="H67:M67"/>
    <mergeCell ref="E22:F22"/>
    <mergeCell ref="E23:F23"/>
    <mergeCell ref="E24:F24"/>
    <mergeCell ref="E25:F25"/>
    <mergeCell ref="E45:F45"/>
    <mergeCell ref="E46:F46"/>
    <mergeCell ref="E27:F27"/>
    <mergeCell ref="E29:F29"/>
    <mergeCell ref="E31:F31"/>
    <mergeCell ref="E57:F57"/>
    <mergeCell ref="E60:F60"/>
    <mergeCell ref="E56:F56"/>
    <mergeCell ref="C68:G68"/>
    <mergeCell ref="H68:M68"/>
    <mergeCell ref="L71:M71"/>
    <mergeCell ref="E26:F26"/>
    <mergeCell ref="E28:F28"/>
    <mergeCell ref="E61:F61"/>
    <mergeCell ref="E30:F30"/>
    <mergeCell ref="E58:F58"/>
    <mergeCell ref="E59:F59"/>
    <mergeCell ref="E32:F32"/>
    <mergeCell ref="E33:F33"/>
    <mergeCell ref="E34:F34"/>
    <mergeCell ref="E35:F35"/>
    <mergeCell ref="E36:F36"/>
    <mergeCell ref="E37:F37"/>
    <mergeCell ref="E38:F38"/>
    <mergeCell ref="E14:F14"/>
    <mergeCell ref="H14:J14"/>
    <mergeCell ref="E15:F15"/>
    <mergeCell ref="H15:J15"/>
    <mergeCell ref="E13:F13"/>
    <mergeCell ref="H13:J13"/>
    <mergeCell ref="C3:L3"/>
    <mergeCell ref="F5:G5"/>
    <mergeCell ref="H5:H6"/>
    <mergeCell ref="I5:J6"/>
    <mergeCell ref="F6:G6"/>
    <mergeCell ref="C7:E7"/>
    <mergeCell ref="F7:J7"/>
    <mergeCell ref="C8:E8"/>
    <mergeCell ref="F8:H8"/>
    <mergeCell ref="B5:E5"/>
    <mergeCell ref="B6:E6"/>
  </mergeCells>
  <dataValidations disablePrompts="1" count="1">
    <dataValidation type="list" allowBlank="1" showInputMessage="1" showErrorMessage="1" errorTitle="ERROR" error="Seleccione de la lista." sqref="C3:L3">
      <formula1>$B$76:$B$79</formula1>
    </dataValidation>
  </dataValidations>
  <printOptions horizontalCentered="1"/>
  <pageMargins left="0" right="0" top="0.59055118110236227" bottom="0" header="0" footer="0"/>
  <pageSetup fitToWidth="0" fitToHeight="0" orientation="portrait" horizontalDpi="4294967294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22</vt:i4>
      </vt:variant>
      <vt:variant>
        <vt:lpstr>Rangos con nombre</vt:lpstr>
      </vt:variant>
      <vt:variant>
        <vt:i4>66</vt:i4>
      </vt:variant>
    </vt:vector>
  </HeadingPairs>
  <TitlesOfParts>
    <vt:vector size="88" baseType="lpstr">
      <vt:lpstr>MENU</vt:lpstr>
      <vt:lpstr>CARATULA</vt:lpstr>
      <vt:lpstr>C. FILIACION</vt:lpstr>
      <vt:lpstr>CODIGO Y FOTOGRAFIA </vt:lpstr>
      <vt:lpstr>ASIS. 1° B</vt:lpstr>
      <vt:lpstr>VAL. 1° B</vt:lpstr>
      <vt:lpstr>REG-OBS</vt:lpstr>
      <vt:lpstr>ASIS. 2° B</vt:lpstr>
      <vt:lpstr>VAL. 2° B</vt:lpstr>
      <vt:lpstr>REG-OBS2</vt:lpstr>
      <vt:lpstr>ASIS. 3° B</vt:lpstr>
      <vt:lpstr>VAL. 3° B</vt:lpstr>
      <vt:lpstr>REG-OBS3</vt:lpstr>
      <vt:lpstr>ASIS. 4° B</vt:lpstr>
      <vt:lpstr>VAL. 4° B</vt:lpstr>
      <vt:lpstr>REG-OBS4</vt:lpstr>
      <vt:lpstr>CENTRALIZADOR</vt:lpstr>
      <vt:lpstr>% REP-APR</vt:lpstr>
      <vt:lpstr>CEN. POR AREA</vt:lpstr>
      <vt:lpstr>BOLETINES </vt:lpstr>
      <vt:lpstr>NOT_ALT</vt:lpstr>
      <vt:lpstr>EST_DEST</vt:lpstr>
      <vt:lpstr>'% REP-APR'!Área_de_impresión</vt:lpstr>
      <vt:lpstr>'ASIS. 1° B'!Área_de_impresión</vt:lpstr>
      <vt:lpstr>'ASIS. 2° B'!Área_de_impresión</vt:lpstr>
      <vt:lpstr>'ASIS. 3° B'!Área_de_impresión</vt:lpstr>
      <vt:lpstr>'ASIS. 4° B'!Área_de_impresión</vt:lpstr>
      <vt:lpstr>'BOLETINES '!Área_de_impresión</vt:lpstr>
      <vt:lpstr>'C. FILIACION'!Área_de_impresión</vt:lpstr>
      <vt:lpstr>CARATULA!Área_de_impresión</vt:lpstr>
      <vt:lpstr>'CEN. POR AREA'!Área_de_impresión</vt:lpstr>
      <vt:lpstr>CENTRALIZADOR!Área_de_impresión</vt:lpstr>
      <vt:lpstr>EST_DEST!Área_de_impresión</vt:lpstr>
      <vt:lpstr>MENU!Área_de_impresión</vt:lpstr>
      <vt:lpstr>'REG-OBS'!Área_de_impresión</vt:lpstr>
      <vt:lpstr>'REG-OBS2'!Área_de_impresión</vt:lpstr>
      <vt:lpstr>'REG-OBS3'!Área_de_impresión</vt:lpstr>
      <vt:lpstr>'REG-OBS4'!Área_de_impresión</vt:lpstr>
      <vt:lpstr>'VAL. 1° B'!Área_de_impresión</vt:lpstr>
      <vt:lpstr>'VAL. 2° B'!Área_de_impresión</vt:lpstr>
      <vt:lpstr>'VAL. 3° B'!Área_de_impresión</vt:lpstr>
      <vt:lpstr>'VAL. 4° B'!Área_de_impresión</vt:lpstr>
      <vt:lpstr>IMAG1</vt:lpstr>
      <vt:lpstr>IMAG10</vt:lpstr>
      <vt:lpstr>IMAG11</vt:lpstr>
      <vt:lpstr>IMAG12</vt:lpstr>
      <vt:lpstr>IMAG13</vt:lpstr>
      <vt:lpstr>IMAG14</vt:lpstr>
      <vt:lpstr>IMAG15</vt:lpstr>
      <vt:lpstr>IMAG16</vt:lpstr>
      <vt:lpstr>IMAG17</vt:lpstr>
      <vt:lpstr>IMAG18</vt:lpstr>
      <vt:lpstr>IMAG19</vt:lpstr>
      <vt:lpstr>IMAG2</vt:lpstr>
      <vt:lpstr>IMAG20</vt:lpstr>
      <vt:lpstr>IMAG21</vt:lpstr>
      <vt:lpstr>IMAG22</vt:lpstr>
      <vt:lpstr>IMAG23</vt:lpstr>
      <vt:lpstr>IMAG24</vt:lpstr>
      <vt:lpstr>IMAG25</vt:lpstr>
      <vt:lpstr>IMAG26</vt:lpstr>
      <vt:lpstr>IMAG27</vt:lpstr>
      <vt:lpstr>IMAG28</vt:lpstr>
      <vt:lpstr>IMAG29</vt:lpstr>
      <vt:lpstr>IMAG3</vt:lpstr>
      <vt:lpstr>IMAG30</vt:lpstr>
      <vt:lpstr>IMAG31</vt:lpstr>
      <vt:lpstr>IMAG32</vt:lpstr>
      <vt:lpstr>IMAG33</vt:lpstr>
      <vt:lpstr>IMAG34</vt:lpstr>
      <vt:lpstr>IMAG35</vt:lpstr>
      <vt:lpstr>IMAG36</vt:lpstr>
      <vt:lpstr>IMAG37</vt:lpstr>
      <vt:lpstr>IMAG38</vt:lpstr>
      <vt:lpstr>IMAG39</vt:lpstr>
      <vt:lpstr>IMAG4</vt:lpstr>
      <vt:lpstr>IMAG40</vt:lpstr>
      <vt:lpstr>IMAG41</vt:lpstr>
      <vt:lpstr>IMAG42</vt:lpstr>
      <vt:lpstr>IMAG43</vt:lpstr>
      <vt:lpstr>IMAG44</vt:lpstr>
      <vt:lpstr>IMAG45</vt:lpstr>
      <vt:lpstr>IMAG5</vt:lpstr>
      <vt:lpstr>IMAG6</vt:lpstr>
      <vt:lpstr>IMAG7</vt:lpstr>
      <vt:lpstr>IMAG8</vt:lpstr>
      <vt:lpstr>IMAG9</vt:lpstr>
      <vt:lpstr>MIFOTO</vt:lpstr>
    </vt:vector>
  </TitlesOfParts>
  <Company>Hewlett-Packard Company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Gregorio Alcon</dc:creator>
  <cp:lastModifiedBy>usuario</cp:lastModifiedBy>
  <cp:lastPrinted>2019-01-29T22:04:19Z</cp:lastPrinted>
  <dcterms:created xsi:type="dcterms:W3CDTF">2018-03-06T16:07:29Z</dcterms:created>
  <dcterms:modified xsi:type="dcterms:W3CDTF">2019-02-14T13:11:31Z</dcterms:modified>
</cp:coreProperties>
</file>